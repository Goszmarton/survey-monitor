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Content" sheetId="1" state="visible" r:id="rId1"/>
    <sheet xmlns:r="http://schemas.openxmlformats.org/officeDocument/2006/relationships" name="B" sheetId="2" state="visible" r:id="rId2"/>
    <sheet xmlns:r="http://schemas.openxmlformats.org/officeDocument/2006/relationships" name="QA1" sheetId="3" state="visible" r:id="rId3"/>
    <sheet xmlns:r="http://schemas.openxmlformats.org/officeDocument/2006/relationships" name="QA2" sheetId="4" state="visible" r:id="rId4"/>
    <sheet xmlns:r="http://schemas.openxmlformats.org/officeDocument/2006/relationships" name="QA3" sheetId="5" state="visible" r:id="rId5"/>
    <sheet xmlns:r="http://schemas.openxmlformats.org/officeDocument/2006/relationships" name="D78" sheetId="6" state="visible" r:id="rId6"/>
    <sheet xmlns:r="http://schemas.openxmlformats.org/officeDocument/2006/relationships" name="QA4" sheetId="7" state="visible" r:id="rId7"/>
    <sheet xmlns:r="http://schemas.openxmlformats.org/officeDocument/2006/relationships" name="QA5a" sheetId="8" state="visible" r:id="rId8"/>
    <sheet xmlns:r="http://schemas.openxmlformats.org/officeDocument/2006/relationships" name="QA5b" sheetId="9" state="visible" r:id="rId9"/>
    <sheet xmlns:r="http://schemas.openxmlformats.org/officeDocument/2006/relationships" name="QA5ab" sheetId="10" state="visible" r:id="rId10"/>
    <sheet xmlns:r="http://schemas.openxmlformats.org/officeDocument/2006/relationships" name="QA6a" sheetId="11" state="visible" r:id="rId11"/>
    <sheet xmlns:r="http://schemas.openxmlformats.org/officeDocument/2006/relationships" name="QA6b" sheetId="12" state="visible" r:id="rId12"/>
    <sheet xmlns:r="http://schemas.openxmlformats.org/officeDocument/2006/relationships" name="QA6ab" sheetId="13" state="visible" r:id="rId13"/>
    <sheet xmlns:r="http://schemas.openxmlformats.org/officeDocument/2006/relationships" name="QA7a" sheetId="14" state="visible" r:id="rId14"/>
    <sheet xmlns:r="http://schemas.openxmlformats.org/officeDocument/2006/relationships" name="QA7b" sheetId="15" state="visible" r:id="rId15"/>
    <sheet xmlns:r="http://schemas.openxmlformats.org/officeDocument/2006/relationships" name="QA7ab" sheetId="16" state="visible" r:id="rId16"/>
    <sheet xmlns:r="http://schemas.openxmlformats.org/officeDocument/2006/relationships" name="QA8a" sheetId="17" state="visible" r:id="rId17"/>
    <sheet xmlns:r="http://schemas.openxmlformats.org/officeDocument/2006/relationships" name="QA8b" sheetId="18" state="visible" r:id="rId18"/>
    <sheet xmlns:r="http://schemas.openxmlformats.org/officeDocument/2006/relationships" name="QA8ab" sheetId="19" state="visible" r:id="rId19"/>
    <sheet xmlns:r="http://schemas.openxmlformats.org/officeDocument/2006/relationships" name="QASD" sheetId="20" state="visible" r:id="rId20"/>
    <sheet xmlns:r="http://schemas.openxmlformats.org/officeDocument/2006/relationships" name="QA9" sheetId="21" state="visible" r:id="rId21"/>
    <sheet xmlns:r="http://schemas.openxmlformats.org/officeDocument/2006/relationships" name="QA10_1" sheetId="22" state="visible" r:id="rId22"/>
    <sheet xmlns:r="http://schemas.openxmlformats.org/officeDocument/2006/relationships" name="QA10_2" sheetId="23" state="visible" r:id="rId23"/>
    <sheet xmlns:r="http://schemas.openxmlformats.org/officeDocument/2006/relationships" name="QA10_3" sheetId="24" state="visible" r:id="rId24"/>
    <sheet xmlns:r="http://schemas.openxmlformats.org/officeDocument/2006/relationships" name="QA11a" sheetId="25" state="visible" r:id="rId25"/>
    <sheet xmlns:r="http://schemas.openxmlformats.org/officeDocument/2006/relationships" name="QA11b" sheetId="26" state="visible" r:id="rId26"/>
    <sheet xmlns:r="http://schemas.openxmlformats.org/officeDocument/2006/relationships" name="QA11ab" sheetId="27" state="visible" r:id="rId27"/>
    <sheet xmlns:r="http://schemas.openxmlformats.org/officeDocument/2006/relationships" name="QA12_1" sheetId="28" state="visible" r:id="rId28"/>
    <sheet xmlns:r="http://schemas.openxmlformats.org/officeDocument/2006/relationships" name="QA12_2" sheetId="29" state="visible" r:id="rId29"/>
    <sheet xmlns:r="http://schemas.openxmlformats.org/officeDocument/2006/relationships" name="QA12_3" sheetId="30" state="visible" r:id="rId30"/>
    <sheet xmlns:r="http://schemas.openxmlformats.org/officeDocument/2006/relationships" name="QA12_4" sheetId="31" state="visible" r:id="rId31"/>
    <sheet xmlns:r="http://schemas.openxmlformats.org/officeDocument/2006/relationships" name="QA13" sheetId="32" state="visible" r:id="rId32"/>
    <sheet xmlns:r="http://schemas.openxmlformats.org/officeDocument/2006/relationships" name="QA14a" sheetId="33" state="visible" r:id="rId33"/>
    <sheet xmlns:r="http://schemas.openxmlformats.org/officeDocument/2006/relationships" name="QA14b" sheetId="34" state="visible" r:id="rId34"/>
    <sheet xmlns:r="http://schemas.openxmlformats.org/officeDocument/2006/relationships" name="QA14ab" sheetId="35" state="visible" r:id="rId35"/>
    <sheet xmlns:r="http://schemas.openxmlformats.org/officeDocument/2006/relationships" name="QA15_1" sheetId="36" state="visible" r:id="rId36"/>
    <sheet xmlns:r="http://schemas.openxmlformats.org/officeDocument/2006/relationships" name="QA15_2" sheetId="37" state="visible" r:id="rId37"/>
    <sheet xmlns:r="http://schemas.openxmlformats.org/officeDocument/2006/relationships" name="QA16" sheetId="38" state="visible" r:id="rId38"/>
    <sheet xmlns:r="http://schemas.openxmlformats.org/officeDocument/2006/relationships" name="SD27" sheetId="39" state="visible" r:id="rId39"/>
    <sheet xmlns:r="http://schemas.openxmlformats.org/officeDocument/2006/relationships" name="D11A" sheetId="40" state="visible" r:id="rId40"/>
    <sheet xmlns:r="http://schemas.openxmlformats.org/officeDocument/2006/relationships" name="D11R" sheetId="41" state="visible" r:id="rId41"/>
    <sheet xmlns:r="http://schemas.openxmlformats.org/officeDocument/2006/relationships" name="D11bis" sheetId="42" state="visible" r:id="rId42"/>
    <sheet xmlns:r="http://schemas.openxmlformats.org/officeDocument/2006/relationships" name="D11G" sheetId="43" state="visible" r:id="rId43"/>
    <sheet xmlns:r="http://schemas.openxmlformats.org/officeDocument/2006/relationships" name="D8" sheetId="44" state="visible" r:id="rId44"/>
    <sheet xmlns:r="http://schemas.openxmlformats.org/officeDocument/2006/relationships" name="D8c" sheetId="45" state="visible" r:id="rId45"/>
    <sheet xmlns:r="http://schemas.openxmlformats.org/officeDocument/2006/relationships" name="D8cR2" sheetId="46" state="visible" r:id="rId46"/>
    <sheet xmlns:r="http://schemas.openxmlformats.org/officeDocument/2006/relationships" name="D10" sheetId="47" state="visible" r:id="rId47"/>
    <sheet xmlns:r="http://schemas.openxmlformats.org/officeDocument/2006/relationships" name="D15a" sheetId="48" state="visible" r:id="rId48"/>
    <sheet xmlns:r="http://schemas.openxmlformats.org/officeDocument/2006/relationships" name="D15a2" sheetId="49" state="visible" r:id="rId49"/>
    <sheet xmlns:r="http://schemas.openxmlformats.org/officeDocument/2006/relationships" name="C14" sheetId="50" state="visible" r:id="rId50"/>
    <sheet xmlns:r="http://schemas.openxmlformats.org/officeDocument/2006/relationships" name="D15b" sheetId="51" state="visible" r:id="rId51"/>
    <sheet xmlns:r="http://schemas.openxmlformats.org/officeDocument/2006/relationships" name="D15b2" sheetId="52" state="visible" r:id="rId52"/>
    <sheet xmlns:r="http://schemas.openxmlformats.org/officeDocument/2006/relationships" name="D25" sheetId="53" state="visible" r:id="rId53"/>
    <sheet xmlns:r="http://schemas.openxmlformats.org/officeDocument/2006/relationships" name="D60" sheetId="54" state="visible" r:id="rId54"/>
    <sheet xmlns:r="http://schemas.openxmlformats.org/officeDocument/2006/relationships" name="D62_1" sheetId="55" state="visible" r:id="rId55"/>
    <sheet xmlns:r="http://schemas.openxmlformats.org/officeDocument/2006/relationships" name="D62_2" sheetId="56" state="visible" r:id="rId56"/>
    <sheet xmlns:r="http://schemas.openxmlformats.org/officeDocument/2006/relationships" name="D62_3" sheetId="57" state="visible" r:id="rId57"/>
    <sheet xmlns:r="http://schemas.openxmlformats.org/officeDocument/2006/relationships" name="D62_4" sheetId="58" state="visible" r:id="rId58"/>
    <sheet xmlns:r="http://schemas.openxmlformats.org/officeDocument/2006/relationships" name="D62R" sheetId="59" state="visible" r:id="rId59"/>
    <sheet xmlns:r="http://schemas.openxmlformats.org/officeDocument/2006/relationships" name="D63" sheetId="60" state="visible" r:id="rId60"/>
    <sheet xmlns:r="http://schemas.openxmlformats.org/officeDocument/2006/relationships" name="D70" sheetId="61" state="visible" r:id="rId61"/>
    <sheet xmlns:r="http://schemas.openxmlformats.org/officeDocument/2006/relationships" name="D70b" sheetId="62" state="visible" r:id="rId62"/>
    <sheet xmlns:r="http://schemas.openxmlformats.org/officeDocument/2006/relationships" name="D73_1" sheetId="63" state="visible" r:id="rId63"/>
    <sheet xmlns:r="http://schemas.openxmlformats.org/officeDocument/2006/relationships" name="D73_2" sheetId="64" state="visible" r:id="rId64"/>
    <sheet xmlns:r="http://schemas.openxmlformats.org/officeDocument/2006/relationships" name="D73_3" sheetId="65" state="visible" r:id="rId65"/>
    <sheet xmlns:r="http://schemas.openxmlformats.org/officeDocument/2006/relationships" name="D73_4" sheetId="66" state="visible" r:id="rId66"/>
    <sheet xmlns:r="http://schemas.openxmlformats.org/officeDocument/2006/relationships" name="D71_1" sheetId="67" state="visible" r:id="rId67"/>
    <sheet xmlns:r="http://schemas.openxmlformats.org/officeDocument/2006/relationships" name="D71_2" sheetId="68" state="visible" r:id="rId68"/>
    <sheet xmlns:r="http://schemas.openxmlformats.org/officeDocument/2006/relationships" name="D71_3" sheetId="69" state="visible" r:id="rId69"/>
    <sheet xmlns:r="http://schemas.openxmlformats.org/officeDocument/2006/relationships" name="C2" sheetId="70" state="visible" r:id="rId70"/>
    <sheet xmlns:r="http://schemas.openxmlformats.org/officeDocument/2006/relationships" name="SD18a" sheetId="71" state="visible" r:id="rId71"/>
    <sheet xmlns:r="http://schemas.openxmlformats.org/officeDocument/2006/relationships" name="SD18b" sheetId="72" state="visible" r:id="rId72"/>
    <sheet xmlns:r="http://schemas.openxmlformats.org/officeDocument/2006/relationships" name="D72_1" sheetId="73" state="visible" r:id="rId73"/>
    <sheet xmlns:r="http://schemas.openxmlformats.org/officeDocument/2006/relationships" name="D72_2" sheetId="74" state="visible" r:id="rId74"/>
    <sheet xmlns:r="http://schemas.openxmlformats.org/officeDocument/2006/relationships" name="D72_3" sheetId="75" state="visible" r:id="rId75"/>
    <sheet xmlns:r="http://schemas.openxmlformats.org/officeDocument/2006/relationships" name="D1" sheetId="76" state="visible" r:id="rId76"/>
    <sheet xmlns:r="http://schemas.openxmlformats.org/officeDocument/2006/relationships" name="D1R1" sheetId="77" state="visible" r:id="rId77"/>
    <sheet xmlns:r="http://schemas.openxmlformats.org/officeDocument/2006/relationships" name="D1R2" sheetId="78" state="visible" r:id="rId78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  <font>
      <name val="Arial"/>
      <b val="1"/>
      <sz val="10"/>
    </font>
    <font>
      <name val="Arial"/>
      <sz val="8"/>
    </font>
    <font>
      <name val="Arial"/>
      <b val="1"/>
      <sz val="8"/>
    </font>
    <font>
      <name val="Arial"/>
      <sz val="7"/>
    </font>
    <font>
      <name val="Arial"/>
      <b val="1"/>
      <sz val="7"/>
    </font>
    <font>
      <name val="Arial"/>
      <color rgb="FF0563C1"/>
      <sz val="10"/>
      <u val="single"/>
    </font>
    <font>
      <name val="Arial"/>
      <sz val="10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1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wrapText="1"/>
    </xf>
    <xf numFmtId="0" fontId="4" fillId="0" borderId="1" pivotButton="0" quotePrefix="0" xfId="0"/>
    <xf numFmtId="0" fontId="6" fillId="0" borderId="3" applyAlignment="1" pivotButton="0" quotePrefix="0" xfId="0">
      <alignment horizontal="center" vertical="center" wrapText="1"/>
    </xf>
    <xf numFmtId="0" fontId="0" fillId="0" borderId="2" pivotButton="0" quotePrefix="0" xfId="0"/>
    <xf numFmtId="0" fontId="7" fillId="0" borderId="3" applyAlignment="1" pivotButton="0" quotePrefix="0" xfId="0">
      <alignment horizontal="right"/>
    </xf>
    <xf numFmtId="0" fontId="4" fillId="0" borderId="3" applyAlignment="1" pivotButton="0" quotePrefix="0" xfId="0">
      <alignment wrapText="1"/>
    </xf>
    <xf numFmtId="0" fontId="6" fillId="0" borderId="3" applyAlignment="1" pivotButton="0" quotePrefix="0" xfId="0">
      <alignment wrapText="1"/>
    </xf>
    <xf numFmtId="0" fontId="4" fillId="0" borderId="4" applyAlignment="1" pivotButton="0" quotePrefix="0" xfId="0">
      <alignment wrapText="1"/>
    </xf>
    <xf numFmtId="9" fontId="6" fillId="0" borderId="4" pivotButton="0" quotePrefix="0" xfId="0"/>
    <xf numFmtId="0" fontId="6" fillId="0" borderId="4" applyAlignment="1" pivotButton="0" quotePrefix="0" xfId="0">
      <alignment horizontal="right"/>
    </xf>
    <xf numFmtId="0" fontId="4" fillId="0" borderId="0" applyAlignment="1" pivotButton="0" quotePrefix="0" xfId="0">
      <alignment wrapText="1"/>
    </xf>
    <xf numFmtId="0" fontId="5" fillId="0" borderId="3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5" pivotButton="0" quotePrefix="0" xfId="0"/>
    <xf numFmtId="0" fontId="4" fillId="0" borderId="1" applyAlignment="1" pivotButton="0" quotePrefix="0" xfId="0">
      <alignment wrapText="1"/>
    </xf>
    <xf numFmtId="0" fontId="0" fillId="0" borderId="1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/xl/worksheets/sheet26.xml"/><Relationship Id="rId21" Type="http://schemas.openxmlformats.org/officeDocument/2006/relationships/worksheet" Target="/xl/worksheets/sheet21.xml"/><Relationship Id="rId42" Type="http://schemas.openxmlformats.org/officeDocument/2006/relationships/worksheet" Target="/xl/worksheets/sheet42.xml"/><Relationship Id="rId47" Type="http://schemas.openxmlformats.org/officeDocument/2006/relationships/worksheet" Target="/xl/worksheets/sheet47.xml"/><Relationship Id="rId63" Type="http://schemas.openxmlformats.org/officeDocument/2006/relationships/worksheet" Target="/xl/worksheets/sheet63.xml"/><Relationship Id="rId68" Type="http://schemas.openxmlformats.org/officeDocument/2006/relationships/worksheet" Target="/xl/worksheets/sheet68.xml"/><Relationship Id="rId16" Type="http://schemas.openxmlformats.org/officeDocument/2006/relationships/worksheet" Target="/xl/worksheets/sheet16.xml"/><Relationship Id="rId11" Type="http://schemas.openxmlformats.org/officeDocument/2006/relationships/worksheet" Target="/xl/worksheets/sheet11.xml"/><Relationship Id="rId32" Type="http://schemas.openxmlformats.org/officeDocument/2006/relationships/worksheet" Target="/xl/worksheets/sheet32.xml"/><Relationship Id="rId37" Type="http://schemas.openxmlformats.org/officeDocument/2006/relationships/worksheet" Target="/xl/worksheets/sheet37.xml"/><Relationship Id="rId53" Type="http://schemas.openxmlformats.org/officeDocument/2006/relationships/worksheet" Target="/xl/worksheets/sheet53.xml"/><Relationship Id="rId58" Type="http://schemas.openxmlformats.org/officeDocument/2006/relationships/worksheet" Target="/xl/worksheets/sheet58.xml"/><Relationship Id="rId74" Type="http://schemas.openxmlformats.org/officeDocument/2006/relationships/worksheet" Target="/xl/worksheets/sheet74.xml"/><Relationship Id="rId79" Type="http://schemas.openxmlformats.org/officeDocument/2006/relationships/styles" Target="styles.xml"/><Relationship Id="rId5" Type="http://schemas.openxmlformats.org/officeDocument/2006/relationships/worksheet" Target="/xl/worksheets/sheet5.xml"/><Relationship Id="rId61" Type="http://schemas.openxmlformats.org/officeDocument/2006/relationships/worksheet" Target="/xl/worksheets/sheet61.xml"/><Relationship Id="rId82" Type="http://schemas.openxmlformats.org/officeDocument/2006/relationships/customXml" Target="../customXml/item2.xml"/><Relationship Id="rId19" Type="http://schemas.openxmlformats.org/officeDocument/2006/relationships/worksheet" Target="/xl/worksheets/sheet19.xml"/><Relationship Id="rId14" Type="http://schemas.openxmlformats.org/officeDocument/2006/relationships/worksheet" Target="/xl/worksheets/sheet14.xml"/><Relationship Id="rId22" Type="http://schemas.openxmlformats.org/officeDocument/2006/relationships/worksheet" Target="/xl/worksheets/sheet22.xml"/><Relationship Id="rId27" Type="http://schemas.openxmlformats.org/officeDocument/2006/relationships/worksheet" Target="/xl/worksheets/sheet27.xml"/><Relationship Id="rId30" Type="http://schemas.openxmlformats.org/officeDocument/2006/relationships/worksheet" Target="/xl/worksheets/sheet30.xml"/><Relationship Id="rId35" Type="http://schemas.openxmlformats.org/officeDocument/2006/relationships/worksheet" Target="/xl/worksheets/sheet35.xml"/><Relationship Id="rId43" Type="http://schemas.openxmlformats.org/officeDocument/2006/relationships/worksheet" Target="/xl/worksheets/sheet43.xml"/><Relationship Id="rId48" Type="http://schemas.openxmlformats.org/officeDocument/2006/relationships/worksheet" Target="/xl/worksheets/sheet48.xml"/><Relationship Id="rId56" Type="http://schemas.openxmlformats.org/officeDocument/2006/relationships/worksheet" Target="/xl/worksheets/sheet56.xml"/><Relationship Id="rId64" Type="http://schemas.openxmlformats.org/officeDocument/2006/relationships/worksheet" Target="/xl/worksheets/sheet64.xml"/><Relationship Id="rId69" Type="http://schemas.openxmlformats.org/officeDocument/2006/relationships/worksheet" Target="/xl/worksheets/sheet69.xml"/><Relationship Id="rId77" Type="http://schemas.openxmlformats.org/officeDocument/2006/relationships/worksheet" Target="/xl/worksheets/sheet77.xml"/><Relationship Id="rId8" Type="http://schemas.openxmlformats.org/officeDocument/2006/relationships/worksheet" Target="/xl/worksheets/sheet8.xml"/><Relationship Id="rId51" Type="http://schemas.openxmlformats.org/officeDocument/2006/relationships/worksheet" Target="/xl/worksheets/sheet51.xml"/><Relationship Id="rId72" Type="http://schemas.openxmlformats.org/officeDocument/2006/relationships/worksheet" Target="/xl/worksheets/sheet72.xml"/><Relationship Id="rId80" Type="http://schemas.openxmlformats.org/officeDocument/2006/relationships/theme" Target="theme/theme1.xml"/><Relationship Id="rId3" Type="http://schemas.openxmlformats.org/officeDocument/2006/relationships/worksheet" Target="/xl/worksheets/sheet3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worksheet" Target="/xl/worksheets/sheet25.xml"/><Relationship Id="rId33" Type="http://schemas.openxmlformats.org/officeDocument/2006/relationships/worksheet" Target="/xl/worksheets/sheet33.xml"/><Relationship Id="rId38" Type="http://schemas.openxmlformats.org/officeDocument/2006/relationships/worksheet" Target="/xl/worksheets/sheet38.xml"/><Relationship Id="rId46" Type="http://schemas.openxmlformats.org/officeDocument/2006/relationships/worksheet" Target="/xl/worksheets/sheet46.xml"/><Relationship Id="rId59" Type="http://schemas.openxmlformats.org/officeDocument/2006/relationships/worksheet" Target="/xl/worksheets/sheet59.xml"/><Relationship Id="rId67" Type="http://schemas.openxmlformats.org/officeDocument/2006/relationships/worksheet" Target="/xl/worksheets/sheet67.xml"/><Relationship Id="rId20" Type="http://schemas.openxmlformats.org/officeDocument/2006/relationships/worksheet" Target="/xl/worksheets/sheet20.xml"/><Relationship Id="rId41" Type="http://schemas.openxmlformats.org/officeDocument/2006/relationships/worksheet" Target="/xl/worksheets/sheet41.xml"/><Relationship Id="rId54" Type="http://schemas.openxmlformats.org/officeDocument/2006/relationships/worksheet" Target="/xl/worksheets/sheet54.xml"/><Relationship Id="rId62" Type="http://schemas.openxmlformats.org/officeDocument/2006/relationships/worksheet" Target="/xl/worksheets/sheet62.xml"/><Relationship Id="rId70" Type="http://schemas.openxmlformats.org/officeDocument/2006/relationships/worksheet" Target="/xl/worksheets/sheet70.xml"/><Relationship Id="rId75" Type="http://schemas.openxmlformats.org/officeDocument/2006/relationships/worksheet" Target="/xl/worksheets/sheet75.xml"/><Relationship Id="rId83" Type="http://schemas.openxmlformats.org/officeDocument/2006/relationships/customXml" Target="../customXml/item3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5" Type="http://schemas.openxmlformats.org/officeDocument/2006/relationships/worksheet" Target="/xl/worksheets/sheet15.xml"/><Relationship Id="rId23" Type="http://schemas.openxmlformats.org/officeDocument/2006/relationships/worksheet" Target="/xl/worksheets/sheet23.xml"/><Relationship Id="rId28" Type="http://schemas.openxmlformats.org/officeDocument/2006/relationships/worksheet" Target="/xl/worksheets/sheet28.xml"/><Relationship Id="rId36" Type="http://schemas.openxmlformats.org/officeDocument/2006/relationships/worksheet" Target="/xl/worksheets/sheet36.xml"/><Relationship Id="rId49" Type="http://schemas.openxmlformats.org/officeDocument/2006/relationships/worksheet" Target="/xl/worksheets/sheet49.xml"/><Relationship Id="rId57" Type="http://schemas.openxmlformats.org/officeDocument/2006/relationships/worksheet" Target="/xl/worksheets/sheet57.xml"/><Relationship Id="rId10" Type="http://schemas.openxmlformats.org/officeDocument/2006/relationships/worksheet" Target="/xl/worksheets/sheet10.xml"/><Relationship Id="rId31" Type="http://schemas.openxmlformats.org/officeDocument/2006/relationships/worksheet" Target="/xl/worksheets/sheet31.xml"/><Relationship Id="rId44" Type="http://schemas.openxmlformats.org/officeDocument/2006/relationships/worksheet" Target="/xl/worksheets/sheet44.xml"/><Relationship Id="rId52" Type="http://schemas.openxmlformats.org/officeDocument/2006/relationships/worksheet" Target="/xl/worksheets/sheet52.xml"/><Relationship Id="rId60" Type="http://schemas.openxmlformats.org/officeDocument/2006/relationships/worksheet" Target="/xl/worksheets/sheet60.xml"/><Relationship Id="rId65" Type="http://schemas.openxmlformats.org/officeDocument/2006/relationships/worksheet" Target="/xl/worksheets/sheet65.xml"/><Relationship Id="rId73" Type="http://schemas.openxmlformats.org/officeDocument/2006/relationships/worksheet" Target="/xl/worksheets/sheet73.xml"/><Relationship Id="rId78" Type="http://schemas.openxmlformats.org/officeDocument/2006/relationships/worksheet" Target="/xl/worksheets/sheet78.xml"/><Relationship Id="rId81" Type="http://schemas.openxmlformats.org/officeDocument/2006/relationships/customXml" Target="../customXml/item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39" Type="http://schemas.openxmlformats.org/officeDocument/2006/relationships/worksheet" Target="/xl/worksheets/sheet39.xml"/><Relationship Id="rId34" Type="http://schemas.openxmlformats.org/officeDocument/2006/relationships/worksheet" Target="/xl/worksheets/sheet34.xml"/><Relationship Id="rId50" Type="http://schemas.openxmlformats.org/officeDocument/2006/relationships/worksheet" Target="/xl/worksheets/sheet50.xml"/><Relationship Id="rId55" Type="http://schemas.openxmlformats.org/officeDocument/2006/relationships/worksheet" Target="/xl/worksheets/sheet55.xml"/><Relationship Id="rId76" Type="http://schemas.openxmlformats.org/officeDocument/2006/relationships/worksheet" Target="/xl/worksheets/sheet76.xml"/><Relationship Id="rId7" Type="http://schemas.openxmlformats.org/officeDocument/2006/relationships/worksheet" Target="/xl/worksheets/sheet7.xml"/><Relationship Id="rId71" Type="http://schemas.openxmlformats.org/officeDocument/2006/relationships/worksheet" Target="/xl/worksheets/sheet71.xml"/><Relationship Id="rId2" Type="http://schemas.openxmlformats.org/officeDocument/2006/relationships/worksheet" Target="/xl/worksheets/sheet2.xml"/><Relationship Id="rId29" Type="http://schemas.openxmlformats.org/officeDocument/2006/relationships/worksheet" Target="/xl/worksheets/sheet29.xml"/><Relationship Id="rId24" Type="http://schemas.openxmlformats.org/officeDocument/2006/relationships/worksheet" Target="/xl/worksheets/sheet24.xml"/><Relationship Id="rId40" Type="http://schemas.openxmlformats.org/officeDocument/2006/relationships/worksheet" Target="/xl/worksheets/sheet40.xml"/><Relationship Id="rId45" Type="http://schemas.openxmlformats.org/officeDocument/2006/relationships/worksheet" Target="/xl/worksheets/sheet45.xml"/><Relationship Id="rId66" Type="http://schemas.openxmlformats.org/officeDocument/2006/relationships/worksheet" Target="/xl/worksheets/sheet6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tabSelected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.42578125" customWidth="1" style="18" min="1" max="1"/>
    <col width="100" customWidth="1" style="18" min="2" max="3"/>
  </cols>
  <sheetData>
    <row r="1">
      <c r="A1" s="1" t="inlineStr">
        <is>
          <t>Project:</t>
        </is>
      </c>
      <c r="B1" s="2" t="inlineStr">
        <is>
          <t>Eurobarometer</t>
        </is>
      </c>
    </row>
    <row r="2">
      <c r="A2" s="1" t="inlineStr">
        <is>
          <t>Wave:</t>
        </is>
      </c>
      <c r="B2" s="3" t="inlineStr">
        <is>
          <t>105.3</t>
        </is>
      </c>
    </row>
    <row r="3">
      <c r="A3" s="1" t="inlineStr">
        <is>
          <t>Fieldwork:</t>
        </is>
      </c>
      <c r="B3" s="2" t="inlineStr">
        <is>
          <t>9/4 - 4/5/2026</t>
        </is>
      </c>
    </row>
    <row r="4"/>
    <row r="5">
      <c r="A5" s="4" t="inlineStr">
        <is>
          <t>Sheet</t>
        </is>
      </c>
      <c r="B5" s="4" t="inlineStr">
        <is>
          <t>Question French</t>
        </is>
      </c>
      <c r="C5" s="4" t="inlineStr">
        <is>
          <t>Question English</t>
        </is>
      </c>
    </row>
    <row r="6">
      <c r="A6" s="5">
        <f>HYPERLINK("#'B'!A1", "B")</f>
        <v/>
      </c>
      <c r="B6" s="6" t="inlineStr">
        <is>
          <t>B. Pays de terrain</t>
        </is>
      </c>
      <c r="C6" s="6" t="inlineStr">
        <is>
          <t>B. Fieldwork country</t>
        </is>
      </c>
    </row>
    <row r="7">
      <c r="A7" s="5">
        <f>HYPERLINK("#'QA1'!A1", "QA1")</f>
        <v/>
      </c>
      <c r="B7" s="6" t="inlineStr">
        <is>
          <t>QA1. Avez-vous récemment lu dans les journaux, vu sur Internet ou à la télévision ou entendu à la radio quelque chose au sujet du Parlement européen ?</t>
        </is>
      </c>
      <c r="C7" s="6" t="inlineStr">
        <is>
          <t>QA1. Have you recently read in the press, seen on the Internet or on television or heard on the radio something about the European Parliament?</t>
        </is>
      </c>
    </row>
    <row r="8">
      <c r="A8" s="5">
        <f>HYPERLINK("#'QA2'!A1", "QA2")</f>
        <v/>
      </c>
      <c r="B8" s="6" t="inlineStr">
        <is>
          <t>QA2. En général, diriez-vous que vous avez une image très positive, plutôt positive, neutre, plutôt négative ou très négative du Parlement européen ?</t>
        </is>
      </c>
      <c r="C8" s="6" t="inlineStr">
        <is>
          <t>QA2. In general, do you have a very positive, fairly positive, neutral, fairly negative or very negative image of the European Parliament?</t>
        </is>
      </c>
    </row>
    <row r="9">
      <c r="A9" s="5">
        <f>HYPERLINK("#'QA3'!A1", "QA3")</f>
        <v/>
      </c>
      <c r="B9" s="6" t="inlineStr">
        <is>
          <t>QA3. Souhaiteriez-vous voir le Parlement européen jouer un rôle plus important ou moins important ?</t>
        </is>
      </c>
      <c r="C9" s="6" t="inlineStr">
        <is>
          <t>QA3. Would you personally like to see the European Parliament play a more important or less important role?</t>
        </is>
      </c>
    </row>
    <row r="10">
      <c r="A10" s="5">
        <f>HYPERLINK("#'D78'!A1", "D78")</f>
        <v/>
      </c>
      <c r="B10" s="6" t="inlineStr">
        <is>
          <t>D78. En général, l’Union européenne évoque-t-elle pour vous une image très positive, assez positive, neutre, assez négative ou très négative ?</t>
        </is>
      </c>
      <c r="C10" s="6" t="inlineStr">
        <is>
          <t>D78. In general, does the EU conjure up for you a very positive, fairly positive, neutral, fairly negative or very negative image?</t>
        </is>
      </c>
    </row>
    <row r="11">
      <c r="A11" s="5">
        <f>HYPERLINK("#'QA4'!A1", "QA4")</f>
        <v/>
      </c>
      <c r="B11" s="6" t="inlineStr">
        <is>
          <t>QA4. Tout bien considéré, estimez-vous que (NOTRE PAYS) a bénéficié ou non de son appartenance à l'Union européenne ?</t>
        </is>
      </c>
      <c r="C11" s="6" t="inlineStr">
        <is>
          <t>QA4. Taking everything into account, would you say that (OUR COUNTRY) has on balance benefited or not from being a member of the EU?</t>
        </is>
      </c>
    </row>
    <row r="12">
      <c r="A12" s="5">
        <f>HYPERLINK("#'QA5a'!A1", "QA5a")</f>
        <v/>
      </c>
      <c r="B12" s="6" t="inlineStr">
        <is>
          <t>QA5a. Que (NOTRE PAYS) ait bénéficié ou non selon vous de son appartenance à l'UE, parmi les raisons suivantes, quelles sont les principales raisons pour lesquelles les gens pensent que (NOTRE PAYS) a bénéficié de son appartenance à l'UE ? En premier ?</t>
        </is>
      </c>
      <c r="C12" s="6" t="inlineStr">
        <is>
          <t>QA5a. Regardless of whether you think (OUR COUNTRY) has benefited or not from being a member of the EU, which of the following are the main reasons why people think (OUR COUNTRY) has benefited from being a member of the EU? Firstly?</t>
        </is>
      </c>
    </row>
    <row r="13">
      <c r="A13" s="5">
        <f>HYPERLINK("#'QA5b'!A1", "QA5b")</f>
        <v/>
      </c>
      <c r="B13" s="6" t="inlineStr">
        <is>
          <t>QA5b. Et ensuite ? (2 RÉPONSES MAX.)</t>
        </is>
      </c>
      <c r="C13" s="6" t="inlineStr">
        <is>
          <t>QA5b. And then? (MAX. 2 ANSWERS)</t>
        </is>
      </c>
    </row>
    <row r="14">
      <c r="A14" s="5">
        <f>HYPERLINK("#'QA5ab'!A1", "QA5ab")</f>
        <v/>
      </c>
      <c r="B14" s="6" t="inlineStr">
        <is>
          <t>QA5ab. Que (NOTRE PAYS) ait bénéficié ou non selon vous de son appartenance à l'UE, parmi les raisons suivantes, quelles sont les principales raisons pour lesquelles les gens pensent que (NOTRE PAYS) a bénéficié de son appartenance à l'UE ? En premier ? Et ensuite ? (3 RÉPONSES MAX.)</t>
        </is>
      </c>
      <c r="C14" s="6" t="inlineStr">
        <is>
          <t>QA5ab. Regardless of whether you think (OUR COUNTRY) has benefited or not from being a member of the EU, which of the following are the main reasons why people think (OUR COUNTRY) has benefited from being a member of the EU? Firstly? And then? (MAX. 3 ANSWERS)</t>
        </is>
      </c>
    </row>
    <row r="15">
      <c r="A15" s="5">
        <f>HYPERLINK("#'QA6a'!A1", "QA6a")</f>
        <v/>
      </c>
      <c r="B15" s="6" t="inlineStr">
        <is>
          <t>QA6a. Quels sentiments décrivent le mieux votre état émotionnel actuel ? En premier ?</t>
        </is>
      </c>
      <c r="C15" s="6" t="inlineStr">
        <is>
          <t>QA6a. What feelings best describe your current emotional state? Firstly?</t>
        </is>
      </c>
    </row>
    <row r="16">
      <c r="A16" s="5">
        <f>HYPERLINK("#'QA6b'!A1", "QA6b")</f>
        <v/>
      </c>
      <c r="B16" s="6" t="inlineStr">
        <is>
          <t>QA6b. Et ensuite ? (3 RÉPONSES MAX.)</t>
        </is>
      </c>
      <c r="C16" s="6" t="inlineStr">
        <is>
          <t>QA6b. And then? (MAX. 3 ANSWERS)</t>
        </is>
      </c>
    </row>
    <row r="17">
      <c r="A17" s="5">
        <f>HYPERLINK("#'QA6ab'!A1", "QA6ab")</f>
        <v/>
      </c>
      <c r="B17" s="6" t="inlineStr">
        <is>
          <t>QA6ab. Quels sentiments décrivent le mieux votre état émotionnel actuel ? En premier ? Et ensuite ? (4 RÉPONSES MAX.)</t>
        </is>
      </c>
      <c r="C17" s="6" t="inlineStr">
        <is>
          <t>QA6ab. What feelings best describe your current emotional state? Firstly? And then? (MAX. 4 ANSWERS)</t>
        </is>
      </c>
    </row>
    <row r="18">
      <c r="A18" s="5">
        <f>HYPERLINK("#'QA7a'!A1", "QA7a")</f>
        <v/>
      </c>
      <c r="B18" s="6" t="inlineStr">
        <is>
          <t>QA7a. Parmi les sujets suivants, lesquels souhaiteriez-vous que le Parlement européen traite en priorité ? En premier ?</t>
        </is>
      </c>
      <c r="C18" s="6" t="inlineStr">
        <is>
          <t>QA7a. Which of the following topics would you like to see addressed in priority by the European Parliament? Firstly?</t>
        </is>
      </c>
    </row>
    <row r="19">
      <c r="A19" s="5">
        <f>HYPERLINK("#'QA7b'!A1", "QA7b")</f>
        <v/>
      </c>
      <c r="B19" s="6" t="inlineStr">
        <is>
          <t>QA7b. Et ensuite ? (3 RÉPONSES MAX.)</t>
        </is>
      </c>
      <c r="C19" s="6" t="inlineStr">
        <is>
          <t>QA7b. And then? (MAX. 3 ANSWERS)</t>
        </is>
      </c>
    </row>
    <row r="20">
      <c r="A20" s="5">
        <f>HYPERLINK("#'QA7ab'!A1", "QA7ab")</f>
        <v/>
      </c>
      <c r="B20" s="6" t="inlineStr">
        <is>
          <t>QA7ab. Parmi les sujets suivants, lesquels souhaiteriez-vous que le Parlement européen traite en priorité ? En premier ? Et ensuite ? (4 RÉPONSES MAX.)</t>
        </is>
      </c>
      <c r="C20" s="6" t="inlineStr">
        <is>
          <t>QA7ab. Which of the following topics would you like to see addressed in priority by the European Parliament? Firstly? And then? (MAX. 4 ANSWERS)</t>
        </is>
      </c>
    </row>
    <row r="21">
      <c r="A21" s="5">
        <f>HYPERLINK("#'QA8a'!A1", "QA8a")</f>
        <v/>
      </c>
      <c r="B21" s="6" t="inlineStr">
        <is>
          <t>QA8a. Parmi les propositions suivantes, quelles sont selon vous les valeurs que le Parlement européen devrait défendre en priorité ? En premier ?</t>
        </is>
      </c>
      <c r="C21" s="6" t="inlineStr">
        <is>
          <t>QA8a. In your opinion, which of the following values should the European Parliament defend as a matter of priority? Firstly?</t>
        </is>
      </c>
    </row>
    <row r="22">
      <c r="A22" s="5">
        <f>HYPERLINK("#'QA8b'!A1", "QA8b")</f>
        <v/>
      </c>
      <c r="B22" s="6" t="inlineStr">
        <is>
          <t>QA8b. Et ensuite ? (2 RÉPONSES MAX.)</t>
        </is>
      </c>
      <c r="C22" s="6" t="inlineStr">
        <is>
          <t>QA8b. And then? (MAX. 2 ANSWERS)</t>
        </is>
      </c>
    </row>
    <row r="23">
      <c r="A23" s="5">
        <f>HYPERLINK("#'QA8ab'!A1", "QA8ab")</f>
        <v/>
      </c>
      <c r="B23" s="6" t="inlineStr">
        <is>
          <t>QA8ab. Parmi les propositions suivantes, quelles sont selon vous les valeurs que le Parlement européen devrait défendre en priorité ? En premier ? Et ensuite ? (3 RÉPONSES MAX.)</t>
        </is>
      </c>
      <c r="C23" s="6" t="inlineStr">
        <is>
          <t>QA8ab. In your opinion, which of the following values should the European Parliament defend as a matter of priority? Firstly? And then? (MAX. 3 ANSWERS)</t>
        </is>
      </c>
    </row>
    <row r="24">
      <c r="A24" s="5">
        <f>HYPERLINK("#'QASD'!A1", "QASD")</f>
        <v/>
      </c>
      <c r="B24" s="6" t="inlineStr">
        <is>
          <t>QASD. Êtes-vous tout à fait d’accord, plutôt d’accord, plutôt pas d’accord ou pas du tout d’accord avec la proposition suivante ?:-L'Union européenne est un lieu de stabilité dans un monde troublé</t>
        </is>
      </c>
      <c r="C24" s="6" t="inlineStr">
        <is>
          <t>QASD. Please tell me whether you totally agree, tend to agree, tend to disagree or totally disagree with the following statement::-The European Union is a place of stability in a troubled world</t>
        </is>
      </c>
    </row>
    <row r="25">
      <c r="A25" s="5">
        <f>HYPERLINK("#'QA9'!A1", "QA9")</f>
        <v/>
      </c>
      <c r="B25" s="6" t="inlineStr">
        <is>
          <t>QA9. Diriez-vous que ::-À l’avenir, le rôle de l’Union européenne en matière de protection des citoyens européens contre les crises mondiales et les risques de sécurité devrait...</t>
        </is>
      </c>
      <c r="C25" s="6" t="inlineStr">
        <is>
          <t>QA9. Would you say that::-In the future, the role of the European Union to protect European citizens against global crises and security risks should…</t>
        </is>
      </c>
    </row>
    <row r="26">
      <c r="A26" s="5">
        <f>HYPERLINK("#'QA10_1'!A1", "QA10_1")</f>
        <v/>
      </c>
      <c r="B26" s="6" t="inlineStr">
        <is>
          <t>QA10.1. Dans quelle mesure êtes-vous d’accord ou pas d’accord avec chacune des affirmations suivantes ?:-Les États membres de l’UE devraient être plus unis pour faire face aux défis mondiaux actuels</t>
        </is>
      </c>
      <c r="C26" s="6" t="inlineStr">
        <is>
          <t>QA10.1. To what extent do you agree or disagree with each of the following statements?:-EU Member States should be more united to face current global challenges</t>
        </is>
      </c>
    </row>
    <row r="27">
      <c r="A27" s="5">
        <f>HYPERLINK("#'QA10_2'!A1", "QA10_2")</f>
        <v/>
      </c>
      <c r="B27" s="6" t="inlineStr">
        <is>
          <t>QA10.2. Dans quelle mesure êtes-vous d’accord ou pas d’accord avec chacune des affirmations suivantes ?:-L’Union européenne a besoin de plus de moyens pour faire face aux défis mondiaux actuels</t>
        </is>
      </c>
      <c r="C27" s="6" t="inlineStr">
        <is>
          <t>QA10.2. To what extent do you agree or disagree with each of the following statements?:-The European Union needs more means to face current global challenges</t>
        </is>
      </c>
    </row>
    <row r="28">
      <c r="A28" s="5">
        <f>HYPERLINK("#'QA10_3'!A1", "QA10_3")</f>
        <v/>
      </c>
      <c r="B28" s="6" t="inlineStr">
        <is>
          <t>QA10.3. Dans quelle mesure êtes-vous d’accord ou pas d’accord avec chacune des affirmations suivantes ?:-L’Union européenne devrait promouvoir le respect du droit international par tous les pays</t>
        </is>
      </c>
      <c r="C28" s="6" t="inlineStr">
        <is>
          <t>QA10.3. To what extent do you agree or disagree with each of the following statements?:-The European Union should promote the respect of international law by all countries</t>
        </is>
      </c>
    </row>
    <row r="29">
      <c r="A29" s="5">
        <f>HYPERLINK("#'QA11a'!A1", "QA11a")</f>
        <v/>
      </c>
      <c r="B29" s="6" t="inlineStr">
        <is>
          <t>QA11a. En pensant à l’avenir, à quels aspects parmi les suivants l’UE devrait-elle accorder la priorité pour renforcer sa position dans le monde ? En premier ?</t>
        </is>
      </c>
      <c r="C29" s="6" t="inlineStr">
        <is>
          <t>QA11a. Thinking about the future, which of the following aspects should the EU focus on in order to strengthen its position in the world? Firstly?</t>
        </is>
      </c>
    </row>
    <row r="30">
      <c r="A30" s="5">
        <f>HYPERLINK("#'QA11b'!A1", "QA11b")</f>
        <v/>
      </c>
      <c r="B30" s="6" t="inlineStr">
        <is>
          <t>QA11b. Et ensuite ? (2 RÉPONSES MAX.)</t>
        </is>
      </c>
      <c r="C30" s="6" t="inlineStr">
        <is>
          <t>QA11b. And then? (MAX. 2 ANSWERS)</t>
        </is>
      </c>
    </row>
    <row r="31">
      <c r="A31" s="5">
        <f>HYPERLINK("#'QA11ab'!A1", "QA11ab")</f>
        <v/>
      </c>
      <c r="B31" s="6" t="inlineStr">
        <is>
          <t>QA11ab. En pensant à l’avenir, à quels aspects parmi les suivants l’UE devrait-elle accorder la priorité pour renforcer sa position dans le monde ? En premier ? Et ensuite ? (3 RÉPONSES MAX.)</t>
        </is>
      </c>
      <c r="C31" s="6" t="inlineStr">
        <is>
          <t>QA11ab. Thinking about the future, which of the following aspects should the EU focus on in order to strengthen its position in the world? Firstly? And then? (MAX. 3 ANSWERS)</t>
        </is>
      </c>
    </row>
    <row r="32">
      <c r="A32" s="5">
        <f>HYPERLINK("#'QA12_1'!A1", "QA12_1")</f>
        <v/>
      </c>
      <c r="B32" s="6" t="inlineStr">
        <is>
          <t>QA12.1. Diriez-vous que vous êtes très optimiste, plutôt optimiste, plutôt pessimiste ou très pessimiste concernant le futur de/du… ?:-Votre famille et vous-même</t>
        </is>
      </c>
      <c r="C32" s="6" t="inlineStr">
        <is>
          <t>QA12.1. Would you say that you are very optimistic, fairly optimistic, fairly pessimistic or very pessimistic about the future of ...?:-Your family and yourself</t>
        </is>
      </c>
    </row>
    <row r="33">
      <c r="A33" s="5">
        <f>HYPERLINK("#'QA12_2'!A1", "QA12_2")</f>
        <v/>
      </c>
      <c r="B33" s="6" t="inlineStr">
        <is>
          <t>QA12.2. Diriez-vous que vous êtes très optimiste, plutôt optimiste, plutôt pessimiste ou très pessimiste concernant le futur de/du… ?:-(NOTRE PAYS)</t>
        </is>
      </c>
      <c r="C33" s="6" t="inlineStr">
        <is>
          <t>QA12.2. Would you say that you are very optimistic, fairly optimistic, fairly pessimistic or very pessimistic about the future of ...?:-(OUR COUNTRY)</t>
        </is>
      </c>
    </row>
    <row r="34">
      <c r="A34" s="5">
        <f>HYPERLINK("#'QA12_3'!A1", "QA12_3")</f>
        <v/>
      </c>
      <c r="B34" s="6" t="inlineStr">
        <is>
          <t>QA12.3. Diriez-vous que vous êtes très optimiste, plutôt optimiste, plutôt pessimiste ou très pessimiste concernant le futur de/du… ?:-L’UE</t>
        </is>
      </c>
      <c r="C34" s="6" t="inlineStr">
        <is>
          <t>QA12.3. Would you say that you are very optimistic, fairly optimistic, fairly pessimistic or very pessimistic about the future of ...?:-The EU</t>
        </is>
      </c>
    </row>
    <row r="35">
      <c r="A35" s="5">
        <f>HYPERLINK("#'QA12_4'!A1", "QA12_4")</f>
        <v/>
      </c>
      <c r="B35" s="6" t="inlineStr">
        <is>
          <t>QA12.4. Diriez-vous que vous êtes très optimiste, plutôt optimiste, plutôt pessimiste ou très pessimiste concernant le futur de/du… ?:-Monde</t>
        </is>
      </c>
      <c r="C35" s="6" t="inlineStr">
        <is>
          <t>QA12.4. Would you say that you are very optimistic, fairly optimistic, fairly pessimistic or very pessimistic about the future of ...?:-The world</t>
        </is>
      </c>
    </row>
    <row r="36">
      <c r="A36" s="5">
        <f>HYPERLINK("#'QA13'!A1", "QA13")</f>
        <v/>
      </c>
      <c r="B36" s="6" t="inlineStr">
        <is>
          <t>QA13. Les gens peuvent avoir une idée différente de ce qu’est la « qualité de vie ». En ce qui vous concerne, parmi les propositions suivantes, lesquelles sont les plus importantes pour une bonne qualité de vie ? (PLUSIEURS RÉPONSES POSSIBLES)</t>
        </is>
      </c>
      <c r="C36" s="6" t="inlineStr">
        <is>
          <t>QA13. People may have different views about ‘quality of life’. For you, which of the following are most important for a good quality of life? (MULTIPLE ANSWERS POSSIBLE)</t>
        </is>
      </c>
    </row>
    <row r="37">
      <c r="A37" s="5">
        <f>HYPERLINK("#'QA14a'!A1", "QA14a")</f>
        <v/>
      </c>
      <c r="B37" s="6" t="inlineStr">
        <is>
          <t>QA14a. Dans lequel des domaines suivants des changements pourraient-ils le plus améliorer votre qualité de vie ? En premier ?</t>
        </is>
      </c>
      <c r="C37" s="6" t="inlineStr">
        <is>
          <t>QA14a. In which of the following areas could changes most improve your quality of life? Firstly?</t>
        </is>
      </c>
    </row>
    <row r="38">
      <c r="A38" s="5">
        <f>HYPERLINK("#'QA14b'!A1", "QA14b")</f>
        <v/>
      </c>
      <c r="B38" s="6" t="inlineStr">
        <is>
          <t>QA14b. Et ensuite ? (4 RÉPONSES MAX.)</t>
        </is>
      </c>
      <c r="C38" s="6" t="inlineStr">
        <is>
          <t>QA14b. And then? (MAX. 4 ANSWERS)</t>
        </is>
      </c>
    </row>
    <row r="39">
      <c r="A39" s="5">
        <f>HYPERLINK("#'QA14ab'!A1", "QA14ab")</f>
        <v/>
      </c>
      <c r="B39" s="6" t="inlineStr">
        <is>
          <t>QA14ab. Dans lequel des domaines suivants des changements pourraient-ils le plus améliorer votre qualité de vie ? En premier ? Et ensuite ? (5 RÉPONSES MAX.)</t>
        </is>
      </c>
      <c r="C39" s="6" t="inlineStr">
        <is>
          <t>QA14ab. In which of the following areas could changes most improve your quality of life? Firstly? And then? (MAX. 5 ANSWERS)</t>
        </is>
      </c>
    </row>
    <row r="40">
      <c r="A40" s="5">
        <f>HYPERLINK("#'QA15_1'!A1", "QA15_1")</f>
        <v/>
      </c>
      <c r="B40" s="6" t="inlineStr">
        <is>
          <t>QA15.1. De manière générale, diriez-vous que la qualité de vie dans l’UE est actuellement meilleure ou moins bonne que dans chacun de ces pays ?:-Les États-Unis</t>
        </is>
      </c>
      <c r="C40" s="6" t="inlineStr">
        <is>
          <t>QA15.1. In general, would you say that the quality of life in the EU is currently better or worse than in each of these countries?:-The United States</t>
        </is>
      </c>
    </row>
    <row r="41">
      <c r="A41" s="5">
        <f>HYPERLINK("#'QA15_2'!A1", "QA15_2")</f>
        <v/>
      </c>
      <c r="B41" s="6" t="inlineStr">
        <is>
          <t>QA15.2. De manière générale, diriez-vous que la qualité de vie dans l’UE est actuellement meilleure ou moins bonne que dans chacun de ces pays ?:-La Chine</t>
        </is>
      </c>
      <c r="C41" s="6" t="inlineStr">
        <is>
          <t>QA15.2. In general, would you say that the quality of life in the EU is currently better or worse than in each of these countries?:-China</t>
        </is>
      </c>
    </row>
    <row r="42">
      <c r="A42" s="5">
        <f>HYPERLINK("#'QA16'!A1", "QA16")</f>
        <v/>
      </c>
      <c r="B42" s="6" t="inlineStr">
        <is>
          <t>QA16. Quelle affirmation est la plus proche de votre opinion ? Au cours des 12 derniers mois, votre qualité de vie (en termes de confort ou de budget)...</t>
        </is>
      </c>
      <c r="C42" s="6" t="inlineStr">
        <is>
          <t>QA16. Which statement comes closest to your view? Within the last 12 months your quality of life (comfort or budget-wise) has…</t>
        </is>
      </c>
    </row>
    <row r="43">
      <c r="A43" s="5">
        <f>HYPERLINK("#'SD27'!A1", "SD27")</f>
        <v/>
      </c>
      <c r="B43" s="6" t="inlineStr">
        <is>
          <t>SD27. En pensant à l'évolution de votre niveau de vie personnel ces cinq prochaines années, laquelle des affirmations suivantes décrit le mieux vos prévisions ?</t>
        </is>
      </c>
      <c r="C43" s="6" t="inlineStr">
        <is>
          <t>SD27. When you think about the way your personal standard of living will evolve over the next five years, which of the following statements best describes your expectations?</t>
        </is>
      </c>
    </row>
    <row r="44">
      <c r="A44" s="5">
        <f>HYPERLINK("#'D11A'!A1", "D11A")</f>
        <v/>
      </c>
      <c r="B44" s="6" t="inlineStr">
        <is>
          <t>D11A. Quel est votre âge ?</t>
        </is>
      </c>
      <c r="C44" s="6" t="inlineStr">
        <is>
          <t>D11A. How old are you?</t>
        </is>
      </c>
    </row>
    <row r="45">
      <c r="A45" s="5">
        <f>HYPERLINK("#'D11R'!A1", "D11R")</f>
        <v/>
      </c>
      <c r="B45" s="6" t="inlineStr">
        <is>
          <t>D11R. Quel est votre âge ?</t>
        </is>
      </c>
      <c r="C45" s="6" t="inlineStr">
        <is>
          <t>D11R. How old are you?</t>
        </is>
      </c>
    </row>
    <row r="46">
      <c r="A46" s="5">
        <f>HYPERLINK("#'D11bis'!A1", "D11bis")</f>
        <v/>
      </c>
      <c r="B46" s="6" t="inlineStr">
        <is>
          <t>D11bis. Quel est votre âge ?</t>
        </is>
      </c>
      <c r="C46" s="6" t="inlineStr">
        <is>
          <t>D11bis. How old are you?</t>
        </is>
      </c>
    </row>
    <row r="47">
      <c r="A47" s="5">
        <f>HYPERLINK("#'D11G'!A1", "D11G")</f>
        <v/>
      </c>
      <c r="B47" s="6" t="inlineStr">
        <is>
          <t>D11G. Génération</t>
        </is>
      </c>
      <c r="C47" s="6" t="inlineStr">
        <is>
          <t>D11G. Generation</t>
        </is>
      </c>
    </row>
    <row r="48">
      <c r="A48" s="5">
        <f>HYPERLINK("#'D8'!A1", "D8")</f>
        <v/>
      </c>
      <c r="B48" s="6" t="inlineStr">
        <is>
          <t>D8. A quel âge avez-vous arrêté vos études à temps complet ?</t>
        </is>
      </c>
      <c r="C48" s="6" t="inlineStr">
        <is>
          <t>D8. How old were you when you stopped full-time education?</t>
        </is>
      </c>
    </row>
    <row r="49">
      <c r="A49" s="5">
        <f>HYPERLINK("#'D8c'!A1", "D8c")</f>
        <v/>
      </c>
      <c r="B49" s="6" t="inlineStr">
        <is>
          <t>D8c. Quel est le niveau d'études le plus élevé que vous avez atteint ?</t>
        </is>
      </c>
      <c r="C49" s="6" t="inlineStr">
        <is>
          <t>D8c. What is the highest level of education you completed?</t>
        </is>
      </c>
    </row>
    <row r="50">
      <c r="A50" s="5">
        <f>HYPERLINK("#'D8cR2'!A1", "D8cR2")</f>
        <v/>
      </c>
      <c r="B50" s="6" t="inlineStr">
        <is>
          <t>D8cR2. Quel est le niveau d'études le plus élevé que vous avez atteint ?</t>
        </is>
      </c>
      <c r="C50" s="6" t="inlineStr">
        <is>
          <t>D8cR2. What is the highest level of education you completed?</t>
        </is>
      </c>
    </row>
    <row r="51">
      <c r="A51" s="5">
        <f>HYPERLINK("#'D10'!A1", "D10")</f>
        <v/>
      </c>
      <c r="B51" s="6" t="inlineStr">
        <is>
          <t>D10. Comment vous définiriez-vous?</t>
        </is>
      </c>
      <c r="C51" s="6" t="inlineStr">
        <is>
          <t>D10. How would you describe yourself?</t>
        </is>
      </c>
    </row>
    <row r="52">
      <c r="A52" s="5">
        <f>HYPERLINK("#'D15a'!A1", "D15a")</f>
        <v/>
      </c>
      <c r="B52" s="6" t="inlineStr">
        <is>
          <t>D15a. Quelle est votre profession actuelle ?</t>
        </is>
      </c>
      <c r="C52" s="6" t="inlineStr">
        <is>
          <t>D15a. What is your current occupation?</t>
        </is>
      </c>
    </row>
    <row r="53">
      <c r="A53" s="5">
        <f>HYPERLINK("#'D15a2'!A1", "D15a2")</f>
        <v/>
      </c>
      <c r="B53" s="6" t="inlineStr">
        <is>
          <t>D15a2. Catégorie socioprofessionnelle</t>
        </is>
      </c>
      <c r="C53" s="6" t="inlineStr">
        <is>
          <t>D15a2. Socio-professional category</t>
        </is>
      </c>
    </row>
    <row r="54">
      <c r="A54" s="5">
        <f>HYPERLINK("#'C14'!A1", "C14")</f>
        <v/>
      </c>
      <c r="B54" s="6" t="inlineStr">
        <is>
          <t>C14. Catégorie socioprofessionnelle</t>
        </is>
      </c>
      <c r="C54" s="6" t="inlineStr">
        <is>
          <t>C14. Socio-professional category</t>
        </is>
      </c>
    </row>
    <row r="55">
      <c r="A55" s="5">
        <f>HYPERLINK("#'D15b'!A1", "D15b")</f>
        <v/>
      </c>
      <c r="B55" s="6" t="inlineStr">
        <is>
          <t>D15b. Exerciez-vous une activité professionnelle rémunérée auparavant ? Laquelle en dernier lieu ?</t>
        </is>
      </c>
      <c r="C55" s="6" t="inlineStr">
        <is>
          <t>D15b. Did you do any paid work in the past? What was your last occupation?</t>
        </is>
      </c>
    </row>
    <row r="56">
      <c r="A56" s="5">
        <f>HYPERLINK("#'D15b2'!A1", "D15b2")</f>
        <v/>
      </c>
      <c r="B56" s="6" t="inlineStr">
        <is>
          <t>D15b2. Catégorie socioprofessionnelle précédente</t>
        </is>
      </c>
      <c r="C56" s="6" t="inlineStr">
        <is>
          <t>D15b2. Previous socio-professional category</t>
        </is>
      </c>
    </row>
    <row r="57">
      <c r="A57" s="5">
        <f>HYPERLINK("#'D25'!A1", "D25")</f>
        <v/>
      </c>
      <c r="B57" s="6" t="inlineStr">
        <is>
          <t>D25. Diriez-vous que vous vivez … ?</t>
        </is>
      </c>
      <c r="C57" s="6" t="inlineStr">
        <is>
          <t>D25. Would you say you live in a...?</t>
        </is>
      </c>
    </row>
    <row r="58">
      <c r="A58" s="5">
        <f>HYPERLINK("#'D60'!A1", "D60")</f>
        <v/>
      </c>
      <c r="B58" s="6" t="inlineStr">
        <is>
          <t>D60. Sur ces douze derniers mois, diriez-vous que vous avez eu des difficultés à payer toutes vos factures à la fin du mois ... ?</t>
        </is>
      </c>
      <c r="C58" s="6" t="inlineStr">
        <is>
          <t>D60. During the last twelve months, would you say you had difficulties to pay your bills at the end of the month…?</t>
        </is>
      </c>
    </row>
    <row r="59">
      <c r="A59" s="5">
        <f>HYPERLINK("#'D62_1'!A1", "D62_1")</f>
        <v/>
      </c>
      <c r="B59" s="6" t="inlineStr">
        <is>
          <t>D62.1. Pouvez-vous dire si… ?:-Vous utilisez Internet chez vous, à votre domicile</t>
        </is>
      </c>
      <c r="C59" s="6" t="inlineStr">
        <is>
          <t>D62.1. Could you tell if…?:-You use the Internet at home, in your home</t>
        </is>
      </c>
    </row>
    <row r="60">
      <c r="A60" s="5">
        <f>HYPERLINK("#'D62_2'!A1", "D62_2")</f>
        <v/>
      </c>
      <c r="B60" s="6" t="inlineStr">
        <is>
          <t>D62.2. Pouvez-vous dire si… ?:-Vous utilisez Internet sur votre lieu de travail</t>
        </is>
      </c>
      <c r="C60" s="6" t="inlineStr">
        <is>
          <t>D62.2. Could you tell if…?:-You use the Internet on your place of work</t>
        </is>
      </c>
    </row>
    <row r="61">
      <c r="A61" s="5">
        <f>HYPERLINK("#'D62_3'!A1", "D62_3")</f>
        <v/>
      </c>
      <c r="B61" s="6" t="inlineStr">
        <is>
          <t>D62.3. Pouvez-vous dire si… ?:-Vous utilisez Internet sur votre appareil mobile (ordinateur portable, smartphone, tablette, etc.)</t>
        </is>
      </c>
      <c r="C61" s="6" t="inlineStr">
        <is>
          <t>D62.3. Could you tell if…?:-You use the Internet on your mobile device (laptop, smartphone, tablet, etc.)</t>
        </is>
      </c>
    </row>
    <row r="62">
      <c r="A62" s="5">
        <f>HYPERLINK("#'D62_4'!A1", "D62_4")</f>
        <v/>
      </c>
      <c r="B62" s="6" t="inlineStr">
        <is>
          <t>D62.4. Pouvez-vous dire si… ?:-Vous utilisez Internet ailleurs (école, université, cyber-cafés, etc.)</t>
        </is>
      </c>
      <c r="C62" s="6" t="inlineStr">
        <is>
          <t>D62.4. Could you tell if…?:-You use the Internet somewhere else (school, university, cyber-café, etc.)</t>
        </is>
      </c>
    </row>
    <row r="63">
      <c r="A63" s="5">
        <f>HYPERLINK("#'D62R'!A1", "D62R")</f>
        <v/>
      </c>
      <c r="B63" s="6" t="inlineStr">
        <is>
          <t>D62R. Utilisation Internet</t>
        </is>
      </c>
      <c r="C63" s="6" t="inlineStr">
        <is>
          <t>D62R. Use of the Internet</t>
        </is>
      </c>
    </row>
    <row r="64">
      <c r="A64" s="5">
        <f>HYPERLINK("#'D63'!A1", "D63")</f>
        <v/>
      </c>
      <c r="B64" s="6" t="inlineStr">
        <is>
          <t>D63. Vous considérez-vous, vous et votre foyer, comme appartenant à … ?</t>
        </is>
      </c>
      <c r="C64" s="6" t="inlineStr">
        <is>
          <t>D63. Do you see yourself and your household belonging to…?</t>
        </is>
      </c>
    </row>
    <row r="65">
      <c r="A65" s="5">
        <f>HYPERLINK("#'D70'!A1", "D70")</f>
        <v/>
      </c>
      <c r="B65" s="6" t="inlineStr">
        <is>
          <t>D70. D’une façon générale, êtes-vous très satisfait(e), plutôt satisfait(e), plutôt pas satisfait(e) ou pas du tout satisfait(e) de la vie que vous menez ?</t>
        </is>
      </c>
      <c r="C65" s="6" t="inlineStr">
        <is>
          <t>D70. On the whole, are you very satisfied, fairly satisfied, not very satisfied or not at all satisfied with the life you lead?</t>
        </is>
      </c>
    </row>
    <row r="66">
      <c r="A66" s="5">
        <f>HYPERLINK("#'D70b'!A1", "D70b")</f>
        <v/>
      </c>
      <c r="B66" s="6" t="inlineStr">
        <is>
          <t>D70b. D’une façon générale, êtes-vous très satisfait(e), plutôt satisfait(e), plutôt pas satisfait(e) ou pas du tout satisfait(e) de votre qualité de vie ?</t>
        </is>
      </c>
      <c r="C66" s="6" t="inlineStr">
        <is>
          <t>D70b. On the whole, are you very satisfied, fairly satisfied, not very satisfied or not at all satisfied with your quality of life?</t>
        </is>
      </c>
    </row>
    <row r="67">
      <c r="A67" s="5">
        <f>HYPERLINK("#'D73_1'!A1", "D73_1")</f>
        <v/>
      </c>
      <c r="B67" s="6" t="inlineStr">
        <is>
          <t>D73.1. En ce moment, diriez-vous que, d’une manière générale, les choses vont dans la bonne direction ou dans la mauvaise direction… ?:-en (NOTRE PAYS)</t>
        </is>
      </c>
      <c r="C67" s="6" t="inlineStr">
        <is>
          <t>D73.1. At the present time, would you say that, in general, things are going in the right direction or in the wrong direction, in…?:-(OUR COUNTRY)</t>
        </is>
      </c>
    </row>
    <row r="68">
      <c r="A68" s="5">
        <f>HYPERLINK("#'D73_2'!A1", "D73_2")</f>
        <v/>
      </c>
      <c r="B68" s="6" t="inlineStr">
        <is>
          <t>D73.2. En ce moment, diriez-vous que, d’une manière générale, les choses vont dans la bonne direction ou dans la mauvaise direction… ?:-Dans l’Union européenne</t>
        </is>
      </c>
      <c r="C68" s="6" t="inlineStr">
        <is>
          <t>D73.2. At the present time, would you say that, in general, things are going in the right direction or in the wrong direction, in…?:-The European Union</t>
        </is>
      </c>
    </row>
    <row r="69">
      <c r="A69" s="5">
        <f>HYPERLINK("#'D73_3'!A1", "D73_3")</f>
        <v/>
      </c>
      <c r="B69" s="6" t="inlineStr">
        <is>
          <t>D73.3. En ce moment, diriez-vous que, d’une manière générale, les choses vont dans la bonne direction ou dans la mauvaise direction… ?:-Aux États-Unis</t>
        </is>
      </c>
      <c r="C69" s="6" t="inlineStr">
        <is>
          <t>D73.3. At the present time, would you say that, in general, things are going in the right direction or in the wrong direction, in…?:-The USA</t>
        </is>
      </c>
    </row>
    <row r="70">
      <c r="A70" s="5">
        <f>HYPERLINK("#'D73_4'!A1", "D73_4")</f>
        <v/>
      </c>
      <c r="B70" s="6" t="inlineStr">
        <is>
          <t>D73.4. En ce moment, diriez-vous que, d’une manière générale, les choses vont dans la bonne direction ou dans la mauvaise direction… ?:-Dans votre vie personnelle</t>
        </is>
      </c>
      <c r="C70" s="6" t="inlineStr">
        <is>
          <t>D73.4. At the present time, would you say that, in general, things are going in the right direction or in the wrong direction, in…?:-Your life personally</t>
        </is>
      </c>
    </row>
    <row r="71">
      <c r="A71" s="5">
        <f>HYPERLINK("#'D71_1'!A1", "D71_1")</f>
        <v/>
      </c>
      <c r="B71" s="6" t="inlineStr">
        <is>
          <t>D71.1. Quand vous vous retrouvez avec des amis ou des proches, diriez-vous que vous discutez fréquemment, occasionnellement ou jamais à propos … ?:-De sujets de politique nationale</t>
        </is>
      </c>
      <c r="C71" s="6" t="inlineStr">
        <is>
          <t>D71.1. When you get together with friends or relatives, would you say you discuss frequently, occasionally or never about...?:-National political matters</t>
        </is>
      </c>
    </row>
    <row r="72">
      <c r="A72" s="5">
        <f>HYPERLINK("#'D71_2'!A1", "D71_2")</f>
        <v/>
      </c>
      <c r="B72" s="6" t="inlineStr">
        <is>
          <t>D71.2. Quand vous vous retrouvez avec des amis ou des proches, diriez-vous que vous discutez fréquemment, occasionnellement ou jamais à propos … ?:-De sujets de politique européenne</t>
        </is>
      </c>
      <c r="C72" s="6" t="inlineStr">
        <is>
          <t>D71.2. When you get together with friends or relatives, would you say you discuss frequently, occasionally or never about...?:-European political matters</t>
        </is>
      </c>
    </row>
    <row r="73">
      <c r="A73" s="5">
        <f>HYPERLINK("#'D71_3'!A1", "D71_3")</f>
        <v/>
      </c>
      <c r="B73" s="6" t="inlineStr">
        <is>
          <t>D71.3. Quand vous vous retrouvez avec des amis ou des proches, diriez-vous que vous discutez fréquemment, occasionnellement ou jamais à propos … ?:-De sujets de politique locale</t>
        </is>
      </c>
      <c r="C73" s="6" t="inlineStr">
        <is>
          <t>D71.3. When you get together with friends or relatives, would you say you discuss frequently, occasionally or never about...?:-Local political matters</t>
        </is>
      </c>
    </row>
    <row r="74">
      <c r="A74" s="5">
        <f>HYPERLINK("#'C2'!A1", "C2")</f>
        <v/>
      </c>
      <c r="B74" s="6" t="inlineStr">
        <is>
          <t>C2. Indice d'intérêt pour la politique</t>
        </is>
      </c>
      <c r="C74" s="6" t="inlineStr">
        <is>
          <t>C2. Political interest index</t>
        </is>
      </c>
    </row>
    <row r="75">
      <c r="A75" s="5">
        <f>HYPERLINK("#'SD18a'!A1", "SD18a")</f>
        <v/>
      </c>
      <c r="B75" s="6" t="inlineStr">
        <is>
          <t>SD18a. Dans l’ensemble, êtes-vous très satisfait(e), plutôt satisfait(e), plutôt pas satisfait(e) ou pas du tout satisfait(e) du fonctionnement de la démocratie en (NOTRE PAYS) ?</t>
        </is>
      </c>
      <c r="C75" s="6" t="inlineStr">
        <is>
          <t>SD18a. On the whole, are you very satisfied, fairly satisfied, not very satisfied or not at all satisfied with the way democracy works in (OUR COUNTRY)?</t>
        </is>
      </c>
    </row>
    <row r="76">
      <c r="A76" s="5">
        <f>HYPERLINK("#'SD18b'!A1", "SD18b")</f>
        <v/>
      </c>
      <c r="B76" s="6" t="inlineStr">
        <is>
          <t>SD18b. Et du fonctionnement de la démocratie dans l’Union européenne ?</t>
        </is>
      </c>
      <c r="C76" s="6" t="inlineStr">
        <is>
          <t>SD18b. And how about the way democracy works in the EU?</t>
        </is>
      </c>
    </row>
    <row r="77">
      <c r="A77" s="5">
        <f>HYPERLINK("#'D72_1'!A1", "D72_1")</f>
        <v/>
      </c>
      <c r="B77" s="6" t="inlineStr">
        <is>
          <t>D72.1. Dans quelle mesure êtes-vous d’accord ou pas d’accord avec chacune des affirmations suivantes ?:-Ma voix compte dans l'Union européenne</t>
        </is>
      </c>
      <c r="C77" s="6" t="inlineStr">
        <is>
          <t>D72.1. To what extent do you agree or disagree with each of the following statements.:-My voice counts in the EU</t>
        </is>
      </c>
    </row>
    <row r="78">
      <c r="A78" s="5">
        <f>HYPERLINK("#'D72_2'!A1", "D72_2")</f>
        <v/>
      </c>
      <c r="B78" s="6" t="inlineStr">
        <is>
          <t>D72.2. Dans quelle mesure êtes-vous d’accord ou pas d’accord avec chacune des affirmations suivantes ?:-Ma voix compte en (NOTRE PAYS)</t>
        </is>
      </c>
      <c r="C78" s="6" t="inlineStr">
        <is>
          <t>D72.2. To what extent do you agree or disagree with each of the following statements.:-My voice counts in (OUR COUNTRY)</t>
        </is>
      </c>
    </row>
    <row r="79">
      <c r="A79" s="5">
        <f>HYPERLINK("#'D72_3'!A1", "D72_3")</f>
        <v/>
      </c>
      <c r="B79" s="6" t="inlineStr">
        <is>
          <t>D72.3. Dans quelle mesure êtes-vous d’accord ou pas d’accord avec chacune des affirmations suivantes ?:-La voix de (NOTRE PAYS) compte dans l’Union européenne</t>
        </is>
      </c>
      <c r="C79" s="6" t="inlineStr">
        <is>
          <t>D72.3. To what extent do you agree or disagree with each of the following statements.:-(OUR COUNTRY)’s voice counts in the EU</t>
        </is>
      </c>
    </row>
    <row r="80">
      <c r="A80" s="5">
        <f>HYPERLINK("#'D1'!A1", "D1")</f>
        <v/>
      </c>
      <c r="B80" s="6" t="inlineStr">
        <is>
          <t>D1. A propos de politique, les gens parlent de "la gauche" et de "la droite". Vous‐même, pourriez‐vous situer votre position sur cette échelle de 1 à 10, où ’1’ signifie "gauche" et ’10’ signifie "droite" ? Quel numéro décrit le mieux votre position ?</t>
        </is>
      </c>
      <c r="C80" s="6" t="inlineStr">
        <is>
          <t>D1. In political matters people talk of "the left" and "the right". How would you place your views on this scale?</t>
        </is>
      </c>
    </row>
    <row r="81">
      <c r="A81" s="5">
        <f>HYPERLINK("#'D1R1'!A1", "D1R1")</f>
        <v/>
      </c>
      <c r="B81" s="6" t="inlineStr">
        <is>
          <t>D1R1. Echelle politique gauche-droite</t>
        </is>
      </c>
      <c r="C81" s="6" t="inlineStr">
        <is>
          <t>D1R1. Left-right political scale</t>
        </is>
      </c>
    </row>
    <row r="82">
      <c r="A82" s="5">
        <f>HYPERLINK("#'D1R2'!A1", "D1R2")</f>
        <v/>
      </c>
      <c r="B82" s="6" t="inlineStr">
        <is>
          <t>D1R2. Echelle politique gauche-droite</t>
        </is>
      </c>
      <c r="C82" s="6" t="inlineStr">
        <is>
          <t>D1R2. Left-right political 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7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12" customHeight="1" s="18">
      <c r="B3" s="21" t="inlineStr">
        <is>
          <t>B. Pays de terrain</t>
        </is>
      </c>
      <c r="H3" s="21" t="inlineStr">
        <is>
          <t>B. Fieldwork country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HYPERLINK("#Content!A6","&lt;&lt;Back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AT</t>
        </is>
      </c>
      <c r="C12" s="12" t="n">
        <v>540</v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1003</v>
      </c>
      <c r="Z12" s="12" t="n">
        <v>0</v>
      </c>
      <c r="AA12" s="12" t="n">
        <v>0</v>
      </c>
      <c r="AB12" s="12" t="n">
        <v>0</v>
      </c>
      <c r="AC12" s="12" t="n">
        <v>0</v>
      </c>
      <c r="AD12" s="12" t="n">
        <v>0</v>
      </c>
      <c r="AE12" s="12" t="n">
        <v>0</v>
      </c>
      <c r="AF12" s="12" t="n">
        <v>0</v>
      </c>
    </row>
    <row r="13">
      <c r="A13" s="20" t="n"/>
      <c r="B13" s="13" t="inlineStr">
        <is>
          <t>AT</t>
        </is>
      </c>
      <c r="C13" s="14" t="n">
        <v>0.02</v>
      </c>
      <c r="D13" s="15" t="inlineStr">
        <is>
          <t>-</t>
        </is>
      </c>
      <c r="E13" s="15" t="inlineStr">
        <is>
          <t>-</t>
        </is>
      </c>
      <c r="F13" s="15" t="inlineStr">
        <is>
          <t>-</t>
        </is>
      </c>
      <c r="G13" s="15" t="inlineStr">
        <is>
          <t>-</t>
        </is>
      </c>
      <c r="H13" s="15" t="inlineStr">
        <is>
          <t>-</t>
        </is>
      </c>
      <c r="I13" s="15" t="inlineStr">
        <is>
          <t>-</t>
        </is>
      </c>
      <c r="J13" s="15" t="inlineStr">
        <is>
          <t>-</t>
        </is>
      </c>
      <c r="K13" s="15" t="inlineStr">
        <is>
          <t>-</t>
        </is>
      </c>
      <c r="L13" s="15" t="inlineStr">
        <is>
          <t>-</t>
        </is>
      </c>
      <c r="M13" s="15" t="inlineStr">
        <is>
          <t>-</t>
        </is>
      </c>
      <c r="N13" s="15" t="inlineStr">
        <is>
          <t>-</t>
        </is>
      </c>
      <c r="O13" s="15" t="inlineStr">
        <is>
          <t>-</t>
        </is>
      </c>
      <c r="P13" s="15" t="inlineStr">
        <is>
          <t>-</t>
        </is>
      </c>
      <c r="Q13" s="15" t="inlineStr">
        <is>
          <t>-</t>
        </is>
      </c>
      <c r="R13" s="15" t="inlineStr">
        <is>
          <t>-</t>
        </is>
      </c>
      <c r="S13" s="15" t="inlineStr">
        <is>
          <t>-</t>
        </is>
      </c>
      <c r="T13" s="15" t="inlineStr">
        <is>
          <t>-</t>
        </is>
      </c>
      <c r="U13" s="15" t="inlineStr">
        <is>
          <t>-</t>
        </is>
      </c>
      <c r="V13" s="15" t="inlineStr">
        <is>
          <t>-</t>
        </is>
      </c>
      <c r="W13" s="15" t="inlineStr">
        <is>
          <t>-</t>
        </is>
      </c>
      <c r="X13" s="15" t="inlineStr">
        <is>
          <t>-</t>
        </is>
      </c>
      <c r="Y13" s="14" t="n">
        <v>1</v>
      </c>
      <c r="Z13" s="15" t="inlineStr">
        <is>
          <t>-</t>
        </is>
      </c>
      <c r="AA13" s="15" t="inlineStr">
        <is>
          <t>-</t>
        </is>
      </c>
      <c r="AB13" s="15" t="inlineStr">
        <is>
          <t>-</t>
        </is>
      </c>
      <c r="AC13" s="15" t="inlineStr">
        <is>
          <t>-</t>
        </is>
      </c>
      <c r="AD13" s="15" t="inlineStr">
        <is>
          <t>-</t>
        </is>
      </c>
      <c r="AE13" s="15" t="inlineStr">
        <is>
          <t>-</t>
        </is>
      </c>
      <c r="AF13" s="15" t="inlineStr">
        <is>
          <t>-</t>
        </is>
      </c>
    </row>
    <row r="14">
      <c r="A14" s="20" t="n"/>
      <c r="B14" s="11" t="inlineStr">
        <is>
          <t>BE</t>
        </is>
      </c>
      <c r="C14" s="12" t="n">
        <v>681</v>
      </c>
      <c r="D14" s="12" t="n">
        <v>1021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</row>
    <row r="15">
      <c r="A15" s="20" t="n"/>
      <c r="B15" s="13" t="inlineStr">
        <is>
          <t>BE</t>
        </is>
      </c>
      <c r="C15" s="14" t="n">
        <v>0.03</v>
      </c>
      <c r="D15" s="14" t="n">
        <v>1</v>
      </c>
      <c r="E15" s="15" t="inlineStr">
        <is>
          <t>-</t>
        </is>
      </c>
      <c r="F15" s="15" t="inlineStr">
        <is>
          <t>-</t>
        </is>
      </c>
      <c r="G15" s="15" t="inlineStr">
        <is>
          <t>-</t>
        </is>
      </c>
      <c r="H15" s="15" t="inlineStr">
        <is>
          <t>-</t>
        </is>
      </c>
      <c r="I15" s="15" t="inlineStr">
        <is>
          <t>-</t>
        </is>
      </c>
      <c r="J15" s="15" t="inlineStr">
        <is>
          <t>-</t>
        </is>
      </c>
      <c r="K15" s="15" t="inlineStr">
        <is>
          <t>-</t>
        </is>
      </c>
      <c r="L15" s="15" t="inlineStr">
        <is>
          <t>-</t>
        </is>
      </c>
      <c r="M15" s="15" t="inlineStr">
        <is>
          <t>-</t>
        </is>
      </c>
      <c r="N15" s="15" t="inlineStr">
        <is>
          <t>-</t>
        </is>
      </c>
      <c r="O15" s="15" t="inlineStr">
        <is>
          <t>-</t>
        </is>
      </c>
      <c r="P15" s="15" t="inlineStr">
        <is>
          <t>-</t>
        </is>
      </c>
      <c r="Q15" s="15" t="inlineStr">
        <is>
          <t>-</t>
        </is>
      </c>
      <c r="R15" s="15" t="inlineStr">
        <is>
          <t>-</t>
        </is>
      </c>
      <c r="S15" s="15" t="inlineStr">
        <is>
          <t>-</t>
        </is>
      </c>
      <c r="T15" s="15" t="inlineStr">
        <is>
          <t>-</t>
        </is>
      </c>
      <c r="U15" s="15" t="inlineStr">
        <is>
          <t>-</t>
        </is>
      </c>
      <c r="V15" s="15" t="inlineStr">
        <is>
          <t>-</t>
        </is>
      </c>
      <c r="W15" s="15" t="inlineStr">
        <is>
          <t>-</t>
        </is>
      </c>
      <c r="X15" s="15" t="inlineStr">
        <is>
          <t>-</t>
        </is>
      </c>
      <c r="Y15" s="15" t="inlineStr">
        <is>
          <t>-</t>
        </is>
      </c>
      <c r="Z15" s="15" t="inlineStr">
        <is>
          <t>-</t>
        </is>
      </c>
      <c r="AA15" s="15" t="inlineStr">
        <is>
          <t>-</t>
        </is>
      </c>
      <c r="AB15" s="15" t="inlineStr">
        <is>
          <t>-</t>
        </is>
      </c>
      <c r="AC15" s="15" t="inlineStr">
        <is>
          <t>-</t>
        </is>
      </c>
      <c r="AD15" s="15" t="inlineStr">
        <is>
          <t>-</t>
        </is>
      </c>
      <c r="AE15" s="15" t="inlineStr">
        <is>
          <t>-</t>
        </is>
      </c>
      <c r="AF15" s="15" t="inlineStr">
        <is>
          <t>-</t>
        </is>
      </c>
    </row>
    <row r="16">
      <c r="A16" s="20" t="n"/>
      <c r="B16" s="11" t="inlineStr">
        <is>
          <t>BG</t>
        </is>
      </c>
      <c r="C16" s="12" t="n">
        <v>381</v>
      </c>
      <c r="D16" s="12" t="n">
        <v>0</v>
      </c>
      <c r="E16" s="12" t="n">
        <v>1014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</row>
    <row r="17">
      <c r="A17" s="20" t="n"/>
      <c r="B17" s="13" t="inlineStr">
        <is>
          <t>BG</t>
        </is>
      </c>
      <c r="C17" s="14" t="n">
        <v>0.02</v>
      </c>
      <c r="D17" s="15" t="inlineStr">
        <is>
          <t>-</t>
        </is>
      </c>
      <c r="E17" s="14" t="n">
        <v>1</v>
      </c>
      <c r="F17" s="15" t="inlineStr">
        <is>
          <t>-</t>
        </is>
      </c>
      <c r="G17" s="15" t="inlineStr">
        <is>
          <t>-</t>
        </is>
      </c>
      <c r="H17" s="15" t="inlineStr">
        <is>
          <t>-</t>
        </is>
      </c>
      <c r="I17" s="15" t="inlineStr">
        <is>
          <t>-</t>
        </is>
      </c>
      <c r="J17" s="15" t="inlineStr">
        <is>
          <t>-</t>
        </is>
      </c>
      <c r="K17" s="15" t="inlineStr">
        <is>
          <t>-</t>
        </is>
      </c>
      <c r="L17" s="15" t="inlineStr">
        <is>
          <t>-</t>
        </is>
      </c>
      <c r="M17" s="15" t="inlineStr">
        <is>
          <t>-</t>
        </is>
      </c>
      <c r="N17" s="15" t="inlineStr">
        <is>
          <t>-</t>
        </is>
      </c>
      <c r="O17" s="15" t="inlineStr">
        <is>
          <t>-</t>
        </is>
      </c>
      <c r="P17" s="15" t="inlineStr">
        <is>
          <t>-</t>
        </is>
      </c>
      <c r="Q17" s="15" t="inlineStr">
        <is>
          <t>-</t>
        </is>
      </c>
      <c r="R17" s="15" t="inlineStr">
        <is>
          <t>-</t>
        </is>
      </c>
      <c r="S17" s="15" t="inlineStr">
        <is>
          <t>-</t>
        </is>
      </c>
      <c r="T17" s="15" t="inlineStr">
        <is>
          <t>-</t>
        </is>
      </c>
      <c r="U17" s="15" t="inlineStr">
        <is>
          <t>-</t>
        </is>
      </c>
      <c r="V17" s="15" t="inlineStr">
        <is>
          <t>-</t>
        </is>
      </c>
      <c r="W17" s="15" t="inlineStr">
        <is>
          <t>-</t>
        </is>
      </c>
      <c r="X17" s="15" t="inlineStr">
        <is>
          <t>-</t>
        </is>
      </c>
      <c r="Y17" s="15" t="inlineStr">
        <is>
          <t>-</t>
        </is>
      </c>
      <c r="Z17" s="15" t="inlineStr">
        <is>
          <t>-</t>
        </is>
      </c>
      <c r="AA17" s="15" t="inlineStr">
        <is>
          <t>-</t>
        </is>
      </c>
      <c r="AB17" s="15" t="inlineStr">
        <is>
          <t>-</t>
        </is>
      </c>
      <c r="AC17" s="15" t="inlineStr">
        <is>
          <t>-</t>
        </is>
      </c>
      <c r="AD17" s="15" t="inlineStr">
        <is>
          <t>-</t>
        </is>
      </c>
      <c r="AE17" s="15" t="inlineStr">
        <is>
          <t>-</t>
        </is>
      </c>
      <c r="AF17" s="15" t="inlineStr">
        <is>
          <t>-</t>
        </is>
      </c>
    </row>
    <row r="18">
      <c r="A18" s="20" t="n"/>
      <c r="B18" s="11" t="inlineStr">
        <is>
          <t>CY</t>
        </is>
      </c>
      <c r="C18" s="12" t="n">
        <v>56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504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</row>
    <row r="19">
      <c r="A19" s="20" t="n"/>
      <c r="B19" s="13" t="inlineStr">
        <is>
          <t>CY</t>
        </is>
      </c>
      <c r="C19" s="15" t="inlineStr">
        <is>
          <t>-</t>
        </is>
      </c>
      <c r="D19" s="15" t="inlineStr">
        <is>
          <t>-</t>
        </is>
      </c>
      <c r="E19" s="15" t="inlineStr">
        <is>
          <t>-</t>
        </is>
      </c>
      <c r="F19" s="15" t="inlineStr">
        <is>
          <t>-</t>
        </is>
      </c>
      <c r="G19" s="15" t="inlineStr">
        <is>
          <t>-</t>
        </is>
      </c>
      <c r="H19" s="15" t="inlineStr">
        <is>
          <t>-</t>
        </is>
      </c>
      <c r="I19" s="15" t="inlineStr">
        <is>
          <t>-</t>
        </is>
      </c>
      <c r="J19" s="15" t="inlineStr">
        <is>
          <t>-</t>
        </is>
      </c>
      <c r="K19" s="15" t="inlineStr">
        <is>
          <t>-</t>
        </is>
      </c>
      <c r="L19" s="15" t="inlineStr">
        <is>
          <t>-</t>
        </is>
      </c>
      <c r="M19" s="15" t="inlineStr">
        <is>
          <t>-</t>
        </is>
      </c>
      <c r="N19" s="15" t="inlineStr">
        <is>
          <t>-</t>
        </is>
      </c>
      <c r="O19" s="15" t="inlineStr">
        <is>
          <t>-</t>
        </is>
      </c>
      <c r="P19" s="15" t="inlineStr">
        <is>
          <t>-</t>
        </is>
      </c>
      <c r="Q19" s="15" t="inlineStr">
        <is>
          <t>-</t>
        </is>
      </c>
      <c r="R19" s="14" t="n">
        <v>1</v>
      </c>
      <c r="S19" s="15" t="inlineStr">
        <is>
          <t>-</t>
        </is>
      </c>
      <c r="T19" s="15" t="inlineStr">
        <is>
          <t>-</t>
        </is>
      </c>
      <c r="U19" s="15" t="inlineStr">
        <is>
          <t>-</t>
        </is>
      </c>
      <c r="V19" s="15" t="inlineStr">
        <is>
          <t>-</t>
        </is>
      </c>
      <c r="W19" s="15" t="inlineStr">
        <is>
          <t>-</t>
        </is>
      </c>
      <c r="X19" s="15" t="inlineStr">
        <is>
          <t>-</t>
        </is>
      </c>
      <c r="Y19" s="15" t="inlineStr">
        <is>
          <t>-</t>
        </is>
      </c>
      <c r="Z19" s="15" t="inlineStr">
        <is>
          <t>-</t>
        </is>
      </c>
      <c r="AA19" s="15" t="inlineStr">
        <is>
          <t>-</t>
        </is>
      </c>
      <c r="AB19" s="15" t="inlineStr">
        <is>
          <t>-</t>
        </is>
      </c>
      <c r="AC19" s="15" t="inlineStr">
        <is>
          <t>-</t>
        </is>
      </c>
      <c r="AD19" s="15" t="inlineStr">
        <is>
          <t>-</t>
        </is>
      </c>
      <c r="AE19" s="15" t="inlineStr">
        <is>
          <t>-</t>
        </is>
      </c>
      <c r="AF19" s="15" t="inlineStr">
        <is>
          <t>-</t>
        </is>
      </c>
    </row>
    <row r="20">
      <c r="A20" s="20" t="n"/>
      <c r="B20" s="11" t="inlineStr">
        <is>
          <t>CZ</t>
        </is>
      </c>
      <c r="C20" s="12" t="n">
        <v>632</v>
      </c>
      <c r="D20" s="12" t="n">
        <v>0</v>
      </c>
      <c r="E20" s="12" t="n">
        <v>0</v>
      </c>
      <c r="F20" s="12" t="n">
        <v>1049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</row>
    <row r="21">
      <c r="A21" s="20" t="n"/>
      <c r="B21" s="13" t="inlineStr">
        <is>
          <t>CZ</t>
        </is>
      </c>
      <c r="C21" s="14" t="n">
        <v>0.02</v>
      </c>
      <c r="D21" s="15" t="inlineStr">
        <is>
          <t>-</t>
        </is>
      </c>
      <c r="E21" s="15" t="inlineStr">
        <is>
          <t>-</t>
        </is>
      </c>
      <c r="F21" s="14" t="n">
        <v>1</v>
      </c>
      <c r="G21" s="15" t="inlineStr">
        <is>
          <t>-</t>
        </is>
      </c>
      <c r="H21" s="15" t="inlineStr">
        <is>
          <t>-</t>
        </is>
      </c>
      <c r="I21" s="15" t="inlineStr">
        <is>
          <t>-</t>
        </is>
      </c>
      <c r="J21" s="15" t="inlineStr">
        <is>
          <t>-</t>
        </is>
      </c>
      <c r="K21" s="15" t="inlineStr">
        <is>
          <t>-</t>
        </is>
      </c>
      <c r="L21" s="15" t="inlineStr">
        <is>
          <t>-</t>
        </is>
      </c>
      <c r="M21" s="15" t="inlineStr">
        <is>
          <t>-</t>
        </is>
      </c>
      <c r="N21" s="15" t="inlineStr">
        <is>
          <t>-</t>
        </is>
      </c>
      <c r="O21" s="15" t="inlineStr">
        <is>
          <t>-</t>
        </is>
      </c>
      <c r="P21" s="15" t="inlineStr">
        <is>
          <t>-</t>
        </is>
      </c>
      <c r="Q21" s="15" t="inlineStr">
        <is>
          <t>-</t>
        </is>
      </c>
      <c r="R21" s="15" t="inlineStr">
        <is>
          <t>-</t>
        </is>
      </c>
      <c r="S21" s="15" t="inlineStr">
        <is>
          <t>-</t>
        </is>
      </c>
      <c r="T21" s="15" t="inlineStr">
        <is>
          <t>-</t>
        </is>
      </c>
      <c r="U21" s="15" t="inlineStr">
        <is>
          <t>-</t>
        </is>
      </c>
      <c r="V21" s="15" t="inlineStr">
        <is>
          <t>-</t>
        </is>
      </c>
      <c r="W21" s="15" t="inlineStr">
        <is>
          <t>-</t>
        </is>
      </c>
      <c r="X21" s="15" t="inlineStr">
        <is>
          <t>-</t>
        </is>
      </c>
      <c r="Y21" s="15" t="inlineStr">
        <is>
          <t>-</t>
        </is>
      </c>
      <c r="Z21" s="15" t="inlineStr">
        <is>
          <t>-</t>
        </is>
      </c>
      <c r="AA21" s="15" t="inlineStr">
        <is>
          <t>-</t>
        </is>
      </c>
      <c r="AB21" s="15" t="inlineStr">
        <is>
          <t>-</t>
        </is>
      </c>
      <c r="AC21" s="15" t="inlineStr">
        <is>
          <t>-</t>
        </is>
      </c>
      <c r="AD21" s="15" t="inlineStr">
        <is>
          <t>-</t>
        </is>
      </c>
      <c r="AE21" s="15" t="inlineStr">
        <is>
          <t>-</t>
        </is>
      </c>
      <c r="AF21" s="15" t="inlineStr">
        <is>
          <t>-</t>
        </is>
      </c>
    </row>
    <row r="22">
      <c r="A22" s="20" t="n"/>
      <c r="B22" s="11" t="inlineStr">
        <is>
          <t>DK</t>
        </is>
      </c>
      <c r="C22" s="12" t="n">
        <v>346</v>
      </c>
      <c r="D22" s="12" t="n">
        <v>0</v>
      </c>
      <c r="E22" s="12" t="n">
        <v>0</v>
      </c>
      <c r="F22" s="12" t="n">
        <v>0</v>
      </c>
      <c r="G22" s="12" t="n">
        <v>1007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</row>
    <row r="23">
      <c r="A23" s="20" t="n"/>
      <c r="B23" s="13" t="inlineStr">
        <is>
          <t>DK</t>
        </is>
      </c>
      <c r="C23" s="14" t="n">
        <v>0.01</v>
      </c>
      <c r="D23" s="15" t="inlineStr">
        <is>
          <t>-</t>
        </is>
      </c>
      <c r="E23" s="15" t="inlineStr">
        <is>
          <t>-</t>
        </is>
      </c>
      <c r="F23" s="15" t="inlineStr">
        <is>
          <t>-</t>
        </is>
      </c>
      <c r="G23" s="14" t="n">
        <v>1</v>
      </c>
      <c r="H23" s="15" t="inlineStr">
        <is>
          <t>-</t>
        </is>
      </c>
      <c r="I23" s="15" t="inlineStr">
        <is>
          <t>-</t>
        </is>
      </c>
      <c r="J23" s="15" t="inlineStr">
        <is>
          <t>-</t>
        </is>
      </c>
      <c r="K23" s="15" t="inlineStr">
        <is>
          <t>-</t>
        </is>
      </c>
      <c r="L23" s="15" t="inlineStr">
        <is>
          <t>-</t>
        </is>
      </c>
      <c r="M23" s="15" t="inlineStr">
        <is>
          <t>-</t>
        </is>
      </c>
      <c r="N23" s="15" t="inlineStr">
        <is>
          <t>-</t>
        </is>
      </c>
      <c r="O23" s="15" t="inlineStr">
        <is>
          <t>-</t>
        </is>
      </c>
      <c r="P23" s="15" t="inlineStr">
        <is>
          <t>-</t>
        </is>
      </c>
      <c r="Q23" s="15" t="inlineStr">
        <is>
          <t>-</t>
        </is>
      </c>
      <c r="R23" s="15" t="inlineStr">
        <is>
          <t>-</t>
        </is>
      </c>
      <c r="S23" s="15" t="inlineStr">
        <is>
          <t>-</t>
        </is>
      </c>
      <c r="T23" s="15" t="inlineStr">
        <is>
          <t>-</t>
        </is>
      </c>
      <c r="U23" s="15" t="inlineStr">
        <is>
          <t>-</t>
        </is>
      </c>
      <c r="V23" s="15" t="inlineStr">
        <is>
          <t>-</t>
        </is>
      </c>
      <c r="W23" s="15" t="inlineStr">
        <is>
          <t>-</t>
        </is>
      </c>
      <c r="X23" s="15" t="inlineStr">
        <is>
          <t>-</t>
        </is>
      </c>
      <c r="Y23" s="15" t="inlineStr">
        <is>
          <t>-</t>
        </is>
      </c>
      <c r="Z23" s="15" t="inlineStr">
        <is>
          <t>-</t>
        </is>
      </c>
      <c r="AA23" s="15" t="inlineStr">
        <is>
          <t>-</t>
        </is>
      </c>
      <c r="AB23" s="15" t="inlineStr">
        <is>
          <t>-</t>
        </is>
      </c>
      <c r="AC23" s="15" t="inlineStr">
        <is>
          <t>-</t>
        </is>
      </c>
      <c r="AD23" s="15" t="inlineStr">
        <is>
          <t>-</t>
        </is>
      </c>
      <c r="AE23" s="15" t="inlineStr">
        <is>
          <t>-</t>
        </is>
      </c>
      <c r="AF23" s="15" t="inlineStr">
        <is>
          <t>-</t>
        </is>
      </c>
    </row>
    <row r="24">
      <c r="A24" s="20" t="n"/>
      <c r="B24" s="11" t="inlineStr">
        <is>
          <t>EE</t>
        </is>
      </c>
      <c r="C24" s="12" t="n">
        <v>80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1006</v>
      </c>
      <c r="L24" s="12" t="n">
        <v>0</v>
      </c>
      <c r="M24" s="12" t="n">
        <v>0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</v>
      </c>
      <c r="AA24" s="12" t="n">
        <v>0</v>
      </c>
      <c r="AB24" s="12" t="n">
        <v>0</v>
      </c>
      <c r="AC24" s="12" t="n">
        <v>0</v>
      </c>
      <c r="AD24" s="12" t="n">
        <v>0</v>
      </c>
      <c r="AE24" s="12" t="n">
        <v>0</v>
      </c>
      <c r="AF24" s="12" t="n">
        <v>0</v>
      </c>
    </row>
    <row r="25">
      <c r="A25" s="20" t="n"/>
      <c r="B25" s="13" t="inlineStr">
        <is>
          <t>EE</t>
        </is>
      </c>
      <c r="C25" s="15" t="inlineStr">
        <is>
          <t>-</t>
        </is>
      </c>
      <c r="D25" s="15" t="inlineStr">
        <is>
          <t>-</t>
        </is>
      </c>
      <c r="E25" s="15" t="inlineStr">
        <is>
          <t>-</t>
        </is>
      </c>
      <c r="F25" s="15" t="inlineStr">
        <is>
          <t>-</t>
        </is>
      </c>
      <c r="G25" s="15" t="inlineStr">
        <is>
          <t>-</t>
        </is>
      </c>
      <c r="H25" s="15" t="inlineStr">
        <is>
          <t>-</t>
        </is>
      </c>
      <c r="I25" s="15" t="inlineStr">
        <is>
          <t>-</t>
        </is>
      </c>
      <c r="J25" s="15" t="inlineStr">
        <is>
          <t>-</t>
        </is>
      </c>
      <c r="K25" s="14" t="n">
        <v>1</v>
      </c>
      <c r="L25" s="15" t="inlineStr">
        <is>
          <t>-</t>
        </is>
      </c>
      <c r="M25" s="15" t="inlineStr">
        <is>
          <t>-</t>
        </is>
      </c>
      <c r="N25" s="15" t="inlineStr">
        <is>
          <t>-</t>
        </is>
      </c>
      <c r="O25" s="15" t="inlineStr">
        <is>
          <t>-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15" t="inlineStr">
        <is>
          <t>-</t>
        </is>
      </c>
      <c r="T25" s="15" t="inlineStr">
        <is>
          <t>-</t>
        </is>
      </c>
      <c r="U25" s="15" t="inlineStr">
        <is>
          <t>-</t>
        </is>
      </c>
      <c r="V25" s="15" t="inlineStr">
        <is>
          <t>-</t>
        </is>
      </c>
      <c r="W25" s="15" t="inlineStr">
        <is>
          <t>-</t>
        </is>
      </c>
      <c r="X25" s="15" t="inlineStr">
        <is>
          <t>-</t>
        </is>
      </c>
      <c r="Y25" s="15" t="inlineStr">
        <is>
          <t>-</t>
        </is>
      </c>
      <c r="Z25" s="15" t="inlineStr">
        <is>
          <t>-</t>
        </is>
      </c>
      <c r="AA25" s="15" t="inlineStr">
        <is>
          <t>-</t>
        </is>
      </c>
      <c r="AB25" s="15" t="inlineStr">
        <is>
          <t>-</t>
        </is>
      </c>
      <c r="AC25" s="15" t="inlineStr">
        <is>
          <t>-</t>
        </is>
      </c>
      <c r="AD25" s="15" t="inlineStr">
        <is>
          <t>-</t>
        </is>
      </c>
      <c r="AE25" s="15" t="inlineStr">
        <is>
          <t>-</t>
        </is>
      </c>
      <c r="AF25" s="15" t="inlineStr">
        <is>
          <t>-</t>
        </is>
      </c>
    </row>
    <row r="26">
      <c r="A26" s="20" t="n"/>
      <c r="B26" s="11" t="inlineStr">
        <is>
          <t>EL</t>
        </is>
      </c>
      <c r="C26" s="12" t="n">
        <v>623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0</v>
      </c>
      <c r="K26" s="12" t="n">
        <v>0</v>
      </c>
      <c r="L26" s="12" t="n">
        <v>0</v>
      </c>
      <c r="M26" s="12" t="n">
        <v>1007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</v>
      </c>
      <c r="AA26" s="12" t="n">
        <v>0</v>
      </c>
      <c r="AB26" s="12" t="n">
        <v>0</v>
      </c>
      <c r="AC26" s="12" t="n">
        <v>0</v>
      </c>
      <c r="AD26" s="12" t="n">
        <v>0</v>
      </c>
      <c r="AE26" s="12" t="n">
        <v>0</v>
      </c>
      <c r="AF26" s="12" t="n">
        <v>0</v>
      </c>
    </row>
    <row r="27">
      <c r="A27" s="20" t="n"/>
      <c r="B27" s="13" t="inlineStr">
        <is>
          <t>EL</t>
        </is>
      </c>
      <c r="C27" s="14" t="n">
        <v>0.02</v>
      </c>
      <c r="D27" s="15" t="inlineStr">
        <is>
          <t>-</t>
        </is>
      </c>
      <c r="E27" s="15" t="inlineStr">
        <is>
          <t>-</t>
        </is>
      </c>
      <c r="F27" s="15" t="inlineStr">
        <is>
          <t>-</t>
        </is>
      </c>
      <c r="G27" s="15" t="inlineStr">
        <is>
          <t>-</t>
        </is>
      </c>
      <c r="H27" s="15" t="inlineStr">
        <is>
          <t>-</t>
        </is>
      </c>
      <c r="I27" s="15" t="inlineStr">
        <is>
          <t>-</t>
        </is>
      </c>
      <c r="J27" s="15" t="inlineStr">
        <is>
          <t>-</t>
        </is>
      </c>
      <c r="K27" s="15" t="inlineStr">
        <is>
          <t>-</t>
        </is>
      </c>
      <c r="L27" s="15" t="inlineStr">
        <is>
          <t>-</t>
        </is>
      </c>
      <c r="M27" s="14" t="n">
        <v>1</v>
      </c>
      <c r="N27" s="15" t="inlineStr">
        <is>
          <t>-</t>
        </is>
      </c>
      <c r="O27" s="15" t="inlineStr">
        <is>
          <t>-</t>
        </is>
      </c>
      <c r="P27" s="15" t="inlineStr">
        <is>
          <t>-</t>
        </is>
      </c>
      <c r="Q27" s="15" t="inlineStr">
        <is>
          <t>-</t>
        </is>
      </c>
      <c r="R27" s="15" t="inlineStr">
        <is>
          <t>-</t>
        </is>
      </c>
      <c r="S27" s="15" t="inlineStr">
        <is>
          <t>-</t>
        </is>
      </c>
      <c r="T27" s="15" t="inlineStr">
        <is>
          <t>-</t>
        </is>
      </c>
      <c r="U27" s="15" t="inlineStr">
        <is>
          <t>-</t>
        </is>
      </c>
      <c r="V27" s="15" t="inlineStr">
        <is>
          <t>-</t>
        </is>
      </c>
      <c r="W27" s="15" t="inlineStr">
        <is>
          <t>-</t>
        </is>
      </c>
      <c r="X27" s="15" t="inlineStr">
        <is>
          <t>-</t>
        </is>
      </c>
      <c r="Y27" s="15" t="inlineStr">
        <is>
          <t>-</t>
        </is>
      </c>
      <c r="Z27" s="15" t="inlineStr">
        <is>
          <t>-</t>
        </is>
      </c>
      <c r="AA27" s="15" t="inlineStr">
        <is>
          <t>-</t>
        </is>
      </c>
      <c r="AB27" s="15" t="inlineStr">
        <is>
          <t>-</t>
        </is>
      </c>
      <c r="AC27" s="15" t="inlineStr">
        <is>
          <t>-</t>
        </is>
      </c>
      <c r="AD27" s="15" t="inlineStr">
        <is>
          <t>-</t>
        </is>
      </c>
      <c r="AE27" s="15" t="inlineStr">
        <is>
          <t>-</t>
        </is>
      </c>
      <c r="AF27" s="15" t="inlineStr">
        <is>
          <t>-</t>
        </is>
      </c>
    </row>
    <row r="28">
      <c r="A28" s="20" t="n"/>
      <c r="B28" s="11" t="inlineStr">
        <is>
          <t>ES</t>
        </is>
      </c>
      <c r="C28" s="12" t="n">
        <v>2906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1006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0</v>
      </c>
      <c r="AF28" s="12" t="n">
        <v>0</v>
      </c>
    </row>
    <row r="29">
      <c r="A29" s="20" t="n"/>
      <c r="B29" s="13" t="inlineStr">
        <is>
          <t>ES</t>
        </is>
      </c>
      <c r="C29" s="14" t="n">
        <v>0.11</v>
      </c>
      <c r="D29" s="15" t="inlineStr">
        <is>
          <t>-</t>
        </is>
      </c>
      <c r="E29" s="15" t="inlineStr">
        <is>
          <t>-</t>
        </is>
      </c>
      <c r="F29" s="15" t="inlineStr">
        <is>
          <t>-</t>
        </is>
      </c>
      <c r="G29" s="15" t="inlineStr">
        <is>
          <t>-</t>
        </is>
      </c>
      <c r="H29" s="15" t="inlineStr">
        <is>
          <t>-</t>
        </is>
      </c>
      <c r="I29" s="15" t="inlineStr">
        <is>
          <t>-</t>
        </is>
      </c>
      <c r="J29" s="15" t="inlineStr">
        <is>
          <t>-</t>
        </is>
      </c>
      <c r="K29" s="15" t="inlineStr">
        <is>
          <t>-</t>
        </is>
      </c>
      <c r="L29" s="15" t="inlineStr">
        <is>
          <t>-</t>
        </is>
      </c>
      <c r="M29" s="15" t="inlineStr">
        <is>
          <t>-</t>
        </is>
      </c>
      <c r="N29" s="14" t="n">
        <v>1</v>
      </c>
      <c r="O29" s="15" t="inlineStr">
        <is>
          <t>-</t>
        </is>
      </c>
      <c r="P29" s="15" t="inlineStr">
        <is>
          <t>-</t>
        </is>
      </c>
      <c r="Q29" s="15" t="inlineStr">
        <is>
          <t>-</t>
        </is>
      </c>
      <c r="R29" s="15" t="inlineStr">
        <is>
          <t>-</t>
        </is>
      </c>
      <c r="S29" s="15" t="inlineStr">
        <is>
          <t>-</t>
        </is>
      </c>
      <c r="T29" s="15" t="inlineStr">
        <is>
          <t>-</t>
        </is>
      </c>
      <c r="U29" s="15" t="inlineStr">
        <is>
          <t>-</t>
        </is>
      </c>
      <c r="V29" s="15" t="inlineStr">
        <is>
          <t>-</t>
        </is>
      </c>
      <c r="W29" s="15" t="inlineStr">
        <is>
          <t>-</t>
        </is>
      </c>
      <c r="X29" s="15" t="inlineStr">
        <is>
          <t>-</t>
        </is>
      </c>
      <c r="Y29" s="15" t="inlineStr">
        <is>
          <t>-</t>
        </is>
      </c>
      <c r="Z29" s="15" t="inlineStr">
        <is>
          <t>-</t>
        </is>
      </c>
      <c r="AA29" s="15" t="inlineStr">
        <is>
          <t>-</t>
        </is>
      </c>
      <c r="AB29" s="15" t="inlineStr">
        <is>
          <t>-</t>
        </is>
      </c>
      <c r="AC29" s="15" t="inlineStr">
        <is>
          <t>-</t>
        </is>
      </c>
      <c r="AD29" s="15" t="inlineStr">
        <is>
          <t>-</t>
        </is>
      </c>
      <c r="AE29" s="15" t="inlineStr">
        <is>
          <t>-</t>
        </is>
      </c>
      <c r="AF29" s="15" t="inlineStr">
        <is>
          <t>-</t>
        </is>
      </c>
    </row>
    <row r="30">
      <c r="A30" s="20" t="n"/>
      <c r="B30" s="11" t="inlineStr">
        <is>
          <t>FI</t>
        </is>
      </c>
      <c r="C30" s="12" t="n">
        <v>329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2" t="n">
        <v>1016</v>
      </c>
      <c r="AF30" s="12" t="n">
        <v>0</v>
      </c>
    </row>
    <row r="31">
      <c r="A31" s="20" t="n"/>
      <c r="B31" s="13" t="inlineStr">
        <is>
          <t>FI</t>
        </is>
      </c>
      <c r="C31" s="14" t="n">
        <v>0.01</v>
      </c>
      <c r="D31" s="15" t="inlineStr">
        <is>
          <t>-</t>
        </is>
      </c>
      <c r="E31" s="15" t="inlineStr">
        <is>
          <t>-</t>
        </is>
      </c>
      <c r="F31" s="15" t="inlineStr">
        <is>
          <t>-</t>
        </is>
      </c>
      <c r="G31" s="15" t="inlineStr">
        <is>
          <t>-</t>
        </is>
      </c>
      <c r="H31" s="15" t="inlineStr">
        <is>
          <t>-</t>
        </is>
      </c>
      <c r="I31" s="15" t="inlineStr">
        <is>
          <t>-</t>
        </is>
      </c>
      <c r="J31" s="15" t="inlineStr">
        <is>
          <t>-</t>
        </is>
      </c>
      <c r="K31" s="15" t="inlineStr">
        <is>
          <t>-</t>
        </is>
      </c>
      <c r="L31" s="15" t="inlineStr">
        <is>
          <t>-</t>
        </is>
      </c>
      <c r="M31" s="15" t="inlineStr">
        <is>
          <t>-</t>
        </is>
      </c>
      <c r="N31" s="15" t="inlineStr">
        <is>
          <t>-</t>
        </is>
      </c>
      <c r="O31" s="15" t="inlineStr">
        <is>
          <t>-</t>
        </is>
      </c>
      <c r="P31" s="15" t="inlineStr">
        <is>
          <t>-</t>
        </is>
      </c>
      <c r="Q31" s="15" t="inlineStr">
        <is>
          <t>-</t>
        </is>
      </c>
      <c r="R31" s="15" t="inlineStr">
        <is>
          <t>-</t>
        </is>
      </c>
      <c r="S31" s="15" t="inlineStr">
        <is>
          <t>-</t>
        </is>
      </c>
      <c r="T31" s="15" t="inlineStr">
        <is>
          <t>-</t>
        </is>
      </c>
      <c r="U31" s="15" t="inlineStr">
        <is>
          <t>-</t>
        </is>
      </c>
      <c r="V31" s="15" t="inlineStr">
        <is>
          <t>-</t>
        </is>
      </c>
      <c r="W31" s="15" t="inlineStr">
        <is>
          <t>-</t>
        </is>
      </c>
      <c r="X31" s="15" t="inlineStr">
        <is>
          <t>-</t>
        </is>
      </c>
      <c r="Y31" s="15" t="inlineStr">
        <is>
          <t>-</t>
        </is>
      </c>
      <c r="Z31" s="15" t="inlineStr">
        <is>
          <t>-</t>
        </is>
      </c>
      <c r="AA31" s="15" t="inlineStr">
        <is>
          <t>-</t>
        </is>
      </c>
      <c r="AB31" s="15" t="inlineStr">
        <is>
          <t>-</t>
        </is>
      </c>
      <c r="AC31" s="15" t="inlineStr">
        <is>
          <t>-</t>
        </is>
      </c>
      <c r="AD31" s="15" t="inlineStr">
        <is>
          <t>-</t>
        </is>
      </c>
      <c r="AE31" s="14" t="n">
        <v>1</v>
      </c>
      <c r="AF31" s="15" t="inlineStr">
        <is>
          <t>-</t>
        </is>
      </c>
    </row>
    <row r="32">
      <c r="A32" s="20" t="n"/>
      <c r="B32" s="11" t="inlineStr">
        <is>
          <t>FR</t>
        </is>
      </c>
      <c r="C32" s="12" t="n">
        <v>3916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1016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</row>
    <row r="33">
      <c r="A33" s="20" t="n"/>
      <c r="B33" s="13" t="inlineStr">
        <is>
          <t>FR</t>
        </is>
      </c>
      <c r="C33" s="14" t="n">
        <v>0.15</v>
      </c>
      <c r="D33" s="15" t="inlineStr">
        <is>
          <t>-</t>
        </is>
      </c>
      <c r="E33" s="15" t="inlineStr">
        <is>
          <t>-</t>
        </is>
      </c>
      <c r="F33" s="15" t="inlineStr">
        <is>
          <t>-</t>
        </is>
      </c>
      <c r="G33" s="15" t="inlineStr">
        <is>
          <t>-</t>
        </is>
      </c>
      <c r="H33" s="15" t="inlineStr">
        <is>
          <t>-</t>
        </is>
      </c>
      <c r="I33" s="15" t="inlineStr">
        <is>
          <t>-</t>
        </is>
      </c>
      <c r="J33" s="15" t="inlineStr">
        <is>
          <t>-</t>
        </is>
      </c>
      <c r="K33" s="15" t="inlineStr">
        <is>
          <t>-</t>
        </is>
      </c>
      <c r="L33" s="15" t="inlineStr">
        <is>
          <t>-</t>
        </is>
      </c>
      <c r="M33" s="15" t="inlineStr">
        <is>
          <t>-</t>
        </is>
      </c>
      <c r="N33" s="15" t="inlineStr">
        <is>
          <t>-</t>
        </is>
      </c>
      <c r="O33" s="14" t="n">
        <v>1</v>
      </c>
      <c r="P33" s="15" t="inlineStr">
        <is>
          <t>-</t>
        </is>
      </c>
      <c r="Q33" s="15" t="inlineStr">
        <is>
          <t>-</t>
        </is>
      </c>
      <c r="R33" s="15" t="inlineStr">
        <is>
          <t>-</t>
        </is>
      </c>
      <c r="S33" s="15" t="inlineStr">
        <is>
          <t>-</t>
        </is>
      </c>
      <c r="T33" s="15" t="inlineStr">
        <is>
          <t>-</t>
        </is>
      </c>
      <c r="U33" s="15" t="inlineStr">
        <is>
          <t>-</t>
        </is>
      </c>
      <c r="V33" s="15" t="inlineStr">
        <is>
          <t>-</t>
        </is>
      </c>
      <c r="W33" s="15" t="inlineStr">
        <is>
          <t>-</t>
        </is>
      </c>
      <c r="X33" s="15" t="inlineStr">
        <is>
          <t>-</t>
        </is>
      </c>
      <c r="Y33" s="15" t="inlineStr">
        <is>
          <t>-</t>
        </is>
      </c>
      <c r="Z33" s="15" t="inlineStr">
        <is>
          <t>-</t>
        </is>
      </c>
      <c r="AA33" s="15" t="inlineStr">
        <is>
          <t>-</t>
        </is>
      </c>
      <c r="AB33" s="15" t="inlineStr">
        <is>
          <t>-</t>
        </is>
      </c>
      <c r="AC33" s="15" t="inlineStr">
        <is>
          <t>-</t>
        </is>
      </c>
      <c r="AD33" s="15" t="inlineStr">
        <is>
          <t>-</t>
        </is>
      </c>
      <c r="AE33" s="15" t="inlineStr">
        <is>
          <t>-</t>
        </is>
      </c>
      <c r="AF33" s="15" t="inlineStr">
        <is>
          <t>-</t>
        </is>
      </c>
    </row>
    <row r="34">
      <c r="A34" s="20" t="n"/>
      <c r="B34" s="11" t="inlineStr">
        <is>
          <t>HR</t>
        </is>
      </c>
      <c r="C34" s="12" t="n">
        <v>229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2" t="n">
        <v>0</v>
      </c>
      <c r="P34" s="12" t="n">
        <v>1007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</row>
    <row r="35">
      <c r="A35" s="20" t="n"/>
      <c r="B35" s="13" t="inlineStr">
        <is>
          <t>HR</t>
        </is>
      </c>
      <c r="C35" s="14" t="n">
        <v>0.01</v>
      </c>
      <c r="D35" s="15" t="inlineStr">
        <is>
          <t>-</t>
        </is>
      </c>
      <c r="E35" s="15" t="inlineStr">
        <is>
          <t>-</t>
        </is>
      </c>
      <c r="F35" s="15" t="inlineStr">
        <is>
          <t>-</t>
        </is>
      </c>
      <c r="G35" s="15" t="inlineStr">
        <is>
          <t>-</t>
        </is>
      </c>
      <c r="H35" s="15" t="inlineStr">
        <is>
          <t>-</t>
        </is>
      </c>
      <c r="I35" s="15" t="inlineStr">
        <is>
          <t>-</t>
        </is>
      </c>
      <c r="J35" s="15" t="inlineStr">
        <is>
          <t>-</t>
        </is>
      </c>
      <c r="K35" s="15" t="inlineStr">
        <is>
          <t>-</t>
        </is>
      </c>
      <c r="L35" s="15" t="inlineStr">
        <is>
          <t>-</t>
        </is>
      </c>
      <c r="M35" s="15" t="inlineStr">
        <is>
          <t>-</t>
        </is>
      </c>
      <c r="N35" s="15" t="inlineStr">
        <is>
          <t>-</t>
        </is>
      </c>
      <c r="O35" s="15" t="inlineStr">
        <is>
          <t>-</t>
        </is>
      </c>
      <c r="P35" s="14" t="n">
        <v>1</v>
      </c>
      <c r="Q35" s="15" t="inlineStr">
        <is>
          <t>-</t>
        </is>
      </c>
      <c r="R35" s="15" t="inlineStr">
        <is>
          <t>-</t>
        </is>
      </c>
      <c r="S35" s="15" t="inlineStr">
        <is>
          <t>-</t>
        </is>
      </c>
      <c r="T35" s="15" t="inlineStr">
        <is>
          <t>-</t>
        </is>
      </c>
      <c r="U35" s="15" t="inlineStr">
        <is>
          <t>-</t>
        </is>
      </c>
      <c r="V35" s="15" t="inlineStr">
        <is>
          <t>-</t>
        </is>
      </c>
      <c r="W35" s="15" t="inlineStr">
        <is>
          <t>-</t>
        </is>
      </c>
      <c r="X35" s="15" t="inlineStr">
        <is>
          <t>-</t>
        </is>
      </c>
      <c r="Y35" s="15" t="inlineStr">
        <is>
          <t>-</t>
        </is>
      </c>
      <c r="Z35" s="15" t="inlineStr">
        <is>
          <t>-</t>
        </is>
      </c>
      <c r="AA35" s="15" t="inlineStr">
        <is>
          <t>-</t>
        </is>
      </c>
      <c r="AB35" s="15" t="inlineStr">
        <is>
          <t>-</t>
        </is>
      </c>
      <c r="AC35" s="15" t="inlineStr">
        <is>
          <t>-</t>
        </is>
      </c>
      <c r="AD35" s="15" t="inlineStr">
        <is>
          <t>-</t>
        </is>
      </c>
      <c r="AE35" s="15" t="inlineStr">
        <is>
          <t>-</t>
        </is>
      </c>
      <c r="AF35" s="15" t="inlineStr">
        <is>
          <t>-</t>
        </is>
      </c>
    </row>
    <row r="36">
      <c r="A36" s="20" t="n"/>
      <c r="B36" s="11" t="inlineStr">
        <is>
          <t>HU</t>
        </is>
      </c>
      <c r="C36" s="12" t="n">
        <v>565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1020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</row>
    <row r="37">
      <c r="A37" s="20" t="n"/>
      <c r="B37" s="13" t="inlineStr">
        <is>
          <t>HU</t>
        </is>
      </c>
      <c r="C37" s="14" t="n">
        <v>0.02</v>
      </c>
      <c r="D37" s="15" t="inlineStr">
        <is>
          <t>-</t>
        </is>
      </c>
      <c r="E37" s="15" t="inlineStr">
        <is>
          <t>-</t>
        </is>
      </c>
      <c r="F37" s="15" t="inlineStr">
        <is>
          <t>-</t>
        </is>
      </c>
      <c r="G37" s="15" t="inlineStr">
        <is>
          <t>-</t>
        </is>
      </c>
      <c r="H37" s="15" t="inlineStr">
        <is>
          <t>-</t>
        </is>
      </c>
      <c r="I37" s="15" t="inlineStr">
        <is>
          <t>-</t>
        </is>
      </c>
      <c r="J37" s="15" t="inlineStr">
        <is>
          <t>-</t>
        </is>
      </c>
      <c r="K37" s="15" t="inlineStr">
        <is>
          <t>-</t>
        </is>
      </c>
      <c r="L37" s="15" t="inlineStr">
        <is>
          <t>-</t>
        </is>
      </c>
      <c r="M37" s="15" t="inlineStr">
        <is>
          <t>-</t>
        </is>
      </c>
      <c r="N37" s="15" t="inlineStr">
        <is>
          <t>-</t>
        </is>
      </c>
      <c r="O37" s="15" t="inlineStr">
        <is>
          <t>-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-</t>
        </is>
      </c>
      <c r="S37" s="15" t="inlineStr">
        <is>
          <t>-</t>
        </is>
      </c>
      <c r="T37" s="15" t="inlineStr">
        <is>
          <t>-</t>
        </is>
      </c>
      <c r="U37" s="15" t="inlineStr">
        <is>
          <t>-</t>
        </is>
      </c>
      <c r="V37" s="14" t="n">
        <v>1</v>
      </c>
      <c r="W37" s="15" t="inlineStr">
        <is>
          <t>-</t>
        </is>
      </c>
      <c r="X37" s="15" t="inlineStr">
        <is>
          <t>-</t>
        </is>
      </c>
      <c r="Y37" s="15" t="inlineStr">
        <is>
          <t>-</t>
        </is>
      </c>
      <c r="Z37" s="15" t="inlineStr">
        <is>
          <t>-</t>
        </is>
      </c>
      <c r="AA37" s="15" t="inlineStr">
        <is>
          <t>-</t>
        </is>
      </c>
      <c r="AB37" s="15" t="inlineStr">
        <is>
          <t>-</t>
        </is>
      </c>
      <c r="AC37" s="15" t="inlineStr">
        <is>
          <t>-</t>
        </is>
      </c>
      <c r="AD37" s="15" t="inlineStr">
        <is>
          <t>-</t>
        </is>
      </c>
      <c r="AE37" s="15" t="inlineStr">
        <is>
          <t>-</t>
        </is>
      </c>
      <c r="AF37" s="15" t="inlineStr">
        <is>
          <t>-</t>
        </is>
      </c>
    </row>
    <row r="38">
      <c r="A38" s="20" t="n"/>
      <c r="B38" s="11" t="inlineStr">
        <is>
          <t>IE</t>
        </is>
      </c>
      <c r="C38" s="12" t="n">
        <v>299</v>
      </c>
      <c r="D38" s="12" t="n">
        <v>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1010</v>
      </c>
      <c r="M38" s="12" t="n">
        <v>0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</row>
    <row r="39">
      <c r="A39" s="20" t="n"/>
      <c r="B39" s="13" t="inlineStr">
        <is>
          <t>IE</t>
        </is>
      </c>
      <c r="C39" s="14" t="n">
        <v>0.01</v>
      </c>
      <c r="D39" s="15" t="inlineStr">
        <is>
          <t>-</t>
        </is>
      </c>
      <c r="E39" s="15" t="inlineStr">
        <is>
          <t>-</t>
        </is>
      </c>
      <c r="F39" s="15" t="inlineStr">
        <is>
          <t>-</t>
        </is>
      </c>
      <c r="G39" s="15" t="inlineStr">
        <is>
          <t>-</t>
        </is>
      </c>
      <c r="H39" s="15" t="inlineStr">
        <is>
          <t>-</t>
        </is>
      </c>
      <c r="I39" s="15" t="inlineStr">
        <is>
          <t>-</t>
        </is>
      </c>
      <c r="J39" s="15" t="inlineStr">
        <is>
          <t>-</t>
        </is>
      </c>
      <c r="K39" s="15" t="inlineStr">
        <is>
          <t>-</t>
        </is>
      </c>
      <c r="L39" s="14" t="n">
        <v>1</v>
      </c>
      <c r="M39" s="15" t="inlineStr">
        <is>
          <t>-</t>
        </is>
      </c>
      <c r="N39" s="15" t="inlineStr">
        <is>
          <t>-</t>
        </is>
      </c>
      <c r="O39" s="15" t="inlineStr">
        <is>
          <t>-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-</t>
        </is>
      </c>
      <c r="S39" s="15" t="inlineStr">
        <is>
          <t>-</t>
        </is>
      </c>
      <c r="T39" s="15" t="inlineStr">
        <is>
          <t>-</t>
        </is>
      </c>
      <c r="U39" s="15" t="inlineStr">
        <is>
          <t>-</t>
        </is>
      </c>
      <c r="V39" s="15" t="inlineStr">
        <is>
          <t>-</t>
        </is>
      </c>
      <c r="W39" s="15" t="inlineStr">
        <is>
          <t>-</t>
        </is>
      </c>
      <c r="X39" s="15" t="inlineStr">
        <is>
          <t>-</t>
        </is>
      </c>
      <c r="Y39" s="15" t="inlineStr">
        <is>
          <t>-</t>
        </is>
      </c>
      <c r="Z39" s="15" t="inlineStr">
        <is>
          <t>-</t>
        </is>
      </c>
      <c r="AA39" s="15" t="inlineStr">
        <is>
          <t>-</t>
        </is>
      </c>
      <c r="AB39" s="15" t="inlineStr">
        <is>
          <t>-</t>
        </is>
      </c>
      <c r="AC39" s="15" t="inlineStr">
        <is>
          <t>-</t>
        </is>
      </c>
      <c r="AD39" s="15" t="inlineStr">
        <is>
          <t>-</t>
        </is>
      </c>
      <c r="AE39" s="15" t="inlineStr">
        <is>
          <t>-</t>
        </is>
      </c>
      <c r="AF39" s="15" t="inlineStr">
        <is>
          <t>-</t>
        </is>
      </c>
    </row>
    <row r="40">
      <c r="A40" s="20" t="n"/>
      <c r="B40" s="11" t="inlineStr">
        <is>
          <t>IT</t>
        </is>
      </c>
      <c r="C40" s="12" t="n">
        <v>3567</v>
      </c>
      <c r="D40" s="12" t="n">
        <v>0</v>
      </c>
      <c r="E40" s="12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12" t="n">
        <v>0</v>
      </c>
      <c r="P40" s="12" t="n">
        <v>0</v>
      </c>
      <c r="Q40" s="12" t="n">
        <v>1029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</row>
    <row r="41">
      <c r="A41" s="20" t="n"/>
      <c r="B41" s="13" t="inlineStr">
        <is>
          <t>IT</t>
        </is>
      </c>
      <c r="C41" s="14" t="n">
        <v>0.14</v>
      </c>
      <c r="D41" s="15" t="inlineStr">
        <is>
          <t>-</t>
        </is>
      </c>
      <c r="E41" s="15" t="inlineStr">
        <is>
          <t>-</t>
        </is>
      </c>
      <c r="F41" s="15" t="inlineStr">
        <is>
          <t>-</t>
        </is>
      </c>
      <c r="G41" s="15" t="inlineStr">
        <is>
          <t>-</t>
        </is>
      </c>
      <c r="H41" s="15" t="inlineStr">
        <is>
          <t>-</t>
        </is>
      </c>
      <c r="I41" s="15" t="inlineStr">
        <is>
          <t>-</t>
        </is>
      </c>
      <c r="J41" s="15" t="inlineStr">
        <is>
          <t>-</t>
        </is>
      </c>
      <c r="K41" s="15" t="inlineStr">
        <is>
          <t>-</t>
        </is>
      </c>
      <c r="L41" s="15" t="inlineStr">
        <is>
          <t>-</t>
        </is>
      </c>
      <c r="M41" s="15" t="inlineStr">
        <is>
          <t>-</t>
        </is>
      </c>
      <c r="N41" s="15" t="inlineStr">
        <is>
          <t>-</t>
        </is>
      </c>
      <c r="O41" s="15" t="inlineStr">
        <is>
          <t>-</t>
        </is>
      </c>
      <c r="P41" s="15" t="inlineStr">
        <is>
          <t>-</t>
        </is>
      </c>
      <c r="Q41" s="14" t="n">
        <v>1</v>
      </c>
      <c r="R41" s="15" t="inlineStr">
        <is>
          <t>-</t>
        </is>
      </c>
      <c r="S41" s="15" t="inlineStr">
        <is>
          <t>-</t>
        </is>
      </c>
      <c r="T41" s="15" t="inlineStr">
        <is>
          <t>-</t>
        </is>
      </c>
      <c r="U41" s="15" t="inlineStr">
        <is>
          <t>-</t>
        </is>
      </c>
      <c r="V41" s="15" t="inlineStr">
        <is>
          <t>-</t>
        </is>
      </c>
      <c r="W41" s="15" t="inlineStr">
        <is>
          <t>-</t>
        </is>
      </c>
      <c r="X41" s="15" t="inlineStr">
        <is>
          <t>-</t>
        </is>
      </c>
      <c r="Y41" s="15" t="inlineStr">
        <is>
          <t>-</t>
        </is>
      </c>
      <c r="Z41" s="15" t="inlineStr">
        <is>
          <t>-</t>
        </is>
      </c>
      <c r="AA41" s="15" t="inlineStr">
        <is>
          <t>-</t>
        </is>
      </c>
      <c r="AB41" s="15" t="inlineStr">
        <is>
          <t>-</t>
        </is>
      </c>
      <c r="AC41" s="15" t="inlineStr">
        <is>
          <t>-</t>
        </is>
      </c>
      <c r="AD41" s="15" t="inlineStr">
        <is>
          <t>-</t>
        </is>
      </c>
      <c r="AE41" s="15" t="inlineStr">
        <is>
          <t>-</t>
        </is>
      </c>
      <c r="AF41" s="15" t="inlineStr">
        <is>
          <t>-</t>
        </is>
      </c>
    </row>
    <row r="42">
      <c r="A42" s="20" t="n"/>
      <c r="B42" s="11" t="inlineStr">
        <is>
          <t>LT</t>
        </is>
      </c>
      <c r="C42" s="12" t="n">
        <v>170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  <c r="T42" s="12" t="n">
        <v>1017</v>
      </c>
      <c r="U42" s="12" t="n">
        <v>0</v>
      </c>
      <c r="V42" s="12" t="n">
        <v>0</v>
      </c>
      <c r="W42" s="12" t="n">
        <v>0</v>
      </c>
      <c r="X42" s="12" t="n">
        <v>0</v>
      </c>
      <c r="Y42" s="12" t="n">
        <v>0</v>
      </c>
      <c r="Z42" s="12" t="n">
        <v>0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</row>
    <row r="43">
      <c r="A43" s="20" t="n"/>
      <c r="B43" s="13" t="inlineStr">
        <is>
          <t>LT</t>
        </is>
      </c>
      <c r="C43" s="14" t="n">
        <v>0.01</v>
      </c>
      <c r="D43" s="15" t="inlineStr">
        <is>
          <t>-</t>
        </is>
      </c>
      <c r="E43" s="15" t="inlineStr">
        <is>
          <t>-</t>
        </is>
      </c>
      <c r="F43" s="15" t="inlineStr">
        <is>
          <t>-</t>
        </is>
      </c>
      <c r="G43" s="15" t="inlineStr">
        <is>
          <t>-</t>
        </is>
      </c>
      <c r="H43" s="15" t="inlineStr">
        <is>
          <t>-</t>
        </is>
      </c>
      <c r="I43" s="15" t="inlineStr">
        <is>
          <t>-</t>
        </is>
      </c>
      <c r="J43" s="15" t="inlineStr">
        <is>
          <t>-</t>
        </is>
      </c>
      <c r="K43" s="15" t="inlineStr">
        <is>
          <t>-</t>
        </is>
      </c>
      <c r="L43" s="15" t="inlineStr">
        <is>
          <t>-</t>
        </is>
      </c>
      <c r="M43" s="15" t="inlineStr">
        <is>
          <t>-</t>
        </is>
      </c>
      <c r="N43" s="15" t="inlineStr">
        <is>
          <t>-</t>
        </is>
      </c>
      <c r="O43" s="15" t="inlineStr">
        <is>
          <t>-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15" t="inlineStr">
        <is>
          <t>-</t>
        </is>
      </c>
      <c r="T43" s="14" t="n">
        <v>1</v>
      </c>
      <c r="U43" s="15" t="inlineStr">
        <is>
          <t>-</t>
        </is>
      </c>
      <c r="V43" s="15" t="inlineStr">
        <is>
          <t>-</t>
        </is>
      </c>
      <c r="W43" s="15" t="inlineStr">
        <is>
          <t>-</t>
        </is>
      </c>
      <c r="X43" s="15" t="inlineStr">
        <is>
          <t>-</t>
        </is>
      </c>
      <c r="Y43" s="15" t="inlineStr">
        <is>
          <t>-</t>
        </is>
      </c>
      <c r="Z43" s="15" t="inlineStr">
        <is>
          <t>-</t>
        </is>
      </c>
      <c r="AA43" s="15" t="inlineStr">
        <is>
          <t>-</t>
        </is>
      </c>
      <c r="AB43" s="15" t="inlineStr">
        <is>
          <t>-</t>
        </is>
      </c>
      <c r="AC43" s="15" t="inlineStr">
        <is>
          <t>-</t>
        </is>
      </c>
      <c r="AD43" s="15" t="inlineStr">
        <is>
          <t>-</t>
        </is>
      </c>
      <c r="AE43" s="15" t="inlineStr">
        <is>
          <t>-</t>
        </is>
      </c>
      <c r="AF43" s="15" t="inlineStr">
        <is>
          <t>-</t>
        </is>
      </c>
    </row>
    <row r="44">
      <c r="A44" s="20" t="n"/>
      <c r="B44" s="11" t="inlineStr">
        <is>
          <t>LU</t>
        </is>
      </c>
      <c r="C44" s="12" t="n">
        <v>39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  <c r="T44" s="12" t="n">
        <v>0</v>
      </c>
      <c r="U44" s="12" t="n">
        <v>508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</row>
    <row r="45">
      <c r="A45" s="20" t="n"/>
      <c r="B45" s="13" t="inlineStr">
        <is>
          <t>LU</t>
        </is>
      </c>
      <c r="C45" s="15" t="inlineStr">
        <is>
          <t>-</t>
        </is>
      </c>
      <c r="D45" s="15" t="inlineStr">
        <is>
          <t>-</t>
        </is>
      </c>
      <c r="E45" s="15" t="inlineStr">
        <is>
          <t>-</t>
        </is>
      </c>
      <c r="F45" s="15" t="inlineStr">
        <is>
          <t>-</t>
        </is>
      </c>
      <c r="G45" s="15" t="inlineStr">
        <is>
          <t>-</t>
        </is>
      </c>
      <c r="H45" s="15" t="inlineStr">
        <is>
          <t>-</t>
        </is>
      </c>
      <c r="I45" s="15" t="inlineStr">
        <is>
          <t>-</t>
        </is>
      </c>
      <c r="J45" s="15" t="inlineStr">
        <is>
          <t>-</t>
        </is>
      </c>
      <c r="K45" s="15" t="inlineStr">
        <is>
          <t>-</t>
        </is>
      </c>
      <c r="L45" s="15" t="inlineStr">
        <is>
          <t>-</t>
        </is>
      </c>
      <c r="M45" s="15" t="inlineStr">
        <is>
          <t>-</t>
        </is>
      </c>
      <c r="N45" s="15" t="inlineStr">
        <is>
          <t>-</t>
        </is>
      </c>
      <c r="O45" s="15" t="inlineStr">
        <is>
          <t>-</t>
        </is>
      </c>
      <c r="P45" s="15" t="inlineStr">
        <is>
          <t>-</t>
        </is>
      </c>
      <c r="Q45" s="15" t="inlineStr">
        <is>
          <t>-</t>
        </is>
      </c>
      <c r="R45" s="15" t="inlineStr">
        <is>
          <t>-</t>
        </is>
      </c>
      <c r="S45" s="15" t="inlineStr">
        <is>
          <t>-</t>
        </is>
      </c>
      <c r="T45" s="15" t="inlineStr">
        <is>
          <t>-</t>
        </is>
      </c>
      <c r="U45" s="14" t="n">
        <v>1</v>
      </c>
      <c r="V45" s="15" t="inlineStr">
        <is>
          <t>-</t>
        </is>
      </c>
      <c r="W45" s="15" t="inlineStr">
        <is>
          <t>-</t>
        </is>
      </c>
      <c r="X45" s="15" t="inlineStr">
        <is>
          <t>-</t>
        </is>
      </c>
      <c r="Y45" s="15" t="inlineStr">
        <is>
          <t>-</t>
        </is>
      </c>
      <c r="Z45" s="15" t="inlineStr">
        <is>
          <t>-</t>
        </is>
      </c>
      <c r="AA45" s="15" t="inlineStr">
        <is>
          <t>-</t>
        </is>
      </c>
      <c r="AB45" s="15" t="inlineStr">
        <is>
          <t>-</t>
        </is>
      </c>
      <c r="AC45" s="15" t="inlineStr">
        <is>
          <t>-</t>
        </is>
      </c>
      <c r="AD45" s="15" t="inlineStr">
        <is>
          <t>-</t>
        </is>
      </c>
      <c r="AE45" s="15" t="inlineStr">
        <is>
          <t>-</t>
        </is>
      </c>
      <c r="AF45" s="15" t="inlineStr">
        <is>
          <t>-</t>
        </is>
      </c>
    </row>
    <row r="46">
      <c r="A46" s="20" t="n"/>
      <c r="B46" s="11" t="inlineStr">
        <is>
          <t>LV</t>
        </is>
      </c>
      <c r="C46" s="12" t="n">
        <v>109</v>
      </c>
      <c r="D46" s="12" t="n">
        <v>0</v>
      </c>
      <c r="E46" s="12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2" t="n">
        <v>0</v>
      </c>
      <c r="L46" s="12" t="n">
        <v>0</v>
      </c>
      <c r="M46" s="12" t="n">
        <v>0</v>
      </c>
      <c r="N46" s="12" t="n">
        <v>0</v>
      </c>
      <c r="O46" s="12" t="n">
        <v>0</v>
      </c>
      <c r="P46" s="12" t="n">
        <v>0</v>
      </c>
      <c r="Q46" s="12" t="n">
        <v>0</v>
      </c>
      <c r="R46" s="12" t="n">
        <v>0</v>
      </c>
      <c r="S46" s="12" t="n">
        <v>1005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</row>
    <row r="47">
      <c r="A47" s="20" t="n"/>
      <c r="B47" s="13" t="inlineStr">
        <is>
          <t>LV</t>
        </is>
      </c>
      <c r="C47" s="15" t="inlineStr">
        <is>
          <t>-</t>
        </is>
      </c>
      <c r="D47" s="15" t="inlineStr">
        <is>
          <t>-</t>
        </is>
      </c>
      <c r="E47" s="15" t="inlineStr">
        <is>
          <t>-</t>
        </is>
      </c>
      <c r="F47" s="15" t="inlineStr">
        <is>
          <t>-</t>
        </is>
      </c>
      <c r="G47" s="15" t="inlineStr">
        <is>
          <t>-</t>
        </is>
      </c>
      <c r="H47" s="15" t="inlineStr">
        <is>
          <t>-</t>
        </is>
      </c>
      <c r="I47" s="15" t="inlineStr">
        <is>
          <t>-</t>
        </is>
      </c>
      <c r="J47" s="15" t="inlineStr">
        <is>
          <t>-</t>
        </is>
      </c>
      <c r="K47" s="15" t="inlineStr">
        <is>
          <t>-</t>
        </is>
      </c>
      <c r="L47" s="15" t="inlineStr">
        <is>
          <t>-</t>
        </is>
      </c>
      <c r="M47" s="15" t="inlineStr">
        <is>
          <t>-</t>
        </is>
      </c>
      <c r="N47" s="15" t="inlineStr">
        <is>
          <t>-</t>
        </is>
      </c>
      <c r="O47" s="15" t="inlineStr">
        <is>
          <t>-</t>
        </is>
      </c>
      <c r="P47" s="15" t="inlineStr">
        <is>
          <t>-</t>
        </is>
      </c>
      <c r="Q47" s="15" t="inlineStr">
        <is>
          <t>-</t>
        </is>
      </c>
      <c r="R47" s="15" t="inlineStr">
        <is>
          <t>-</t>
        </is>
      </c>
      <c r="S47" s="14" t="n">
        <v>1</v>
      </c>
      <c r="T47" s="15" t="inlineStr">
        <is>
          <t>-</t>
        </is>
      </c>
      <c r="U47" s="15" t="inlineStr">
        <is>
          <t>-</t>
        </is>
      </c>
      <c r="V47" s="15" t="inlineStr">
        <is>
          <t>-</t>
        </is>
      </c>
      <c r="W47" s="15" t="inlineStr">
        <is>
          <t>-</t>
        </is>
      </c>
      <c r="X47" s="15" t="inlineStr">
        <is>
          <t>-</t>
        </is>
      </c>
      <c r="Y47" s="15" t="inlineStr">
        <is>
          <t>-</t>
        </is>
      </c>
      <c r="Z47" s="15" t="inlineStr">
        <is>
          <t>-</t>
        </is>
      </c>
      <c r="AA47" s="15" t="inlineStr">
        <is>
          <t>-</t>
        </is>
      </c>
      <c r="AB47" s="15" t="inlineStr">
        <is>
          <t>-</t>
        </is>
      </c>
      <c r="AC47" s="15" t="inlineStr">
        <is>
          <t>-</t>
        </is>
      </c>
      <c r="AD47" s="15" t="inlineStr">
        <is>
          <t>-</t>
        </is>
      </c>
      <c r="AE47" s="15" t="inlineStr">
        <is>
          <t>-</t>
        </is>
      </c>
      <c r="AF47" s="15" t="inlineStr">
        <is>
          <t>-</t>
        </is>
      </c>
    </row>
    <row r="48">
      <c r="A48" s="20" t="n"/>
      <c r="B48" s="11" t="inlineStr">
        <is>
          <t>MT</t>
        </is>
      </c>
      <c r="C48" s="12" t="n">
        <v>34</v>
      </c>
      <c r="D48" s="12" t="n">
        <v>0</v>
      </c>
      <c r="E48" s="12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2" t="n">
        <v>0</v>
      </c>
      <c r="L48" s="12" t="n">
        <v>0</v>
      </c>
      <c r="M48" s="12" t="n">
        <v>0</v>
      </c>
      <c r="N48" s="12" t="n">
        <v>0</v>
      </c>
      <c r="O48" s="12" t="n">
        <v>0</v>
      </c>
      <c r="P48" s="12" t="n">
        <v>0</v>
      </c>
      <c r="Q48" s="12" t="n">
        <v>0</v>
      </c>
      <c r="R48" s="12" t="n">
        <v>0</v>
      </c>
      <c r="S48" s="12" t="n">
        <v>0</v>
      </c>
      <c r="T48" s="12" t="n">
        <v>0</v>
      </c>
      <c r="U48" s="12" t="n">
        <v>0</v>
      </c>
      <c r="V48" s="12" t="n">
        <v>0</v>
      </c>
      <c r="W48" s="12" t="n">
        <v>505</v>
      </c>
      <c r="X48" s="12" t="n">
        <v>0</v>
      </c>
      <c r="Y48" s="12" t="n">
        <v>0</v>
      </c>
      <c r="Z48" s="12" t="n">
        <v>0</v>
      </c>
      <c r="AA48" s="12" t="n">
        <v>0</v>
      </c>
      <c r="AB48" s="12" t="n">
        <v>0</v>
      </c>
      <c r="AC48" s="12" t="n">
        <v>0</v>
      </c>
      <c r="AD48" s="12" t="n">
        <v>0</v>
      </c>
      <c r="AE48" s="12" t="n">
        <v>0</v>
      </c>
      <c r="AF48" s="12" t="n">
        <v>0</v>
      </c>
    </row>
    <row r="49">
      <c r="A49" s="20" t="n"/>
      <c r="B49" s="13" t="inlineStr">
        <is>
          <t>MT</t>
        </is>
      </c>
      <c r="C49" s="15" t="inlineStr">
        <is>
          <t>-</t>
        </is>
      </c>
      <c r="D49" s="15" t="inlineStr">
        <is>
          <t>-</t>
        </is>
      </c>
      <c r="E49" s="15" t="inlineStr">
        <is>
          <t>-</t>
        </is>
      </c>
      <c r="F49" s="15" t="inlineStr">
        <is>
          <t>-</t>
        </is>
      </c>
      <c r="G49" s="15" t="inlineStr">
        <is>
          <t>-</t>
        </is>
      </c>
      <c r="H49" s="15" t="inlineStr">
        <is>
          <t>-</t>
        </is>
      </c>
      <c r="I49" s="15" t="inlineStr">
        <is>
          <t>-</t>
        </is>
      </c>
      <c r="J49" s="15" t="inlineStr">
        <is>
          <t>-</t>
        </is>
      </c>
      <c r="K49" s="15" t="inlineStr">
        <is>
          <t>-</t>
        </is>
      </c>
      <c r="L49" s="15" t="inlineStr">
        <is>
          <t>-</t>
        </is>
      </c>
      <c r="M49" s="15" t="inlineStr">
        <is>
          <t>-</t>
        </is>
      </c>
      <c r="N49" s="15" t="inlineStr">
        <is>
          <t>-</t>
        </is>
      </c>
      <c r="O49" s="15" t="inlineStr">
        <is>
          <t>-</t>
        </is>
      </c>
      <c r="P49" s="15" t="inlineStr">
        <is>
          <t>-</t>
        </is>
      </c>
      <c r="Q49" s="15" t="inlineStr">
        <is>
          <t>-</t>
        </is>
      </c>
      <c r="R49" s="15" t="inlineStr">
        <is>
          <t>-</t>
        </is>
      </c>
      <c r="S49" s="15" t="inlineStr">
        <is>
          <t>-</t>
        </is>
      </c>
      <c r="T49" s="15" t="inlineStr">
        <is>
          <t>-</t>
        </is>
      </c>
      <c r="U49" s="15" t="inlineStr">
        <is>
          <t>-</t>
        </is>
      </c>
      <c r="V49" s="15" t="inlineStr">
        <is>
          <t>-</t>
        </is>
      </c>
      <c r="W49" s="14" t="n">
        <v>1</v>
      </c>
      <c r="X49" s="15" t="inlineStr">
        <is>
          <t>-</t>
        </is>
      </c>
      <c r="Y49" s="15" t="inlineStr">
        <is>
          <t>-</t>
        </is>
      </c>
      <c r="Z49" s="15" t="inlineStr">
        <is>
          <t>-</t>
        </is>
      </c>
      <c r="AA49" s="15" t="inlineStr">
        <is>
          <t>-</t>
        </is>
      </c>
      <c r="AB49" s="15" t="inlineStr">
        <is>
          <t>-</t>
        </is>
      </c>
      <c r="AC49" s="15" t="inlineStr">
        <is>
          <t>-</t>
        </is>
      </c>
      <c r="AD49" s="15" t="inlineStr">
        <is>
          <t>-</t>
        </is>
      </c>
      <c r="AE49" s="15" t="inlineStr">
        <is>
          <t>-</t>
        </is>
      </c>
      <c r="AF49" s="15" t="inlineStr">
        <is>
          <t>-</t>
        </is>
      </c>
    </row>
    <row r="50">
      <c r="A50" s="20" t="n"/>
      <c r="B50" s="11" t="inlineStr">
        <is>
          <t>NL</t>
        </is>
      </c>
      <c r="C50" s="12" t="n">
        <v>1049</v>
      </c>
      <c r="D50" s="12" t="n">
        <v>0</v>
      </c>
      <c r="E50" s="12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2" t="n">
        <v>0</v>
      </c>
      <c r="K50" s="12" t="n">
        <v>0</v>
      </c>
      <c r="L50" s="12" t="n">
        <v>0</v>
      </c>
      <c r="M50" s="12" t="n">
        <v>0</v>
      </c>
      <c r="N50" s="12" t="n">
        <v>0</v>
      </c>
      <c r="O50" s="12" t="n">
        <v>0</v>
      </c>
      <c r="P50" s="12" t="n">
        <v>0</v>
      </c>
      <c r="Q50" s="12" t="n">
        <v>0</v>
      </c>
      <c r="R50" s="12" t="n">
        <v>0</v>
      </c>
      <c r="S50" s="12" t="n">
        <v>0</v>
      </c>
      <c r="T50" s="12" t="n">
        <v>0</v>
      </c>
      <c r="U50" s="12" t="n">
        <v>0</v>
      </c>
      <c r="V50" s="12" t="n">
        <v>0</v>
      </c>
      <c r="W50" s="12" t="n">
        <v>0</v>
      </c>
      <c r="X50" s="12" t="n">
        <v>1023</v>
      </c>
      <c r="Y50" s="12" t="n">
        <v>0</v>
      </c>
      <c r="Z50" s="12" t="n">
        <v>0</v>
      </c>
      <c r="AA50" s="12" t="n">
        <v>0</v>
      </c>
      <c r="AB50" s="12" t="n">
        <v>0</v>
      </c>
      <c r="AC50" s="12" t="n">
        <v>0</v>
      </c>
      <c r="AD50" s="12" t="n">
        <v>0</v>
      </c>
      <c r="AE50" s="12" t="n">
        <v>0</v>
      </c>
      <c r="AF50" s="12" t="n">
        <v>0</v>
      </c>
    </row>
    <row r="51">
      <c r="A51" s="20" t="n"/>
      <c r="B51" s="13" t="inlineStr">
        <is>
          <t>NL</t>
        </is>
      </c>
      <c r="C51" s="14" t="n">
        <v>0.04</v>
      </c>
      <c r="D51" s="15" t="inlineStr">
        <is>
          <t>-</t>
        </is>
      </c>
      <c r="E51" s="15" t="inlineStr">
        <is>
          <t>-</t>
        </is>
      </c>
      <c r="F51" s="15" t="inlineStr">
        <is>
          <t>-</t>
        </is>
      </c>
      <c r="G51" s="15" t="inlineStr">
        <is>
          <t>-</t>
        </is>
      </c>
      <c r="H51" s="15" t="inlineStr">
        <is>
          <t>-</t>
        </is>
      </c>
      <c r="I51" s="15" t="inlineStr">
        <is>
          <t>-</t>
        </is>
      </c>
      <c r="J51" s="15" t="inlineStr">
        <is>
          <t>-</t>
        </is>
      </c>
      <c r="K51" s="15" t="inlineStr">
        <is>
          <t>-</t>
        </is>
      </c>
      <c r="L51" s="15" t="inlineStr">
        <is>
          <t>-</t>
        </is>
      </c>
      <c r="M51" s="15" t="inlineStr">
        <is>
          <t>-</t>
        </is>
      </c>
      <c r="N51" s="15" t="inlineStr">
        <is>
          <t>-</t>
        </is>
      </c>
      <c r="O51" s="15" t="inlineStr">
        <is>
          <t>-</t>
        </is>
      </c>
      <c r="P51" s="15" t="inlineStr">
        <is>
          <t>-</t>
        </is>
      </c>
      <c r="Q51" s="15" t="inlineStr">
        <is>
          <t>-</t>
        </is>
      </c>
      <c r="R51" s="15" t="inlineStr">
        <is>
          <t>-</t>
        </is>
      </c>
      <c r="S51" s="15" t="inlineStr">
        <is>
          <t>-</t>
        </is>
      </c>
      <c r="T51" s="15" t="inlineStr">
        <is>
          <t>-</t>
        </is>
      </c>
      <c r="U51" s="15" t="inlineStr">
        <is>
          <t>-</t>
        </is>
      </c>
      <c r="V51" s="15" t="inlineStr">
        <is>
          <t>-</t>
        </is>
      </c>
      <c r="W51" s="15" t="inlineStr">
        <is>
          <t>-</t>
        </is>
      </c>
      <c r="X51" s="14" t="n">
        <v>1</v>
      </c>
      <c r="Y51" s="15" t="inlineStr">
        <is>
          <t>-</t>
        </is>
      </c>
      <c r="Z51" s="15" t="inlineStr">
        <is>
          <t>-</t>
        </is>
      </c>
      <c r="AA51" s="15" t="inlineStr">
        <is>
          <t>-</t>
        </is>
      </c>
      <c r="AB51" s="15" t="inlineStr">
        <is>
          <t>-</t>
        </is>
      </c>
      <c r="AC51" s="15" t="inlineStr">
        <is>
          <t>-</t>
        </is>
      </c>
      <c r="AD51" s="15" t="inlineStr">
        <is>
          <t>-</t>
        </is>
      </c>
      <c r="AE51" s="15" t="inlineStr">
        <is>
          <t>-</t>
        </is>
      </c>
      <c r="AF51" s="15" t="inlineStr">
        <is>
          <t>-</t>
        </is>
      </c>
    </row>
    <row r="52">
      <c r="A52" s="20" t="n"/>
      <c r="B52" s="11" t="inlineStr">
        <is>
          <t>PL</t>
        </is>
      </c>
      <c r="C52" s="12" t="n">
        <v>2141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2" t="n">
        <v>0</v>
      </c>
      <c r="P52" s="12" t="n">
        <v>0</v>
      </c>
      <c r="Q52" s="12" t="n">
        <v>0</v>
      </c>
      <c r="R52" s="12" t="n">
        <v>0</v>
      </c>
      <c r="S52" s="12" t="n">
        <v>0</v>
      </c>
      <c r="T52" s="12" t="n">
        <v>0</v>
      </c>
      <c r="U52" s="12" t="n">
        <v>0</v>
      </c>
      <c r="V52" s="12" t="n">
        <v>0</v>
      </c>
      <c r="W52" s="12" t="n">
        <v>0</v>
      </c>
      <c r="X52" s="12" t="n">
        <v>0</v>
      </c>
      <c r="Y52" s="12" t="n">
        <v>0</v>
      </c>
      <c r="Z52" s="12" t="n">
        <v>1020</v>
      </c>
      <c r="AA52" s="12" t="n">
        <v>0</v>
      </c>
      <c r="AB52" s="12" t="n">
        <v>0</v>
      </c>
      <c r="AC52" s="12" t="n">
        <v>0</v>
      </c>
      <c r="AD52" s="12" t="n">
        <v>0</v>
      </c>
      <c r="AE52" s="12" t="n">
        <v>0</v>
      </c>
      <c r="AF52" s="12" t="n">
        <v>0</v>
      </c>
    </row>
    <row r="53">
      <c r="A53" s="20" t="n"/>
      <c r="B53" s="13" t="inlineStr">
        <is>
          <t>PL</t>
        </is>
      </c>
      <c r="C53" s="14" t="n">
        <v>0.08</v>
      </c>
      <c r="D53" s="15" t="inlineStr">
        <is>
          <t>-</t>
        </is>
      </c>
      <c r="E53" s="15" t="inlineStr">
        <is>
          <t>-</t>
        </is>
      </c>
      <c r="F53" s="15" t="inlineStr">
        <is>
          <t>-</t>
        </is>
      </c>
      <c r="G53" s="15" t="inlineStr">
        <is>
          <t>-</t>
        </is>
      </c>
      <c r="H53" s="15" t="inlineStr">
        <is>
          <t>-</t>
        </is>
      </c>
      <c r="I53" s="15" t="inlineStr">
        <is>
          <t>-</t>
        </is>
      </c>
      <c r="J53" s="15" t="inlineStr">
        <is>
          <t>-</t>
        </is>
      </c>
      <c r="K53" s="15" t="inlineStr">
        <is>
          <t>-</t>
        </is>
      </c>
      <c r="L53" s="15" t="inlineStr">
        <is>
          <t>-</t>
        </is>
      </c>
      <c r="M53" s="15" t="inlineStr">
        <is>
          <t>-</t>
        </is>
      </c>
      <c r="N53" s="15" t="inlineStr">
        <is>
          <t>-</t>
        </is>
      </c>
      <c r="O53" s="15" t="inlineStr">
        <is>
          <t>-</t>
        </is>
      </c>
      <c r="P53" s="15" t="inlineStr">
        <is>
          <t>-</t>
        </is>
      </c>
      <c r="Q53" s="15" t="inlineStr">
        <is>
          <t>-</t>
        </is>
      </c>
      <c r="R53" s="15" t="inlineStr">
        <is>
          <t>-</t>
        </is>
      </c>
      <c r="S53" s="15" t="inlineStr">
        <is>
          <t>-</t>
        </is>
      </c>
      <c r="T53" s="15" t="inlineStr">
        <is>
          <t>-</t>
        </is>
      </c>
      <c r="U53" s="15" t="inlineStr">
        <is>
          <t>-</t>
        </is>
      </c>
      <c r="V53" s="15" t="inlineStr">
        <is>
          <t>-</t>
        </is>
      </c>
      <c r="W53" s="15" t="inlineStr">
        <is>
          <t>-</t>
        </is>
      </c>
      <c r="X53" s="15" t="inlineStr">
        <is>
          <t>-</t>
        </is>
      </c>
      <c r="Y53" s="15" t="inlineStr">
        <is>
          <t>-</t>
        </is>
      </c>
      <c r="Z53" s="14" t="n">
        <v>1</v>
      </c>
      <c r="AA53" s="15" t="inlineStr">
        <is>
          <t>-</t>
        </is>
      </c>
      <c r="AB53" s="15" t="inlineStr">
        <is>
          <t>-</t>
        </is>
      </c>
      <c r="AC53" s="15" t="inlineStr">
        <is>
          <t>-</t>
        </is>
      </c>
      <c r="AD53" s="15" t="inlineStr">
        <is>
          <t>-</t>
        </is>
      </c>
      <c r="AE53" s="15" t="inlineStr">
        <is>
          <t>-</t>
        </is>
      </c>
      <c r="AF53" s="15" t="inlineStr">
        <is>
          <t>-</t>
        </is>
      </c>
    </row>
    <row r="54">
      <c r="A54" s="20" t="n"/>
      <c r="B54" s="11" t="inlineStr">
        <is>
          <t>PT</t>
        </is>
      </c>
      <c r="C54" s="12" t="n">
        <v>639</v>
      </c>
      <c r="D54" s="12" t="n">
        <v>0</v>
      </c>
      <c r="E54" s="12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12" t="n">
        <v>0</v>
      </c>
      <c r="P54" s="12" t="n">
        <v>0</v>
      </c>
      <c r="Q54" s="12" t="n">
        <v>0</v>
      </c>
      <c r="R54" s="12" t="n">
        <v>0</v>
      </c>
      <c r="S54" s="12" t="n">
        <v>0</v>
      </c>
      <c r="T54" s="12" t="n">
        <v>0</v>
      </c>
      <c r="U54" s="12" t="n">
        <v>0</v>
      </c>
      <c r="V54" s="12" t="n">
        <v>0</v>
      </c>
      <c r="W54" s="12" t="n">
        <v>0</v>
      </c>
      <c r="X54" s="12" t="n">
        <v>0</v>
      </c>
      <c r="Y54" s="12" t="n">
        <v>0</v>
      </c>
      <c r="Z54" s="12" t="n">
        <v>0</v>
      </c>
      <c r="AA54" s="12" t="n">
        <v>1031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</row>
    <row r="55">
      <c r="A55" s="20" t="n"/>
      <c r="B55" s="13" t="inlineStr">
        <is>
          <t>PT</t>
        </is>
      </c>
      <c r="C55" s="14" t="n">
        <v>0.03</v>
      </c>
      <c r="D55" s="15" t="inlineStr">
        <is>
          <t>-</t>
        </is>
      </c>
      <c r="E55" s="15" t="inlineStr">
        <is>
          <t>-</t>
        </is>
      </c>
      <c r="F55" s="15" t="inlineStr">
        <is>
          <t>-</t>
        </is>
      </c>
      <c r="G55" s="15" t="inlineStr">
        <is>
          <t>-</t>
        </is>
      </c>
      <c r="H55" s="15" t="inlineStr">
        <is>
          <t>-</t>
        </is>
      </c>
      <c r="I55" s="15" t="inlineStr">
        <is>
          <t>-</t>
        </is>
      </c>
      <c r="J55" s="15" t="inlineStr">
        <is>
          <t>-</t>
        </is>
      </c>
      <c r="K55" s="15" t="inlineStr">
        <is>
          <t>-</t>
        </is>
      </c>
      <c r="L55" s="15" t="inlineStr">
        <is>
          <t>-</t>
        </is>
      </c>
      <c r="M55" s="15" t="inlineStr">
        <is>
          <t>-</t>
        </is>
      </c>
      <c r="N55" s="15" t="inlineStr">
        <is>
          <t>-</t>
        </is>
      </c>
      <c r="O55" s="15" t="inlineStr">
        <is>
          <t>-</t>
        </is>
      </c>
      <c r="P55" s="15" t="inlineStr">
        <is>
          <t>-</t>
        </is>
      </c>
      <c r="Q55" s="15" t="inlineStr">
        <is>
          <t>-</t>
        </is>
      </c>
      <c r="R55" s="15" t="inlineStr">
        <is>
          <t>-</t>
        </is>
      </c>
      <c r="S55" s="15" t="inlineStr">
        <is>
          <t>-</t>
        </is>
      </c>
      <c r="T55" s="15" t="inlineStr">
        <is>
          <t>-</t>
        </is>
      </c>
      <c r="U55" s="15" t="inlineStr">
        <is>
          <t>-</t>
        </is>
      </c>
      <c r="V55" s="15" t="inlineStr">
        <is>
          <t>-</t>
        </is>
      </c>
      <c r="W55" s="15" t="inlineStr">
        <is>
          <t>-</t>
        </is>
      </c>
      <c r="X55" s="15" t="inlineStr">
        <is>
          <t>-</t>
        </is>
      </c>
      <c r="Y55" s="15" t="inlineStr">
        <is>
          <t>-</t>
        </is>
      </c>
      <c r="Z55" s="15" t="inlineStr">
        <is>
          <t>-</t>
        </is>
      </c>
      <c r="AA55" s="14" t="n">
        <v>1</v>
      </c>
      <c r="AB55" s="15" t="inlineStr">
        <is>
          <t>-</t>
        </is>
      </c>
      <c r="AC55" s="15" t="inlineStr">
        <is>
          <t>-</t>
        </is>
      </c>
      <c r="AD55" s="15" t="inlineStr">
        <is>
          <t>-</t>
        </is>
      </c>
      <c r="AE55" s="15" t="inlineStr">
        <is>
          <t>-</t>
        </is>
      </c>
      <c r="AF55" s="15" t="inlineStr">
        <is>
          <t>-</t>
        </is>
      </c>
    </row>
    <row r="56">
      <c r="A56" s="20" t="n"/>
      <c r="B56" s="11" t="inlineStr">
        <is>
          <t>RO</t>
        </is>
      </c>
      <c r="C56" s="12" t="n">
        <v>1104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0</v>
      </c>
      <c r="T56" s="12" t="n">
        <v>0</v>
      </c>
      <c r="U56" s="12" t="n">
        <v>0</v>
      </c>
      <c r="V56" s="12" t="n">
        <v>0</v>
      </c>
      <c r="W56" s="12" t="n">
        <v>0</v>
      </c>
      <c r="X56" s="12" t="n">
        <v>0</v>
      </c>
      <c r="Y56" s="12" t="n">
        <v>0</v>
      </c>
      <c r="Z56" s="12" t="n">
        <v>0</v>
      </c>
      <c r="AA56" s="12" t="n">
        <v>0</v>
      </c>
      <c r="AB56" s="12" t="n">
        <v>1045</v>
      </c>
      <c r="AC56" s="12" t="n">
        <v>0</v>
      </c>
      <c r="AD56" s="12" t="n">
        <v>0</v>
      </c>
      <c r="AE56" s="12" t="n">
        <v>0</v>
      </c>
      <c r="AF56" s="12" t="n">
        <v>0</v>
      </c>
    </row>
    <row r="57">
      <c r="A57" s="20" t="n"/>
      <c r="B57" s="13" t="inlineStr">
        <is>
          <t>RO</t>
        </is>
      </c>
      <c r="C57" s="14" t="n">
        <v>0.04</v>
      </c>
      <c r="D57" s="15" t="inlineStr">
        <is>
          <t>-</t>
        </is>
      </c>
      <c r="E57" s="15" t="inlineStr">
        <is>
          <t>-</t>
        </is>
      </c>
      <c r="F57" s="15" t="inlineStr">
        <is>
          <t>-</t>
        </is>
      </c>
      <c r="G57" s="15" t="inlineStr">
        <is>
          <t>-</t>
        </is>
      </c>
      <c r="H57" s="15" t="inlineStr">
        <is>
          <t>-</t>
        </is>
      </c>
      <c r="I57" s="15" t="inlineStr">
        <is>
          <t>-</t>
        </is>
      </c>
      <c r="J57" s="15" t="inlineStr">
        <is>
          <t>-</t>
        </is>
      </c>
      <c r="K57" s="15" t="inlineStr">
        <is>
          <t>-</t>
        </is>
      </c>
      <c r="L57" s="15" t="inlineStr">
        <is>
          <t>-</t>
        </is>
      </c>
      <c r="M57" s="15" t="inlineStr">
        <is>
          <t>-</t>
        </is>
      </c>
      <c r="N57" s="15" t="inlineStr">
        <is>
          <t>-</t>
        </is>
      </c>
      <c r="O57" s="15" t="inlineStr">
        <is>
          <t>-</t>
        </is>
      </c>
      <c r="P57" s="15" t="inlineStr">
        <is>
          <t>-</t>
        </is>
      </c>
      <c r="Q57" s="15" t="inlineStr">
        <is>
          <t>-</t>
        </is>
      </c>
      <c r="R57" s="15" t="inlineStr">
        <is>
          <t>-</t>
        </is>
      </c>
      <c r="S57" s="15" t="inlineStr">
        <is>
          <t>-</t>
        </is>
      </c>
      <c r="T57" s="15" t="inlineStr">
        <is>
          <t>-</t>
        </is>
      </c>
      <c r="U57" s="15" t="inlineStr">
        <is>
          <t>-</t>
        </is>
      </c>
      <c r="V57" s="15" t="inlineStr">
        <is>
          <t>-</t>
        </is>
      </c>
      <c r="W57" s="15" t="inlineStr">
        <is>
          <t>-</t>
        </is>
      </c>
      <c r="X57" s="15" t="inlineStr">
        <is>
          <t>-</t>
        </is>
      </c>
      <c r="Y57" s="15" t="inlineStr">
        <is>
          <t>-</t>
        </is>
      </c>
      <c r="Z57" s="15" t="inlineStr">
        <is>
          <t>-</t>
        </is>
      </c>
      <c r="AA57" s="15" t="inlineStr">
        <is>
          <t>-</t>
        </is>
      </c>
      <c r="AB57" s="14" t="n">
        <v>1</v>
      </c>
      <c r="AC57" s="15" t="inlineStr">
        <is>
          <t>-</t>
        </is>
      </c>
      <c r="AD57" s="15" t="inlineStr">
        <is>
          <t>-</t>
        </is>
      </c>
      <c r="AE57" s="15" t="inlineStr">
        <is>
          <t>-</t>
        </is>
      </c>
      <c r="AF57" s="15" t="inlineStr">
        <is>
          <t>-</t>
        </is>
      </c>
    </row>
    <row r="58">
      <c r="A58" s="20" t="n"/>
      <c r="B58" s="11" t="inlineStr">
        <is>
          <t>SE</t>
        </is>
      </c>
      <c r="C58" s="12" t="n">
        <v>603</v>
      </c>
      <c r="D58" s="12" t="n">
        <v>0</v>
      </c>
      <c r="E58" s="12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0</v>
      </c>
      <c r="M58" s="12" t="n">
        <v>0</v>
      </c>
      <c r="N58" s="12" t="n">
        <v>0</v>
      </c>
      <c r="O58" s="12" t="n">
        <v>0</v>
      </c>
      <c r="P58" s="12" t="n">
        <v>0</v>
      </c>
      <c r="Q58" s="12" t="n">
        <v>0</v>
      </c>
      <c r="R58" s="12" t="n">
        <v>0</v>
      </c>
      <c r="S58" s="12" t="n">
        <v>0</v>
      </c>
      <c r="T58" s="12" t="n">
        <v>0</v>
      </c>
      <c r="U58" s="12" t="n">
        <v>0</v>
      </c>
      <c r="V58" s="12" t="n">
        <v>0</v>
      </c>
      <c r="W58" s="12" t="n">
        <v>0</v>
      </c>
      <c r="X58" s="12" t="n">
        <v>0</v>
      </c>
      <c r="Y58" s="12" t="n">
        <v>0</v>
      </c>
      <c r="Z58" s="12" t="n">
        <v>0</v>
      </c>
      <c r="AA58" s="12" t="n">
        <v>0</v>
      </c>
      <c r="AB58" s="12" t="n">
        <v>0</v>
      </c>
      <c r="AC58" s="12" t="n">
        <v>0</v>
      </c>
      <c r="AD58" s="12" t="n">
        <v>0</v>
      </c>
      <c r="AE58" s="12" t="n">
        <v>0</v>
      </c>
      <c r="AF58" s="12" t="n">
        <v>1037</v>
      </c>
    </row>
    <row r="59">
      <c r="A59" s="20" t="n"/>
      <c r="B59" s="13" t="inlineStr">
        <is>
          <t>SE</t>
        </is>
      </c>
      <c r="C59" s="14" t="n">
        <v>0.02</v>
      </c>
      <c r="D59" s="15" t="inlineStr">
        <is>
          <t>-</t>
        </is>
      </c>
      <c r="E59" s="15" t="inlineStr">
        <is>
          <t>-</t>
        </is>
      </c>
      <c r="F59" s="15" t="inlineStr">
        <is>
          <t>-</t>
        </is>
      </c>
      <c r="G59" s="15" t="inlineStr">
        <is>
          <t>-</t>
        </is>
      </c>
      <c r="H59" s="15" t="inlineStr">
        <is>
          <t>-</t>
        </is>
      </c>
      <c r="I59" s="15" t="inlineStr">
        <is>
          <t>-</t>
        </is>
      </c>
      <c r="J59" s="15" t="inlineStr">
        <is>
          <t>-</t>
        </is>
      </c>
      <c r="K59" s="15" t="inlineStr">
        <is>
          <t>-</t>
        </is>
      </c>
      <c r="L59" s="15" t="inlineStr">
        <is>
          <t>-</t>
        </is>
      </c>
      <c r="M59" s="15" t="inlineStr">
        <is>
          <t>-</t>
        </is>
      </c>
      <c r="N59" s="15" t="inlineStr">
        <is>
          <t>-</t>
        </is>
      </c>
      <c r="O59" s="15" t="inlineStr">
        <is>
          <t>-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-</t>
        </is>
      </c>
      <c r="S59" s="15" t="inlineStr">
        <is>
          <t>-</t>
        </is>
      </c>
      <c r="T59" s="15" t="inlineStr">
        <is>
          <t>-</t>
        </is>
      </c>
      <c r="U59" s="15" t="inlineStr">
        <is>
          <t>-</t>
        </is>
      </c>
      <c r="V59" s="15" t="inlineStr">
        <is>
          <t>-</t>
        </is>
      </c>
      <c r="W59" s="15" t="inlineStr">
        <is>
          <t>-</t>
        </is>
      </c>
      <c r="X59" s="15" t="inlineStr">
        <is>
          <t>-</t>
        </is>
      </c>
      <c r="Y59" s="15" t="inlineStr">
        <is>
          <t>-</t>
        </is>
      </c>
      <c r="Z59" s="15" t="inlineStr">
        <is>
          <t>-</t>
        </is>
      </c>
      <c r="AA59" s="15" t="inlineStr">
        <is>
          <t>-</t>
        </is>
      </c>
      <c r="AB59" s="15" t="inlineStr">
        <is>
          <t>-</t>
        </is>
      </c>
      <c r="AC59" s="15" t="inlineStr">
        <is>
          <t>-</t>
        </is>
      </c>
      <c r="AD59" s="15" t="inlineStr">
        <is>
          <t>-</t>
        </is>
      </c>
      <c r="AE59" s="15" t="inlineStr">
        <is>
          <t>-</t>
        </is>
      </c>
      <c r="AF59" s="14" t="n">
        <v>1</v>
      </c>
    </row>
    <row r="60">
      <c r="A60" s="20" t="n"/>
      <c r="B60" s="11" t="inlineStr">
        <is>
          <t>SI</t>
        </is>
      </c>
      <c r="C60" s="12" t="n">
        <v>125</v>
      </c>
      <c r="D60" s="12" t="n">
        <v>0</v>
      </c>
      <c r="E60" s="12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0</v>
      </c>
      <c r="K60" s="12" t="n">
        <v>0</v>
      </c>
      <c r="L60" s="12" t="n">
        <v>0</v>
      </c>
      <c r="M60" s="12" t="n">
        <v>0</v>
      </c>
      <c r="N60" s="12" t="n">
        <v>0</v>
      </c>
      <c r="O60" s="12" t="n">
        <v>0</v>
      </c>
      <c r="P60" s="12" t="n">
        <v>0</v>
      </c>
      <c r="Q60" s="12" t="n">
        <v>0</v>
      </c>
      <c r="R60" s="12" t="n">
        <v>0</v>
      </c>
      <c r="S60" s="12" t="n">
        <v>0</v>
      </c>
      <c r="T60" s="12" t="n">
        <v>0</v>
      </c>
      <c r="U60" s="12" t="n">
        <v>0</v>
      </c>
      <c r="V60" s="12" t="n">
        <v>0</v>
      </c>
      <c r="W60" s="12" t="n">
        <v>0</v>
      </c>
      <c r="X60" s="12" t="n">
        <v>0</v>
      </c>
      <c r="Y60" s="12" t="n">
        <v>0</v>
      </c>
      <c r="Z60" s="12" t="n">
        <v>0</v>
      </c>
      <c r="AA60" s="12" t="n">
        <v>0</v>
      </c>
      <c r="AB60" s="12" t="n">
        <v>0</v>
      </c>
      <c r="AC60" s="12" t="n">
        <v>1007</v>
      </c>
      <c r="AD60" s="12" t="n">
        <v>0</v>
      </c>
      <c r="AE60" s="12" t="n">
        <v>0</v>
      </c>
      <c r="AF60" s="12" t="n">
        <v>0</v>
      </c>
    </row>
    <row r="61">
      <c r="A61" s="20" t="n"/>
      <c r="B61" s="13" t="inlineStr">
        <is>
          <t>SI</t>
        </is>
      </c>
      <c r="C61" s="14" t="n">
        <v>0.01</v>
      </c>
      <c r="D61" s="15" t="inlineStr">
        <is>
          <t>-</t>
        </is>
      </c>
      <c r="E61" s="15" t="inlineStr">
        <is>
          <t>-</t>
        </is>
      </c>
      <c r="F61" s="15" t="inlineStr">
        <is>
          <t>-</t>
        </is>
      </c>
      <c r="G61" s="15" t="inlineStr">
        <is>
          <t>-</t>
        </is>
      </c>
      <c r="H61" s="15" t="inlineStr">
        <is>
          <t>-</t>
        </is>
      </c>
      <c r="I61" s="15" t="inlineStr">
        <is>
          <t>-</t>
        </is>
      </c>
      <c r="J61" s="15" t="inlineStr">
        <is>
          <t>-</t>
        </is>
      </c>
      <c r="K61" s="15" t="inlineStr">
        <is>
          <t>-</t>
        </is>
      </c>
      <c r="L61" s="15" t="inlineStr">
        <is>
          <t>-</t>
        </is>
      </c>
      <c r="M61" s="15" t="inlineStr">
        <is>
          <t>-</t>
        </is>
      </c>
      <c r="N61" s="15" t="inlineStr">
        <is>
          <t>-</t>
        </is>
      </c>
      <c r="O61" s="15" t="inlineStr">
        <is>
          <t>-</t>
        </is>
      </c>
      <c r="P61" s="15" t="inlineStr">
        <is>
          <t>-</t>
        </is>
      </c>
      <c r="Q61" s="15" t="inlineStr">
        <is>
          <t>-</t>
        </is>
      </c>
      <c r="R61" s="15" t="inlineStr">
        <is>
          <t>-</t>
        </is>
      </c>
      <c r="S61" s="15" t="inlineStr">
        <is>
          <t>-</t>
        </is>
      </c>
      <c r="T61" s="15" t="inlineStr">
        <is>
          <t>-</t>
        </is>
      </c>
      <c r="U61" s="15" t="inlineStr">
        <is>
          <t>-</t>
        </is>
      </c>
      <c r="V61" s="15" t="inlineStr">
        <is>
          <t>-</t>
        </is>
      </c>
      <c r="W61" s="15" t="inlineStr">
        <is>
          <t>-</t>
        </is>
      </c>
      <c r="X61" s="15" t="inlineStr">
        <is>
          <t>-</t>
        </is>
      </c>
      <c r="Y61" s="15" t="inlineStr">
        <is>
          <t>-</t>
        </is>
      </c>
      <c r="Z61" s="15" t="inlineStr">
        <is>
          <t>-</t>
        </is>
      </c>
      <c r="AA61" s="15" t="inlineStr">
        <is>
          <t>-</t>
        </is>
      </c>
      <c r="AB61" s="15" t="inlineStr">
        <is>
          <t>-</t>
        </is>
      </c>
      <c r="AC61" s="14" t="n">
        <v>1</v>
      </c>
      <c r="AD61" s="15" t="inlineStr">
        <is>
          <t>-</t>
        </is>
      </c>
      <c r="AE61" s="15" t="inlineStr">
        <is>
          <t>-</t>
        </is>
      </c>
      <c r="AF61" s="15" t="inlineStr">
        <is>
          <t>-</t>
        </is>
      </c>
    </row>
    <row r="62">
      <c r="A62" s="20" t="n"/>
      <c r="B62" s="11" t="inlineStr">
        <is>
          <t>SK</t>
        </is>
      </c>
      <c r="C62" s="12" t="n">
        <v>314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  <c r="K62" s="12" t="n">
        <v>0</v>
      </c>
      <c r="L62" s="12" t="n">
        <v>0</v>
      </c>
      <c r="M62" s="12" t="n">
        <v>0</v>
      </c>
      <c r="N62" s="12" t="n">
        <v>0</v>
      </c>
      <c r="O62" s="12" t="n">
        <v>0</v>
      </c>
      <c r="P62" s="12" t="n">
        <v>0</v>
      </c>
      <c r="Q62" s="12" t="n">
        <v>0</v>
      </c>
      <c r="R62" s="12" t="n">
        <v>0</v>
      </c>
      <c r="S62" s="12" t="n">
        <v>0</v>
      </c>
      <c r="T62" s="12" t="n">
        <v>0</v>
      </c>
      <c r="U62" s="12" t="n">
        <v>0</v>
      </c>
      <c r="V62" s="12" t="n">
        <v>0</v>
      </c>
      <c r="W62" s="12" t="n">
        <v>0</v>
      </c>
      <c r="X62" s="12" t="n">
        <v>0</v>
      </c>
      <c r="Y62" s="12" t="n">
        <v>0</v>
      </c>
      <c r="Z62" s="12" t="n">
        <v>0</v>
      </c>
      <c r="AA62" s="12" t="n">
        <v>0</v>
      </c>
      <c r="AB62" s="12" t="n">
        <v>0</v>
      </c>
      <c r="AC62" s="12" t="n">
        <v>0</v>
      </c>
      <c r="AD62" s="12" t="n">
        <v>1001</v>
      </c>
      <c r="AE62" s="12" t="n">
        <v>0</v>
      </c>
      <c r="AF62" s="12" t="n">
        <v>0</v>
      </c>
    </row>
    <row r="63">
      <c r="A63" s="20" t="n"/>
      <c r="B63" s="13" t="inlineStr">
        <is>
          <t>SK</t>
        </is>
      </c>
      <c r="C63" s="14" t="n">
        <v>0.01</v>
      </c>
      <c r="D63" s="15" t="inlineStr">
        <is>
          <t>-</t>
        </is>
      </c>
      <c r="E63" s="15" t="inlineStr">
        <is>
          <t>-</t>
        </is>
      </c>
      <c r="F63" s="15" t="inlineStr">
        <is>
          <t>-</t>
        </is>
      </c>
      <c r="G63" s="15" t="inlineStr">
        <is>
          <t>-</t>
        </is>
      </c>
      <c r="H63" s="15" t="inlineStr">
        <is>
          <t>-</t>
        </is>
      </c>
      <c r="I63" s="15" t="inlineStr">
        <is>
          <t>-</t>
        </is>
      </c>
      <c r="J63" s="15" t="inlineStr">
        <is>
          <t>-</t>
        </is>
      </c>
      <c r="K63" s="15" t="inlineStr">
        <is>
          <t>-</t>
        </is>
      </c>
      <c r="L63" s="15" t="inlineStr">
        <is>
          <t>-</t>
        </is>
      </c>
      <c r="M63" s="15" t="inlineStr">
        <is>
          <t>-</t>
        </is>
      </c>
      <c r="N63" s="15" t="inlineStr">
        <is>
          <t>-</t>
        </is>
      </c>
      <c r="O63" s="15" t="inlineStr">
        <is>
          <t>-</t>
        </is>
      </c>
      <c r="P63" s="15" t="inlineStr">
        <is>
          <t>-</t>
        </is>
      </c>
      <c r="Q63" s="15" t="inlineStr">
        <is>
          <t>-</t>
        </is>
      </c>
      <c r="R63" s="15" t="inlineStr">
        <is>
          <t>-</t>
        </is>
      </c>
      <c r="S63" s="15" t="inlineStr">
        <is>
          <t>-</t>
        </is>
      </c>
      <c r="T63" s="15" t="inlineStr">
        <is>
          <t>-</t>
        </is>
      </c>
      <c r="U63" s="15" t="inlineStr">
        <is>
          <t>-</t>
        </is>
      </c>
      <c r="V63" s="15" t="inlineStr">
        <is>
          <t>-</t>
        </is>
      </c>
      <c r="W63" s="15" t="inlineStr">
        <is>
          <t>-</t>
        </is>
      </c>
      <c r="X63" s="15" t="inlineStr">
        <is>
          <t>-</t>
        </is>
      </c>
      <c r="Y63" s="15" t="inlineStr">
        <is>
          <t>-</t>
        </is>
      </c>
      <c r="Z63" s="15" t="inlineStr">
        <is>
          <t>-</t>
        </is>
      </c>
      <c r="AA63" s="15" t="inlineStr">
        <is>
          <t>-</t>
        </is>
      </c>
      <c r="AB63" s="15" t="inlineStr">
        <is>
          <t>-</t>
        </is>
      </c>
      <c r="AC63" s="15" t="inlineStr">
        <is>
          <t>-</t>
        </is>
      </c>
      <c r="AD63" s="14" t="n">
        <v>1</v>
      </c>
      <c r="AE63" s="15" t="inlineStr">
        <is>
          <t>-</t>
        </is>
      </c>
      <c r="AF63" s="15" t="inlineStr">
        <is>
          <t>-</t>
        </is>
      </c>
    </row>
    <row r="64">
      <c r="A64" s="20" t="n"/>
      <c r="B64" s="11" t="inlineStr">
        <is>
          <t>DEW</t>
        </is>
      </c>
      <c r="C64" s="12" t="n">
        <v>3984</v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1214</v>
      </c>
      <c r="I64" s="12" t="n">
        <v>1214</v>
      </c>
      <c r="J64" s="12" t="n">
        <v>0</v>
      </c>
      <c r="K64" s="12" t="n">
        <v>0</v>
      </c>
      <c r="L64" s="12" t="n">
        <v>0</v>
      </c>
      <c r="M64" s="12" t="n">
        <v>0</v>
      </c>
      <c r="N64" s="12" t="n">
        <v>0</v>
      </c>
      <c r="O64" s="12" t="n">
        <v>0</v>
      </c>
      <c r="P64" s="12" t="n">
        <v>0</v>
      </c>
      <c r="Q64" s="12" t="n">
        <v>0</v>
      </c>
      <c r="R64" s="12" t="n">
        <v>0</v>
      </c>
      <c r="S64" s="12" t="n">
        <v>0</v>
      </c>
      <c r="T64" s="12" t="n">
        <v>0</v>
      </c>
      <c r="U64" s="12" t="n">
        <v>0</v>
      </c>
      <c r="V64" s="12" t="n">
        <v>0</v>
      </c>
      <c r="W64" s="12" t="n">
        <v>0</v>
      </c>
      <c r="X64" s="12" t="n">
        <v>0</v>
      </c>
      <c r="Y64" s="12" t="n">
        <v>0</v>
      </c>
      <c r="Z64" s="12" t="n">
        <v>0</v>
      </c>
      <c r="AA64" s="12" t="n">
        <v>0</v>
      </c>
      <c r="AB64" s="12" t="n">
        <v>0</v>
      </c>
      <c r="AC64" s="12" t="n">
        <v>0</v>
      </c>
      <c r="AD64" s="12" t="n">
        <v>0</v>
      </c>
      <c r="AE64" s="12" t="n">
        <v>0</v>
      </c>
      <c r="AF64" s="12" t="n">
        <v>0</v>
      </c>
    </row>
    <row r="65">
      <c r="A65" s="20" t="n"/>
      <c r="B65" s="13" t="inlineStr">
        <is>
          <t>DEW</t>
        </is>
      </c>
      <c r="C65" s="14" t="n">
        <v>0.15</v>
      </c>
      <c r="D65" s="15" t="inlineStr">
        <is>
          <t>-</t>
        </is>
      </c>
      <c r="E65" s="15" t="inlineStr">
        <is>
          <t>-</t>
        </is>
      </c>
      <c r="F65" s="15" t="inlineStr">
        <is>
          <t>-</t>
        </is>
      </c>
      <c r="G65" s="15" t="inlineStr">
        <is>
          <t>-</t>
        </is>
      </c>
      <c r="H65" s="14" t="n">
        <v>1</v>
      </c>
      <c r="I65" s="14" t="n">
        <v>0.8100000000000001</v>
      </c>
      <c r="J65" s="15" t="inlineStr">
        <is>
          <t>-</t>
        </is>
      </c>
      <c r="K65" s="15" t="inlineStr">
        <is>
          <t>-</t>
        </is>
      </c>
      <c r="L65" s="15" t="inlineStr">
        <is>
          <t>-</t>
        </is>
      </c>
      <c r="M65" s="15" t="inlineStr">
        <is>
          <t>-</t>
        </is>
      </c>
      <c r="N65" s="15" t="inlineStr">
        <is>
          <t>-</t>
        </is>
      </c>
      <c r="O65" s="15" t="inlineStr">
        <is>
          <t>-</t>
        </is>
      </c>
      <c r="P65" s="15" t="inlineStr">
        <is>
          <t>-</t>
        </is>
      </c>
      <c r="Q65" s="15" t="inlineStr">
        <is>
          <t>-</t>
        </is>
      </c>
      <c r="R65" s="15" t="inlineStr">
        <is>
          <t>-</t>
        </is>
      </c>
      <c r="S65" s="15" t="inlineStr">
        <is>
          <t>-</t>
        </is>
      </c>
      <c r="T65" s="15" t="inlineStr">
        <is>
          <t>-</t>
        </is>
      </c>
      <c r="U65" s="15" t="inlineStr">
        <is>
          <t>-</t>
        </is>
      </c>
      <c r="V65" s="15" t="inlineStr">
        <is>
          <t>-</t>
        </is>
      </c>
      <c r="W65" s="15" t="inlineStr">
        <is>
          <t>-</t>
        </is>
      </c>
      <c r="X65" s="15" t="inlineStr">
        <is>
          <t>-</t>
        </is>
      </c>
      <c r="Y65" s="15" t="inlineStr">
        <is>
          <t>-</t>
        </is>
      </c>
      <c r="Z65" s="15" t="inlineStr">
        <is>
          <t>-</t>
        </is>
      </c>
      <c r="AA65" s="15" t="inlineStr">
        <is>
          <t>-</t>
        </is>
      </c>
      <c r="AB65" s="15" t="inlineStr">
        <is>
          <t>-</t>
        </is>
      </c>
      <c r="AC65" s="15" t="inlineStr">
        <is>
          <t>-</t>
        </is>
      </c>
      <c r="AD65" s="15" t="inlineStr">
        <is>
          <t>-</t>
        </is>
      </c>
      <c r="AE65" s="15" t="inlineStr">
        <is>
          <t>-</t>
        </is>
      </c>
      <c r="AF65" s="15" t="inlineStr">
        <is>
          <t>-</t>
        </is>
      </c>
    </row>
    <row r="66">
      <c r="A66" s="20" t="n"/>
      <c r="B66" s="11" t="inlineStr">
        <is>
          <t>DEE</t>
        </is>
      </c>
      <c r="C66" s="12" t="n">
        <v>963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293</v>
      </c>
      <c r="J66" s="12" t="n">
        <v>293</v>
      </c>
      <c r="K66" s="12" t="n">
        <v>0</v>
      </c>
      <c r="L66" s="12" t="n">
        <v>0</v>
      </c>
      <c r="M66" s="12" t="n">
        <v>0</v>
      </c>
      <c r="N66" s="12" t="n">
        <v>0</v>
      </c>
      <c r="O66" s="12" t="n">
        <v>0</v>
      </c>
      <c r="P66" s="12" t="n">
        <v>0</v>
      </c>
      <c r="Q66" s="12" t="n">
        <v>0</v>
      </c>
      <c r="R66" s="12" t="n">
        <v>0</v>
      </c>
      <c r="S66" s="12" t="n">
        <v>0</v>
      </c>
      <c r="T66" s="12" t="n">
        <v>0</v>
      </c>
      <c r="U66" s="12" t="n">
        <v>0</v>
      </c>
      <c r="V66" s="12" t="n">
        <v>0</v>
      </c>
      <c r="W66" s="12" t="n">
        <v>0</v>
      </c>
      <c r="X66" s="12" t="n">
        <v>0</v>
      </c>
      <c r="Y66" s="12" t="n">
        <v>0</v>
      </c>
      <c r="Z66" s="12" t="n">
        <v>0</v>
      </c>
      <c r="AA66" s="12" t="n">
        <v>0</v>
      </c>
      <c r="AB66" s="12" t="n">
        <v>0</v>
      </c>
      <c r="AC66" s="12" t="n">
        <v>0</v>
      </c>
      <c r="AD66" s="12" t="n">
        <v>0</v>
      </c>
      <c r="AE66" s="12" t="n">
        <v>0</v>
      </c>
      <c r="AF66" s="12" t="n">
        <v>0</v>
      </c>
    </row>
    <row r="67">
      <c r="A67" s="23" t="n"/>
      <c r="B67" s="13" t="inlineStr">
        <is>
          <t>DEE</t>
        </is>
      </c>
      <c r="C67" s="14" t="n">
        <v>0.04</v>
      </c>
      <c r="D67" s="15" t="inlineStr">
        <is>
          <t>-</t>
        </is>
      </c>
      <c r="E67" s="15" t="inlineStr">
        <is>
          <t>-</t>
        </is>
      </c>
      <c r="F67" s="15" t="inlineStr">
        <is>
          <t>-</t>
        </is>
      </c>
      <c r="G67" s="15" t="inlineStr">
        <is>
          <t>-</t>
        </is>
      </c>
      <c r="H67" s="15" t="inlineStr">
        <is>
          <t>-</t>
        </is>
      </c>
      <c r="I67" s="14" t="n">
        <v>0.19</v>
      </c>
      <c r="J67" s="14" t="n">
        <v>1</v>
      </c>
      <c r="K67" s="15" t="inlineStr">
        <is>
          <t>-</t>
        </is>
      </c>
      <c r="L67" s="15" t="inlineStr">
        <is>
          <t>-</t>
        </is>
      </c>
      <c r="M67" s="15" t="inlineStr">
        <is>
          <t>-</t>
        </is>
      </c>
      <c r="N67" s="15" t="inlineStr">
        <is>
          <t>-</t>
        </is>
      </c>
      <c r="O67" s="15" t="inlineStr">
        <is>
          <t>-</t>
        </is>
      </c>
      <c r="P67" s="15" t="inlineStr">
        <is>
          <t>-</t>
        </is>
      </c>
      <c r="Q67" s="15" t="inlineStr">
        <is>
          <t>-</t>
        </is>
      </c>
      <c r="R67" s="15" t="inlineStr">
        <is>
          <t>-</t>
        </is>
      </c>
      <c r="S67" s="15" t="inlineStr">
        <is>
          <t>-</t>
        </is>
      </c>
      <c r="T67" s="15" t="inlineStr">
        <is>
          <t>-</t>
        </is>
      </c>
      <c r="U67" s="15" t="inlineStr">
        <is>
          <t>-</t>
        </is>
      </c>
      <c r="V67" s="15" t="inlineStr">
        <is>
          <t>-</t>
        </is>
      </c>
      <c r="W67" s="15" t="inlineStr">
        <is>
          <t>-</t>
        </is>
      </c>
      <c r="X67" s="15" t="inlineStr">
        <is>
          <t>-</t>
        </is>
      </c>
      <c r="Y67" s="15" t="inlineStr">
        <is>
          <t>-</t>
        </is>
      </c>
      <c r="Z67" s="15" t="inlineStr">
        <is>
          <t>-</t>
        </is>
      </c>
      <c r="AA67" s="15" t="inlineStr">
        <is>
          <t>-</t>
        </is>
      </c>
      <c r="AB67" s="15" t="inlineStr">
        <is>
          <t>-</t>
        </is>
      </c>
      <c r="AC67" s="15" t="inlineStr">
        <is>
          <t>-</t>
        </is>
      </c>
      <c r="AD67" s="15" t="inlineStr">
        <is>
          <t>-</t>
        </is>
      </c>
      <c r="AE67" s="15" t="inlineStr">
        <is>
          <t>-</t>
        </is>
      </c>
      <c r="AF67" s="15" t="inlineStr">
        <is>
          <t>-</t>
        </is>
      </c>
    </row>
  </sheetData>
  <mergeCells count="9">
    <mergeCell ref="B4:F4"/>
    <mergeCell ref="H3:L3"/>
    <mergeCell ref="C8:AF8"/>
    <mergeCell ref="B3:F3"/>
    <mergeCell ref="B5:F5"/>
    <mergeCell ref="H5:L5"/>
    <mergeCell ref="B10:B11"/>
    <mergeCell ref="H4:L4"/>
    <mergeCell ref="A10:A6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24" customHeight="1" s="18">
      <c r="B3" s="21" t="inlineStr">
        <is>
          <t>QA1. Avez-vous récemment lu dans les journaux, vu sur Internet ou à la télévision ou entendu à la radio quelque chose au sujet du Parlement européen ?</t>
        </is>
      </c>
      <c r="H3" s="21" t="inlineStr">
        <is>
          <t>QA1. Have you recently read in the press, seen on the Internet or on television or heard on the radio something about the European Parliament?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HYPERLINK("#Content!A7","&lt;&lt;Back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Oui</t>
        </is>
      </c>
      <c r="C12" s="12" t="n">
        <v>17406</v>
      </c>
      <c r="D12" s="12" t="n">
        <v>654</v>
      </c>
      <c r="E12" s="12" t="n">
        <v>576</v>
      </c>
      <c r="F12" s="12" t="n">
        <v>656</v>
      </c>
      <c r="G12" s="12" t="n">
        <v>607</v>
      </c>
      <c r="H12" s="12" t="n">
        <v>839</v>
      </c>
      <c r="I12" s="12" t="n">
        <v>1042</v>
      </c>
      <c r="J12" s="12" t="n">
        <v>203</v>
      </c>
      <c r="K12" s="12" t="n">
        <v>798</v>
      </c>
      <c r="L12" s="12" t="n">
        <v>573</v>
      </c>
      <c r="M12" s="12" t="n">
        <v>633</v>
      </c>
      <c r="N12" s="12" t="n">
        <v>717</v>
      </c>
      <c r="O12" s="12" t="n">
        <v>404</v>
      </c>
      <c r="P12" s="12" t="n">
        <v>753</v>
      </c>
      <c r="Q12" s="12" t="n">
        <v>801</v>
      </c>
      <c r="R12" s="12" t="n">
        <v>405</v>
      </c>
      <c r="S12" s="12" t="n">
        <v>736</v>
      </c>
      <c r="T12" s="12" t="n">
        <v>804</v>
      </c>
      <c r="U12" s="12" t="n">
        <v>343</v>
      </c>
      <c r="V12" s="12" t="n">
        <v>795</v>
      </c>
      <c r="W12" s="12" t="n">
        <v>365</v>
      </c>
      <c r="X12" s="12" t="n">
        <v>688</v>
      </c>
      <c r="Y12" s="12" t="n">
        <v>656</v>
      </c>
      <c r="Z12" s="12" t="n">
        <v>666</v>
      </c>
      <c r="AA12" s="12" t="n">
        <v>665</v>
      </c>
      <c r="AB12" s="12" t="n">
        <v>784</v>
      </c>
      <c r="AC12" s="12" t="n">
        <v>812</v>
      </c>
      <c r="AD12" s="12" t="n">
        <v>831</v>
      </c>
      <c r="AE12" s="12" t="n">
        <v>839</v>
      </c>
      <c r="AF12" s="12" t="n">
        <v>777</v>
      </c>
    </row>
    <row r="13">
      <c r="A13" s="20" t="n"/>
      <c r="B13" s="13" t="inlineStr">
        <is>
          <t>Yes</t>
        </is>
      </c>
      <c r="C13" s="14" t="n">
        <v>0.66</v>
      </c>
      <c r="D13" s="14" t="n">
        <v>0.64</v>
      </c>
      <c r="E13" s="14" t="n">
        <v>0.5700000000000001</v>
      </c>
      <c r="F13" s="14" t="n">
        <v>0.63</v>
      </c>
      <c r="G13" s="14" t="n">
        <v>0.6</v>
      </c>
      <c r="H13" s="14" t="n">
        <v>0.6900000000000001</v>
      </c>
      <c r="I13" s="14" t="n">
        <v>0.6900000000000001</v>
      </c>
      <c r="J13" s="14" t="n">
        <v>0.6900000000000001</v>
      </c>
      <c r="K13" s="14" t="n">
        <v>0.79</v>
      </c>
      <c r="L13" s="14" t="n">
        <v>0.5700000000000001</v>
      </c>
      <c r="M13" s="14" t="n">
        <v>0.63</v>
      </c>
      <c r="N13" s="14" t="n">
        <v>0.71</v>
      </c>
      <c r="O13" s="14" t="n">
        <v>0.4</v>
      </c>
      <c r="P13" s="14" t="n">
        <v>0.75</v>
      </c>
      <c r="Q13" s="14" t="n">
        <v>0.78</v>
      </c>
      <c r="R13" s="14" t="n">
        <v>0.8</v>
      </c>
      <c r="S13" s="14" t="n">
        <v>0.73</v>
      </c>
      <c r="T13" s="14" t="n">
        <v>0.79</v>
      </c>
      <c r="U13" s="14" t="n">
        <v>0.68</v>
      </c>
      <c r="V13" s="14" t="n">
        <v>0.78</v>
      </c>
      <c r="W13" s="14" t="n">
        <v>0.72</v>
      </c>
      <c r="X13" s="14" t="n">
        <v>0.67</v>
      </c>
      <c r="Y13" s="14" t="n">
        <v>0.65</v>
      </c>
      <c r="Z13" s="14" t="n">
        <v>0.65</v>
      </c>
      <c r="AA13" s="14" t="n">
        <v>0.65</v>
      </c>
      <c r="AB13" s="14" t="n">
        <v>0.75</v>
      </c>
      <c r="AC13" s="14" t="n">
        <v>0.8100000000000001</v>
      </c>
      <c r="AD13" s="14" t="n">
        <v>0.8300000000000001</v>
      </c>
      <c r="AE13" s="14" t="n">
        <v>0.8300000000000001</v>
      </c>
      <c r="AF13" s="14" t="n">
        <v>0.75</v>
      </c>
    </row>
    <row r="14">
      <c r="A14" s="20" t="n"/>
      <c r="B14" s="11" t="inlineStr">
        <is>
          <t>Non</t>
        </is>
      </c>
      <c r="C14" s="12" t="n">
        <v>8906</v>
      </c>
      <c r="D14" s="12" t="n">
        <v>348</v>
      </c>
      <c r="E14" s="12" t="n">
        <v>423</v>
      </c>
      <c r="F14" s="12" t="n">
        <v>381</v>
      </c>
      <c r="G14" s="12" t="n">
        <v>397</v>
      </c>
      <c r="H14" s="12" t="n">
        <v>368</v>
      </c>
      <c r="I14" s="12" t="n">
        <v>459</v>
      </c>
      <c r="J14" s="12" t="n">
        <v>91</v>
      </c>
      <c r="K14" s="12" t="n">
        <v>186</v>
      </c>
      <c r="L14" s="12" t="n">
        <v>432</v>
      </c>
      <c r="M14" s="12" t="n">
        <v>373</v>
      </c>
      <c r="N14" s="12" t="n">
        <v>289</v>
      </c>
      <c r="O14" s="12" t="n">
        <v>605</v>
      </c>
      <c r="P14" s="12" t="n">
        <v>248</v>
      </c>
      <c r="Q14" s="12" t="n">
        <v>227</v>
      </c>
      <c r="R14" s="12" t="n">
        <v>99</v>
      </c>
      <c r="S14" s="12" t="n">
        <v>269</v>
      </c>
      <c r="T14" s="12" t="n">
        <v>205</v>
      </c>
      <c r="U14" s="12" t="n">
        <v>164</v>
      </c>
      <c r="V14" s="12" t="n">
        <v>221</v>
      </c>
      <c r="W14" s="12" t="n">
        <v>139</v>
      </c>
      <c r="X14" s="12" t="n">
        <v>334</v>
      </c>
      <c r="Y14" s="12" t="n">
        <v>335</v>
      </c>
      <c r="Z14" s="12" t="n">
        <v>351</v>
      </c>
      <c r="AA14" s="12" t="n">
        <v>363</v>
      </c>
      <c r="AB14" s="12" t="n">
        <v>259</v>
      </c>
      <c r="AC14" s="12" t="n">
        <v>195</v>
      </c>
      <c r="AD14" s="12" t="n">
        <v>169</v>
      </c>
      <c r="AE14" s="12" t="n">
        <v>177</v>
      </c>
      <c r="AF14" s="12" t="n">
        <v>253</v>
      </c>
    </row>
    <row r="15">
      <c r="A15" s="20" t="n"/>
      <c r="B15" s="13" t="inlineStr">
        <is>
          <t>No</t>
        </is>
      </c>
      <c r="C15" s="14" t="n">
        <v>0.34</v>
      </c>
      <c r="D15" s="14" t="n">
        <v>0.34</v>
      </c>
      <c r="E15" s="14" t="n">
        <v>0.42</v>
      </c>
      <c r="F15" s="14" t="n">
        <v>0.36</v>
      </c>
      <c r="G15" s="14" t="n">
        <v>0.4</v>
      </c>
      <c r="H15" s="14" t="n">
        <v>0.3</v>
      </c>
      <c r="I15" s="14" t="n">
        <v>0.31</v>
      </c>
      <c r="J15" s="14" t="n">
        <v>0.31</v>
      </c>
      <c r="K15" s="14" t="n">
        <v>0.19</v>
      </c>
      <c r="L15" s="14" t="n">
        <v>0.43</v>
      </c>
      <c r="M15" s="14" t="n">
        <v>0.37</v>
      </c>
      <c r="N15" s="14" t="n">
        <v>0.29</v>
      </c>
      <c r="O15" s="14" t="n">
        <v>0.59</v>
      </c>
      <c r="P15" s="14" t="n">
        <v>0.24</v>
      </c>
      <c r="Q15" s="14" t="n">
        <v>0.22</v>
      </c>
      <c r="R15" s="14" t="n">
        <v>0.2</v>
      </c>
      <c r="S15" s="14" t="n">
        <v>0.27</v>
      </c>
      <c r="T15" s="14" t="n">
        <v>0.2</v>
      </c>
      <c r="U15" s="14" t="n">
        <v>0.32</v>
      </c>
      <c r="V15" s="14" t="n">
        <v>0.22</v>
      </c>
      <c r="W15" s="14" t="n">
        <v>0.28</v>
      </c>
      <c r="X15" s="14" t="n">
        <v>0.33</v>
      </c>
      <c r="Y15" s="14" t="n">
        <v>0.34</v>
      </c>
      <c r="Z15" s="14" t="n">
        <v>0.35</v>
      </c>
      <c r="AA15" s="14" t="n">
        <v>0.35</v>
      </c>
      <c r="AB15" s="14" t="n">
        <v>0.25</v>
      </c>
      <c r="AC15" s="14" t="n">
        <v>0.19</v>
      </c>
      <c r="AD15" s="14" t="n">
        <v>0.17</v>
      </c>
      <c r="AE15" s="14" t="n">
        <v>0.17</v>
      </c>
      <c r="AF15" s="14" t="n">
        <v>0.24</v>
      </c>
    </row>
    <row r="16">
      <c r="A16" s="20" t="n"/>
      <c r="B16" s="11" t="inlineStr">
        <is>
          <t>Ne sait pas</t>
        </is>
      </c>
      <c r="C16" s="12" t="n">
        <v>109</v>
      </c>
      <c r="D16" s="12" t="n">
        <v>19</v>
      </c>
      <c r="E16" s="12" t="n">
        <v>16</v>
      </c>
      <c r="F16" s="12" t="n">
        <v>12</v>
      </c>
      <c r="G16" s="12" t="n">
        <v>3</v>
      </c>
      <c r="H16" s="12" t="n">
        <v>6</v>
      </c>
      <c r="I16" s="12" t="n">
        <v>6</v>
      </c>
      <c r="J16" s="12" t="n">
        <v>0</v>
      </c>
      <c r="K16" s="12" t="n">
        <v>22</v>
      </c>
      <c r="L16" s="12" t="n">
        <v>5</v>
      </c>
      <c r="M16" s="12" t="n">
        <v>1</v>
      </c>
      <c r="N16" s="12" t="n">
        <v>0</v>
      </c>
      <c r="O16" s="12" t="n">
        <v>8</v>
      </c>
      <c r="P16" s="12" t="n">
        <v>6</v>
      </c>
      <c r="Q16" s="12" t="n">
        <v>1</v>
      </c>
      <c r="R16" s="12" t="n">
        <v>0</v>
      </c>
      <c r="S16" s="12" t="n">
        <v>0</v>
      </c>
      <c r="T16" s="12" t="n">
        <v>7</v>
      </c>
      <c r="U16" s="12" t="n">
        <v>1</v>
      </c>
      <c r="V16" s="12" t="n">
        <v>4</v>
      </c>
      <c r="W16" s="12" t="n">
        <v>1</v>
      </c>
      <c r="X16" s="12" t="n">
        <v>1</v>
      </c>
      <c r="Y16" s="12" t="n">
        <v>12</v>
      </c>
      <c r="Z16" s="12" t="n">
        <v>3</v>
      </c>
      <c r="AA16" s="12" t="n">
        <v>2</v>
      </c>
      <c r="AB16" s="12" t="n">
        <v>2</v>
      </c>
      <c r="AC16" s="12" t="n">
        <v>0</v>
      </c>
      <c r="AD16" s="12" t="n">
        <v>1</v>
      </c>
      <c r="AE16" s="12" t="n">
        <v>0</v>
      </c>
      <c r="AF16" s="12" t="n">
        <v>7</v>
      </c>
    </row>
    <row r="17">
      <c r="A17" s="23" t="n"/>
      <c r="B17" s="13" t="inlineStr">
        <is>
          <t>Don’t know</t>
        </is>
      </c>
      <c r="C17" s="15" t="inlineStr">
        <is>
          <t>-</t>
        </is>
      </c>
      <c r="D17" s="14" t="n">
        <v>0.02</v>
      </c>
      <c r="E17" s="14" t="n">
        <v>0.01</v>
      </c>
      <c r="F17" s="14" t="n">
        <v>0.01</v>
      </c>
      <c r="G17" s="15" t="inlineStr">
        <is>
          <t>-</t>
        </is>
      </c>
      <c r="H17" s="14" t="n">
        <v>0.01</v>
      </c>
      <c r="I17" s="15" t="inlineStr">
        <is>
          <t>-</t>
        </is>
      </c>
      <c r="J17" s="15" t="inlineStr">
        <is>
          <t>-</t>
        </is>
      </c>
      <c r="K17" s="14" t="n">
        <v>0.02</v>
      </c>
      <c r="L17" s="15" t="inlineStr">
        <is>
          <t>-</t>
        </is>
      </c>
      <c r="M17" s="15" t="inlineStr">
        <is>
          <t>-</t>
        </is>
      </c>
      <c r="N17" s="15" t="inlineStr">
        <is>
          <t>-</t>
        </is>
      </c>
      <c r="O17" s="14" t="n">
        <v>0.01</v>
      </c>
      <c r="P17" s="14" t="n">
        <v>0.01</v>
      </c>
      <c r="Q17" s="15" t="inlineStr">
        <is>
          <t>-</t>
        </is>
      </c>
      <c r="R17" s="15" t="inlineStr">
        <is>
          <t>-</t>
        </is>
      </c>
      <c r="S17" s="15" t="inlineStr">
        <is>
          <t>-</t>
        </is>
      </c>
      <c r="T17" s="14" t="n">
        <v>0.01</v>
      </c>
      <c r="U17" s="15" t="inlineStr">
        <is>
          <t>-</t>
        </is>
      </c>
      <c r="V17" s="15" t="inlineStr">
        <is>
          <t>-</t>
        </is>
      </c>
      <c r="W17" s="15" t="inlineStr">
        <is>
          <t>-</t>
        </is>
      </c>
      <c r="X17" s="15" t="inlineStr">
        <is>
          <t>-</t>
        </is>
      </c>
      <c r="Y17" s="14" t="n">
        <v>0.01</v>
      </c>
      <c r="Z17" s="15" t="inlineStr">
        <is>
          <t>-</t>
        </is>
      </c>
      <c r="AA17" s="15" t="inlineStr">
        <is>
          <t>-</t>
        </is>
      </c>
      <c r="AB17" s="15" t="inlineStr">
        <is>
          <t>-</t>
        </is>
      </c>
      <c r="AC17" s="15" t="inlineStr">
        <is>
          <t>-</t>
        </is>
      </c>
      <c r="AD17" s="15" t="inlineStr">
        <is>
          <t>-</t>
        </is>
      </c>
      <c r="AE17" s="15" t="inlineStr">
        <is>
          <t>-</t>
        </is>
      </c>
      <c r="AF17" s="14" t="n">
        <v>0.01</v>
      </c>
    </row>
  </sheetData>
  <mergeCells count="9">
    <mergeCell ref="B4:F4"/>
    <mergeCell ref="H3:L3"/>
    <mergeCell ref="C8:AF8"/>
    <mergeCell ref="B3:F3"/>
    <mergeCell ref="B5:F5"/>
    <mergeCell ref="H5:L5"/>
    <mergeCell ref="B10:B11"/>
    <mergeCell ref="A10:A17"/>
    <mergeCell ref="H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9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24" customHeight="1" s="18">
      <c r="B3" s="21" t="inlineStr">
        <is>
          <t>QA2. En général, diriez-vous que vous avez une image très positive, plutôt positive, neutre, plutôt négative ou très négative du Parlement européen ?</t>
        </is>
      </c>
      <c r="H3" s="21" t="inlineStr">
        <is>
          <t>QA2. In general, do you have a very positive, fairly positive, neutral, fairly negative or very negative image of the European Parliament?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HYPERLINK("#Content!A8","&lt;&lt;Back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Très positive</t>
        </is>
      </c>
      <c r="C12" s="12" t="n">
        <v>1157</v>
      </c>
      <c r="D12" s="12" t="n">
        <v>33</v>
      </c>
      <c r="E12" s="12" t="n">
        <v>90</v>
      </c>
      <c r="F12" s="12" t="n">
        <v>25</v>
      </c>
      <c r="G12" s="12" t="n">
        <v>133</v>
      </c>
      <c r="H12" s="12" t="n">
        <v>41</v>
      </c>
      <c r="I12" s="12" t="n">
        <v>49</v>
      </c>
      <c r="J12" s="12" t="n">
        <v>9</v>
      </c>
      <c r="K12" s="12" t="n">
        <v>16</v>
      </c>
      <c r="L12" s="12" t="n">
        <v>128</v>
      </c>
      <c r="M12" s="12" t="n">
        <v>32</v>
      </c>
      <c r="N12" s="12" t="n">
        <v>33</v>
      </c>
      <c r="O12" s="12" t="n">
        <v>15</v>
      </c>
      <c r="P12" s="12" t="n">
        <v>76</v>
      </c>
      <c r="Q12" s="12" t="n">
        <v>40</v>
      </c>
      <c r="R12" s="12" t="n">
        <v>14</v>
      </c>
      <c r="S12" s="12" t="n">
        <v>9</v>
      </c>
      <c r="T12" s="12" t="n">
        <v>27</v>
      </c>
      <c r="U12" s="12" t="n">
        <v>51</v>
      </c>
      <c r="V12" s="12" t="n">
        <v>101</v>
      </c>
      <c r="W12" s="12" t="n">
        <v>56</v>
      </c>
      <c r="X12" s="12" t="n">
        <v>37</v>
      </c>
      <c r="Y12" s="12" t="n">
        <v>72</v>
      </c>
      <c r="Z12" s="12" t="n">
        <v>98</v>
      </c>
      <c r="AA12" s="12" t="n">
        <v>19</v>
      </c>
      <c r="AB12" s="12" t="n">
        <v>55</v>
      </c>
      <c r="AC12" s="12" t="n">
        <v>29</v>
      </c>
      <c r="AD12" s="12" t="n">
        <v>79</v>
      </c>
      <c r="AE12" s="12" t="n">
        <v>40</v>
      </c>
      <c r="AF12" s="12" t="n">
        <v>76</v>
      </c>
    </row>
    <row r="13">
      <c r="A13" s="20" t="n"/>
      <c r="B13" s="13" t="inlineStr">
        <is>
          <t>Very positive</t>
        </is>
      </c>
      <c r="C13" s="14" t="n">
        <v>0.05</v>
      </c>
      <c r="D13" s="14" t="n">
        <v>0.03</v>
      </c>
      <c r="E13" s="14" t="n">
        <v>0.09</v>
      </c>
      <c r="F13" s="14" t="n">
        <v>0.02</v>
      </c>
      <c r="G13" s="14" t="n">
        <v>0.13</v>
      </c>
      <c r="H13" s="14" t="n">
        <v>0.03</v>
      </c>
      <c r="I13" s="14" t="n">
        <v>0.03</v>
      </c>
      <c r="J13" s="14" t="n">
        <v>0.03</v>
      </c>
      <c r="K13" s="14" t="n">
        <v>0.02</v>
      </c>
      <c r="L13" s="14" t="n">
        <v>0.13</v>
      </c>
      <c r="M13" s="14" t="n">
        <v>0.03</v>
      </c>
      <c r="N13" s="14" t="n">
        <v>0.03</v>
      </c>
      <c r="O13" s="14" t="n">
        <v>0.02</v>
      </c>
      <c r="P13" s="14" t="n">
        <v>0.07000000000000001</v>
      </c>
      <c r="Q13" s="14" t="n">
        <v>0.04</v>
      </c>
      <c r="R13" s="14" t="n">
        <v>0.03</v>
      </c>
      <c r="S13" s="14" t="n">
        <v>0.01</v>
      </c>
      <c r="T13" s="14" t="n">
        <v>0.03</v>
      </c>
      <c r="U13" s="14" t="n">
        <v>0.1</v>
      </c>
      <c r="V13" s="14" t="n">
        <v>0.1</v>
      </c>
      <c r="W13" s="14" t="n">
        <v>0.11</v>
      </c>
      <c r="X13" s="14" t="n">
        <v>0.04</v>
      </c>
      <c r="Y13" s="14" t="n">
        <v>0.07000000000000001</v>
      </c>
      <c r="Z13" s="14" t="n">
        <v>0.1</v>
      </c>
      <c r="AA13" s="14" t="n">
        <v>0.02</v>
      </c>
      <c r="AB13" s="14" t="n">
        <v>0.05</v>
      </c>
      <c r="AC13" s="14" t="n">
        <v>0.03</v>
      </c>
      <c r="AD13" s="14" t="n">
        <v>0.08</v>
      </c>
      <c r="AE13" s="14" t="n">
        <v>0.04</v>
      </c>
      <c r="AF13" s="14" t="n">
        <v>0.07000000000000001</v>
      </c>
    </row>
    <row r="14">
      <c r="A14" s="20" t="n"/>
      <c r="B14" s="11" t="inlineStr">
        <is>
          <t>Plutôt positive</t>
        </is>
      </c>
      <c r="C14" s="12" t="n">
        <v>8808</v>
      </c>
      <c r="D14" s="12" t="n">
        <v>327</v>
      </c>
      <c r="E14" s="12" t="n">
        <v>342</v>
      </c>
      <c r="F14" s="12" t="n">
        <v>246</v>
      </c>
      <c r="G14" s="12" t="n">
        <v>459</v>
      </c>
      <c r="H14" s="12" t="n">
        <v>408</v>
      </c>
      <c r="I14" s="12" t="n">
        <v>462</v>
      </c>
      <c r="J14" s="12" t="n">
        <v>54</v>
      </c>
      <c r="K14" s="12" t="n">
        <v>276</v>
      </c>
      <c r="L14" s="12" t="n">
        <v>364</v>
      </c>
      <c r="M14" s="12" t="n">
        <v>285</v>
      </c>
      <c r="N14" s="12" t="n">
        <v>326</v>
      </c>
      <c r="O14" s="12" t="n">
        <v>264</v>
      </c>
      <c r="P14" s="12" t="n">
        <v>370</v>
      </c>
      <c r="Q14" s="12" t="n">
        <v>406</v>
      </c>
      <c r="R14" s="12" t="n">
        <v>163</v>
      </c>
      <c r="S14" s="12" t="n">
        <v>184</v>
      </c>
      <c r="T14" s="12" t="n">
        <v>268</v>
      </c>
      <c r="U14" s="12" t="n">
        <v>202</v>
      </c>
      <c r="V14" s="12" t="n">
        <v>356</v>
      </c>
      <c r="W14" s="12" t="n">
        <v>163</v>
      </c>
      <c r="X14" s="12" t="n">
        <v>409</v>
      </c>
      <c r="Y14" s="12" t="n">
        <v>294</v>
      </c>
      <c r="Z14" s="12" t="n">
        <v>357</v>
      </c>
      <c r="AA14" s="12" t="n">
        <v>579</v>
      </c>
      <c r="AB14" s="12" t="n">
        <v>376</v>
      </c>
      <c r="AC14" s="12" t="n">
        <v>242</v>
      </c>
      <c r="AD14" s="12" t="n">
        <v>324</v>
      </c>
      <c r="AE14" s="12" t="n">
        <v>312</v>
      </c>
      <c r="AF14" s="12" t="n">
        <v>454</v>
      </c>
    </row>
    <row r="15">
      <c r="A15" s="20" t="n"/>
      <c r="B15" s="13" t="inlineStr">
        <is>
          <t>Fairly positive</t>
        </is>
      </c>
      <c r="C15" s="14" t="n">
        <v>0.33</v>
      </c>
      <c r="D15" s="14" t="n">
        <v>0.32</v>
      </c>
      <c r="E15" s="14" t="n">
        <v>0.34</v>
      </c>
      <c r="F15" s="14" t="n">
        <v>0.24</v>
      </c>
      <c r="G15" s="14" t="n">
        <v>0.46</v>
      </c>
      <c r="H15" s="14" t="n">
        <v>0.34</v>
      </c>
      <c r="I15" s="14" t="n">
        <v>0.31</v>
      </c>
      <c r="J15" s="14" t="n">
        <v>0.18</v>
      </c>
      <c r="K15" s="14" t="n">
        <v>0.27</v>
      </c>
      <c r="L15" s="14" t="n">
        <v>0.36</v>
      </c>
      <c r="M15" s="14" t="n">
        <v>0.28</v>
      </c>
      <c r="N15" s="14" t="n">
        <v>0.32</v>
      </c>
      <c r="O15" s="14" t="n">
        <v>0.26</v>
      </c>
      <c r="P15" s="14" t="n">
        <v>0.37</v>
      </c>
      <c r="Q15" s="14" t="n">
        <v>0.39</v>
      </c>
      <c r="R15" s="14" t="n">
        <v>0.32</v>
      </c>
      <c r="S15" s="14" t="n">
        <v>0.18</v>
      </c>
      <c r="T15" s="14" t="n">
        <v>0.26</v>
      </c>
      <c r="U15" s="14" t="n">
        <v>0.4</v>
      </c>
      <c r="V15" s="14" t="n">
        <v>0.35</v>
      </c>
      <c r="W15" s="14" t="n">
        <v>0.32</v>
      </c>
      <c r="X15" s="14" t="n">
        <v>0.4</v>
      </c>
      <c r="Y15" s="14" t="n">
        <v>0.29</v>
      </c>
      <c r="Z15" s="14" t="n">
        <v>0.35</v>
      </c>
      <c r="AA15" s="14" t="n">
        <v>0.5600000000000001</v>
      </c>
      <c r="AB15" s="14" t="n">
        <v>0.36</v>
      </c>
      <c r="AC15" s="14" t="n">
        <v>0.24</v>
      </c>
      <c r="AD15" s="14" t="n">
        <v>0.32</v>
      </c>
      <c r="AE15" s="14" t="n">
        <v>0.31</v>
      </c>
      <c r="AF15" s="14" t="n">
        <v>0.44</v>
      </c>
    </row>
    <row r="16">
      <c r="A16" s="20" t="n"/>
      <c r="B16" s="11" t="inlineStr">
        <is>
          <t>Neutre</t>
        </is>
      </c>
      <c r="C16" s="12" t="n">
        <v>10929</v>
      </c>
      <c r="D16" s="12" t="n">
        <v>433</v>
      </c>
      <c r="E16" s="12" t="n">
        <v>293</v>
      </c>
      <c r="F16" s="12" t="n">
        <v>515</v>
      </c>
      <c r="G16" s="12" t="n">
        <v>329</v>
      </c>
      <c r="H16" s="12" t="n">
        <v>528</v>
      </c>
      <c r="I16" s="12" t="n">
        <v>682</v>
      </c>
      <c r="J16" s="12" t="n">
        <v>154</v>
      </c>
      <c r="K16" s="12" t="n">
        <v>469</v>
      </c>
      <c r="L16" s="12" t="n">
        <v>379</v>
      </c>
      <c r="M16" s="12" t="n">
        <v>366</v>
      </c>
      <c r="N16" s="12" t="n">
        <v>441</v>
      </c>
      <c r="O16" s="12" t="n">
        <v>468</v>
      </c>
      <c r="P16" s="12" t="n">
        <v>369</v>
      </c>
      <c r="Q16" s="12" t="n">
        <v>376</v>
      </c>
      <c r="R16" s="12" t="n">
        <v>244</v>
      </c>
      <c r="S16" s="12" t="n">
        <v>610</v>
      </c>
      <c r="T16" s="12" t="n">
        <v>549</v>
      </c>
      <c r="U16" s="12" t="n">
        <v>177</v>
      </c>
      <c r="V16" s="12" t="n">
        <v>398</v>
      </c>
      <c r="W16" s="12" t="n">
        <v>218</v>
      </c>
      <c r="X16" s="12" t="n">
        <v>373</v>
      </c>
      <c r="Y16" s="12" t="n">
        <v>406</v>
      </c>
      <c r="Z16" s="12" t="n">
        <v>427</v>
      </c>
      <c r="AA16" s="12" t="n">
        <v>333</v>
      </c>
      <c r="AB16" s="12" t="n">
        <v>301</v>
      </c>
      <c r="AC16" s="12" t="n">
        <v>522</v>
      </c>
      <c r="AD16" s="12" t="n">
        <v>357</v>
      </c>
      <c r="AE16" s="12" t="n">
        <v>507</v>
      </c>
      <c r="AF16" s="12" t="n">
        <v>393</v>
      </c>
    </row>
    <row r="17">
      <c r="A17" s="20" t="n"/>
      <c r="B17" s="13" t="inlineStr">
        <is>
          <t>Neutral</t>
        </is>
      </c>
      <c r="C17" s="14" t="n">
        <v>0.41</v>
      </c>
      <c r="D17" s="14" t="n">
        <v>0.43</v>
      </c>
      <c r="E17" s="14" t="n">
        <v>0.29</v>
      </c>
      <c r="F17" s="14" t="n">
        <v>0.49</v>
      </c>
      <c r="G17" s="14" t="n">
        <v>0.33</v>
      </c>
      <c r="H17" s="14" t="n">
        <v>0.43</v>
      </c>
      <c r="I17" s="14" t="n">
        <v>0.45</v>
      </c>
      <c r="J17" s="14" t="n">
        <v>0.53</v>
      </c>
      <c r="K17" s="14" t="n">
        <v>0.47</v>
      </c>
      <c r="L17" s="14" t="n">
        <v>0.37</v>
      </c>
      <c r="M17" s="14" t="n">
        <v>0.36</v>
      </c>
      <c r="N17" s="14" t="n">
        <v>0.44</v>
      </c>
      <c r="O17" s="14" t="n">
        <v>0.46</v>
      </c>
      <c r="P17" s="14" t="n">
        <v>0.37</v>
      </c>
      <c r="Q17" s="14" t="n">
        <v>0.37</v>
      </c>
      <c r="R17" s="14" t="n">
        <v>0.49</v>
      </c>
      <c r="S17" s="14" t="n">
        <v>0.61</v>
      </c>
      <c r="T17" s="14" t="n">
        <v>0.54</v>
      </c>
      <c r="U17" s="14" t="n">
        <v>0.35</v>
      </c>
      <c r="V17" s="14" t="n">
        <v>0.39</v>
      </c>
      <c r="W17" s="14" t="n">
        <v>0.43</v>
      </c>
      <c r="X17" s="14" t="n">
        <v>0.36</v>
      </c>
      <c r="Y17" s="14" t="n">
        <v>0.41</v>
      </c>
      <c r="Z17" s="14" t="n">
        <v>0.42</v>
      </c>
      <c r="AA17" s="14" t="n">
        <v>0.32</v>
      </c>
      <c r="AB17" s="14" t="n">
        <v>0.29</v>
      </c>
      <c r="AC17" s="14" t="n">
        <v>0.52</v>
      </c>
      <c r="AD17" s="14" t="n">
        <v>0.36</v>
      </c>
      <c r="AE17" s="14" t="n">
        <v>0.5</v>
      </c>
      <c r="AF17" s="14" t="n">
        <v>0.38</v>
      </c>
    </row>
    <row r="18">
      <c r="A18" s="20" t="n"/>
      <c r="B18" s="11" t="inlineStr">
        <is>
          <t>Plutôt négative</t>
        </is>
      </c>
      <c r="C18" s="12" t="n">
        <v>4052</v>
      </c>
      <c r="D18" s="12" t="n">
        <v>184</v>
      </c>
      <c r="E18" s="12" t="n">
        <v>178</v>
      </c>
      <c r="F18" s="12" t="n">
        <v>193</v>
      </c>
      <c r="G18" s="12" t="n">
        <v>64</v>
      </c>
      <c r="H18" s="12" t="n">
        <v>186</v>
      </c>
      <c r="I18" s="12" t="n">
        <v>241</v>
      </c>
      <c r="J18" s="12" t="n">
        <v>54</v>
      </c>
      <c r="K18" s="12" t="n">
        <v>136</v>
      </c>
      <c r="L18" s="12" t="n">
        <v>82</v>
      </c>
      <c r="M18" s="12" t="n">
        <v>187</v>
      </c>
      <c r="N18" s="12" t="n">
        <v>138</v>
      </c>
      <c r="O18" s="12" t="n">
        <v>187</v>
      </c>
      <c r="P18" s="12" t="n">
        <v>119</v>
      </c>
      <c r="Q18" s="12" t="n">
        <v>176</v>
      </c>
      <c r="R18" s="12" t="n">
        <v>68</v>
      </c>
      <c r="S18" s="12" t="n">
        <v>143</v>
      </c>
      <c r="T18" s="12" t="n">
        <v>123</v>
      </c>
      <c r="U18" s="12" t="n">
        <v>46</v>
      </c>
      <c r="V18" s="12" t="n">
        <v>113</v>
      </c>
      <c r="W18" s="12" t="n">
        <v>39</v>
      </c>
      <c r="X18" s="12" t="n">
        <v>160</v>
      </c>
      <c r="Y18" s="12" t="n">
        <v>163</v>
      </c>
      <c r="Z18" s="12" t="n">
        <v>102</v>
      </c>
      <c r="AA18" s="12" t="n">
        <v>72</v>
      </c>
      <c r="AB18" s="12" t="n">
        <v>227</v>
      </c>
      <c r="AC18" s="12" t="n">
        <v>147</v>
      </c>
      <c r="AD18" s="12" t="n">
        <v>181</v>
      </c>
      <c r="AE18" s="12" t="n">
        <v>125</v>
      </c>
      <c r="AF18" s="12" t="n">
        <v>78</v>
      </c>
    </row>
    <row r="19">
      <c r="A19" s="20" t="n"/>
      <c r="B19" s="13" t="inlineStr">
        <is>
          <t>Fairly negative</t>
        </is>
      </c>
      <c r="C19" s="14" t="n">
        <v>0.15</v>
      </c>
      <c r="D19" s="14" t="n">
        <v>0.18</v>
      </c>
      <c r="E19" s="14" t="n">
        <v>0.17</v>
      </c>
      <c r="F19" s="14" t="n">
        <v>0.18</v>
      </c>
      <c r="G19" s="14" t="n">
        <v>0.06</v>
      </c>
      <c r="H19" s="14" t="n">
        <v>0.15</v>
      </c>
      <c r="I19" s="14" t="n">
        <v>0.16</v>
      </c>
      <c r="J19" s="14" t="n">
        <v>0.19</v>
      </c>
      <c r="K19" s="14" t="n">
        <v>0.13</v>
      </c>
      <c r="L19" s="14" t="n">
        <v>0.08</v>
      </c>
      <c r="M19" s="14" t="n">
        <v>0.19</v>
      </c>
      <c r="N19" s="14" t="n">
        <v>0.14</v>
      </c>
      <c r="O19" s="14" t="n">
        <v>0.18</v>
      </c>
      <c r="P19" s="14" t="n">
        <v>0.12</v>
      </c>
      <c r="Q19" s="14" t="n">
        <v>0.17</v>
      </c>
      <c r="R19" s="14" t="n">
        <v>0.13</v>
      </c>
      <c r="S19" s="14" t="n">
        <v>0.14</v>
      </c>
      <c r="T19" s="14" t="n">
        <v>0.12</v>
      </c>
      <c r="U19" s="14" t="n">
        <v>0.09</v>
      </c>
      <c r="V19" s="14" t="n">
        <v>0.11</v>
      </c>
      <c r="W19" s="14" t="n">
        <v>0.08</v>
      </c>
      <c r="X19" s="14" t="n">
        <v>0.16</v>
      </c>
      <c r="Y19" s="14" t="n">
        <v>0.16</v>
      </c>
      <c r="Z19" s="14" t="n">
        <v>0.1</v>
      </c>
      <c r="AA19" s="14" t="n">
        <v>0.07000000000000001</v>
      </c>
      <c r="AB19" s="14" t="n">
        <v>0.22</v>
      </c>
      <c r="AC19" s="14" t="n">
        <v>0.14</v>
      </c>
      <c r="AD19" s="14" t="n">
        <v>0.18</v>
      </c>
      <c r="AE19" s="14" t="n">
        <v>0.12</v>
      </c>
      <c r="AF19" s="14" t="n">
        <v>0.08</v>
      </c>
    </row>
    <row r="20">
      <c r="A20" s="20" t="n"/>
      <c r="B20" s="11" t="inlineStr">
        <is>
          <t>Très négative</t>
        </is>
      </c>
      <c r="C20" s="12" t="n">
        <v>1161</v>
      </c>
      <c r="D20" s="12" t="n">
        <v>43</v>
      </c>
      <c r="E20" s="12" t="n">
        <v>90</v>
      </c>
      <c r="F20" s="12" t="n">
        <v>65</v>
      </c>
      <c r="G20" s="12" t="n">
        <v>17</v>
      </c>
      <c r="H20" s="12" t="n">
        <v>44</v>
      </c>
      <c r="I20" s="12" t="n">
        <v>65</v>
      </c>
      <c r="J20" s="12" t="n">
        <v>21</v>
      </c>
      <c r="K20" s="12" t="n">
        <v>50</v>
      </c>
      <c r="L20" s="12" t="n">
        <v>42</v>
      </c>
      <c r="M20" s="12" t="n">
        <v>115</v>
      </c>
      <c r="N20" s="12" t="n">
        <v>40</v>
      </c>
      <c r="O20" s="12" t="n">
        <v>62</v>
      </c>
      <c r="P20" s="12" t="n">
        <v>65</v>
      </c>
      <c r="Q20" s="12" t="n">
        <v>27</v>
      </c>
      <c r="R20" s="12" t="n">
        <v>9</v>
      </c>
      <c r="S20" s="12" t="n">
        <v>26</v>
      </c>
      <c r="T20" s="12" t="n">
        <v>27</v>
      </c>
      <c r="U20" s="12" t="n">
        <v>20</v>
      </c>
      <c r="V20" s="12" t="n">
        <v>50</v>
      </c>
      <c r="W20" s="12" t="n">
        <v>20</v>
      </c>
      <c r="X20" s="12" t="n">
        <v>43</v>
      </c>
      <c r="Y20" s="12" t="n">
        <v>64</v>
      </c>
      <c r="Z20" s="12" t="n">
        <v>30</v>
      </c>
      <c r="AA20" s="12" t="n">
        <v>4</v>
      </c>
      <c r="AB20" s="12" t="n">
        <v>63</v>
      </c>
      <c r="AC20" s="12" t="n">
        <v>49</v>
      </c>
      <c r="AD20" s="12" t="n">
        <v>51</v>
      </c>
      <c r="AE20" s="12" t="n">
        <v>22</v>
      </c>
      <c r="AF20" s="12" t="n">
        <v>21</v>
      </c>
    </row>
    <row r="21">
      <c r="A21" s="20" t="n"/>
      <c r="B21" s="13" t="inlineStr">
        <is>
          <t>Very negative</t>
        </is>
      </c>
      <c r="C21" s="14" t="n">
        <v>0.05</v>
      </c>
      <c r="D21" s="14" t="n">
        <v>0.04</v>
      </c>
      <c r="E21" s="14" t="n">
        <v>0.09</v>
      </c>
      <c r="F21" s="14" t="n">
        <v>0.06</v>
      </c>
      <c r="G21" s="14" t="n">
        <v>0.02</v>
      </c>
      <c r="H21" s="14" t="n">
        <v>0.04</v>
      </c>
      <c r="I21" s="14" t="n">
        <v>0.04</v>
      </c>
      <c r="J21" s="14" t="n">
        <v>0.07000000000000001</v>
      </c>
      <c r="K21" s="14" t="n">
        <v>0.05</v>
      </c>
      <c r="L21" s="14" t="n">
        <v>0.04</v>
      </c>
      <c r="M21" s="14" t="n">
        <v>0.12</v>
      </c>
      <c r="N21" s="14" t="n">
        <v>0.04</v>
      </c>
      <c r="O21" s="14" t="n">
        <v>0.06</v>
      </c>
      <c r="P21" s="14" t="n">
        <v>0.06</v>
      </c>
      <c r="Q21" s="14" t="n">
        <v>0.03</v>
      </c>
      <c r="R21" s="14" t="n">
        <v>0.02</v>
      </c>
      <c r="S21" s="14" t="n">
        <v>0.03</v>
      </c>
      <c r="T21" s="14" t="n">
        <v>0.03</v>
      </c>
      <c r="U21" s="14" t="n">
        <v>0.04</v>
      </c>
      <c r="V21" s="14" t="n">
        <v>0.05</v>
      </c>
      <c r="W21" s="14" t="n">
        <v>0.04</v>
      </c>
      <c r="X21" s="14" t="n">
        <v>0.04</v>
      </c>
      <c r="Y21" s="14" t="n">
        <v>0.06</v>
      </c>
      <c r="Z21" s="14" t="n">
        <v>0.03</v>
      </c>
      <c r="AA21" s="14" t="n">
        <v>0.01</v>
      </c>
      <c r="AB21" s="14" t="n">
        <v>0.06</v>
      </c>
      <c r="AC21" s="14" t="n">
        <v>0.05</v>
      </c>
      <c r="AD21" s="14" t="n">
        <v>0.05</v>
      </c>
      <c r="AE21" s="14" t="n">
        <v>0.02</v>
      </c>
      <c r="AF21" s="14" t="n">
        <v>0.02</v>
      </c>
    </row>
    <row r="22">
      <c r="A22" s="20" t="n"/>
      <c r="B22" s="11" t="inlineStr">
        <is>
          <t>Ne sait pas</t>
        </is>
      </c>
      <c r="C22" s="12" t="n">
        <v>314</v>
      </c>
      <c r="D22" s="12" t="n">
        <v>1</v>
      </c>
      <c r="E22" s="12" t="n">
        <v>21</v>
      </c>
      <c r="F22" s="12" t="n">
        <v>5</v>
      </c>
      <c r="G22" s="12" t="n">
        <v>5</v>
      </c>
      <c r="H22" s="12" t="n">
        <v>7</v>
      </c>
      <c r="I22" s="12" t="n">
        <v>8</v>
      </c>
      <c r="J22" s="12" t="n">
        <v>1</v>
      </c>
      <c r="K22" s="12" t="n">
        <v>59</v>
      </c>
      <c r="L22" s="12" t="n">
        <v>16</v>
      </c>
      <c r="M22" s="12" t="n">
        <v>23</v>
      </c>
      <c r="N22" s="12" t="n">
        <v>27</v>
      </c>
      <c r="O22" s="12" t="n">
        <v>21</v>
      </c>
      <c r="P22" s="12" t="n">
        <v>7</v>
      </c>
      <c r="Q22" s="12" t="n">
        <v>4</v>
      </c>
      <c r="R22" s="12" t="n">
        <v>6</v>
      </c>
      <c r="S22" s="12" t="n">
        <v>33</v>
      </c>
      <c r="T22" s="12" t="n">
        <v>23</v>
      </c>
      <c r="U22" s="12" t="n">
        <v>13</v>
      </c>
      <c r="V22" s="12" t="n">
        <v>2</v>
      </c>
      <c r="W22" s="12" t="n">
        <v>8</v>
      </c>
      <c r="X22" s="12" t="n">
        <v>0</v>
      </c>
      <c r="Y22" s="12" t="n">
        <v>5</v>
      </c>
      <c r="Z22" s="12" t="n">
        <v>5</v>
      </c>
      <c r="AA22" s="12" t="n">
        <v>24</v>
      </c>
      <c r="AB22" s="12" t="n">
        <v>22</v>
      </c>
      <c r="AC22" s="12" t="n">
        <v>18</v>
      </c>
      <c r="AD22" s="12" t="n">
        <v>8</v>
      </c>
      <c r="AE22" s="12" t="n">
        <v>10</v>
      </c>
      <c r="AF22" s="12" t="n">
        <v>15</v>
      </c>
    </row>
    <row r="23">
      <c r="A23" s="23" t="n"/>
      <c r="B23" s="13" t="inlineStr">
        <is>
          <t>Don’t know</t>
        </is>
      </c>
      <c r="C23" s="14" t="n">
        <v>0.01</v>
      </c>
      <c r="D23" s="15" t="inlineStr">
        <is>
          <t>-</t>
        </is>
      </c>
      <c r="E23" s="14" t="n">
        <v>0.02</v>
      </c>
      <c r="F23" s="14" t="n">
        <v>0.01</v>
      </c>
      <c r="G23" s="15" t="inlineStr">
        <is>
          <t>-</t>
        </is>
      </c>
      <c r="H23" s="14" t="n">
        <v>0.01</v>
      </c>
      <c r="I23" s="14" t="n">
        <v>0.01</v>
      </c>
      <c r="J23" s="15" t="inlineStr">
        <is>
          <t>-</t>
        </is>
      </c>
      <c r="K23" s="14" t="n">
        <v>0.06</v>
      </c>
      <c r="L23" s="14" t="n">
        <v>0.02</v>
      </c>
      <c r="M23" s="14" t="n">
        <v>0.02</v>
      </c>
      <c r="N23" s="14" t="n">
        <v>0.03</v>
      </c>
      <c r="O23" s="14" t="n">
        <v>0.02</v>
      </c>
      <c r="P23" s="14" t="n">
        <v>0.01</v>
      </c>
      <c r="Q23" s="15" t="inlineStr">
        <is>
          <t>-</t>
        </is>
      </c>
      <c r="R23" s="14" t="n">
        <v>0.01</v>
      </c>
      <c r="S23" s="14" t="n">
        <v>0.03</v>
      </c>
      <c r="T23" s="14" t="n">
        <v>0.02</v>
      </c>
      <c r="U23" s="14" t="n">
        <v>0.02</v>
      </c>
      <c r="V23" s="15" t="inlineStr">
        <is>
          <t>-</t>
        </is>
      </c>
      <c r="W23" s="14" t="n">
        <v>0.02</v>
      </c>
      <c r="X23" s="15" t="inlineStr">
        <is>
          <t>-</t>
        </is>
      </c>
      <c r="Y23" s="14" t="n">
        <v>0.01</v>
      </c>
      <c r="Z23" s="15" t="inlineStr">
        <is>
          <t>-</t>
        </is>
      </c>
      <c r="AA23" s="14" t="n">
        <v>0.02</v>
      </c>
      <c r="AB23" s="14" t="n">
        <v>0.02</v>
      </c>
      <c r="AC23" s="14" t="n">
        <v>0.02</v>
      </c>
      <c r="AD23" s="14" t="n">
        <v>0.01</v>
      </c>
      <c r="AE23" s="14" t="n">
        <v>0.01</v>
      </c>
      <c r="AF23" s="14" t="n">
        <v>0.01</v>
      </c>
    </row>
    <row r="24">
      <c r="A24" s="19" t="n"/>
      <c r="B24" s="11" t="inlineStr">
        <is>
          <t>Total 'Positive'</t>
        </is>
      </c>
      <c r="C24" s="12" t="n">
        <v>9965</v>
      </c>
      <c r="D24" s="12" t="n">
        <v>360</v>
      </c>
      <c r="E24" s="12" t="n">
        <v>432</v>
      </c>
      <c r="F24" s="12" t="n">
        <v>271</v>
      </c>
      <c r="G24" s="12" t="n">
        <v>592</v>
      </c>
      <c r="H24" s="12" t="n">
        <v>449</v>
      </c>
      <c r="I24" s="12" t="n">
        <v>511</v>
      </c>
      <c r="J24" s="12" t="n">
        <v>63</v>
      </c>
      <c r="K24" s="12" t="n">
        <v>292</v>
      </c>
      <c r="L24" s="12" t="n">
        <v>492</v>
      </c>
      <c r="M24" s="12" t="n">
        <v>317</v>
      </c>
      <c r="N24" s="12" t="n">
        <v>359</v>
      </c>
      <c r="O24" s="12" t="n">
        <v>279</v>
      </c>
      <c r="P24" s="12" t="n">
        <v>446</v>
      </c>
      <c r="Q24" s="12" t="n">
        <v>446</v>
      </c>
      <c r="R24" s="12" t="n">
        <v>177</v>
      </c>
      <c r="S24" s="12" t="n">
        <v>193</v>
      </c>
      <c r="T24" s="12" t="n">
        <v>295</v>
      </c>
      <c r="U24" s="12" t="n">
        <v>253</v>
      </c>
      <c r="V24" s="12" t="n">
        <v>457</v>
      </c>
      <c r="W24" s="12" t="n">
        <v>219</v>
      </c>
      <c r="X24" s="12" t="n">
        <v>446</v>
      </c>
      <c r="Y24" s="12" t="n">
        <v>366</v>
      </c>
      <c r="Z24" s="12" t="n">
        <v>455</v>
      </c>
      <c r="AA24" s="12" t="n">
        <v>598</v>
      </c>
      <c r="AB24" s="12" t="n">
        <v>431</v>
      </c>
      <c r="AC24" s="12" t="n">
        <v>271</v>
      </c>
      <c r="AD24" s="12" t="n">
        <v>403</v>
      </c>
      <c r="AE24" s="12" t="n">
        <v>352</v>
      </c>
      <c r="AF24" s="12" t="n">
        <v>530</v>
      </c>
    </row>
    <row r="25">
      <c r="A25" s="20" t="n"/>
      <c r="B25" s="13" t="inlineStr">
        <is>
          <t>Total 'Positive'</t>
        </is>
      </c>
      <c r="C25" s="14" t="n">
        <v>0.38</v>
      </c>
      <c r="D25" s="14" t="n">
        <v>0.35</v>
      </c>
      <c r="E25" s="14" t="n">
        <v>0.43</v>
      </c>
      <c r="F25" s="14" t="n">
        <v>0.26</v>
      </c>
      <c r="G25" s="14" t="n">
        <v>0.59</v>
      </c>
      <c r="H25" s="14" t="n">
        <v>0.37</v>
      </c>
      <c r="I25" s="14" t="n">
        <v>0.34</v>
      </c>
      <c r="J25" s="14" t="n">
        <v>0.21</v>
      </c>
      <c r="K25" s="14" t="n">
        <v>0.29</v>
      </c>
      <c r="L25" s="14" t="n">
        <v>0.49</v>
      </c>
      <c r="M25" s="14" t="n">
        <v>0.31</v>
      </c>
      <c r="N25" s="14" t="n">
        <v>0.35</v>
      </c>
      <c r="O25" s="14" t="n">
        <v>0.28</v>
      </c>
      <c r="P25" s="14" t="n">
        <v>0.44</v>
      </c>
      <c r="Q25" s="14" t="n">
        <v>0.43</v>
      </c>
      <c r="R25" s="14" t="n">
        <v>0.35</v>
      </c>
      <c r="S25" s="14" t="n">
        <v>0.19</v>
      </c>
      <c r="T25" s="14" t="n">
        <v>0.29</v>
      </c>
      <c r="U25" s="14" t="n">
        <v>0.5</v>
      </c>
      <c r="V25" s="14" t="n">
        <v>0.45</v>
      </c>
      <c r="W25" s="14" t="n">
        <v>0.43</v>
      </c>
      <c r="X25" s="14" t="n">
        <v>0.44</v>
      </c>
      <c r="Y25" s="14" t="n">
        <v>0.36</v>
      </c>
      <c r="Z25" s="14" t="n">
        <v>0.45</v>
      </c>
      <c r="AA25" s="14" t="n">
        <v>0.58</v>
      </c>
      <c r="AB25" s="14" t="n">
        <v>0.41</v>
      </c>
      <c r="AC25" s="14" t="n">
        <v>0.27</v>
      </c>
      <c r="AD25" s="14" t="n">
        <v>0.4</v>
      </c>
      <c r="AE25" s="14" t="n">
        <v>0.35</v>
      </c>
      <c r="AF25" s="14" t="n">
        <v>0.51</v>
      </c>
    </row>
    <row r="26">
      <c r="A26" s="20" t="n"/>
      <c r="B26" s="11" t="inlineStr">
        <is>
          <t>Neutre</t>
        </is>
      </c>
      <c r="C26" s="12" t="n">
        <v>10929</v>
      </c>
      <c r="D26" s="12" t="n">
        <v>433</v>
      </c>
      <c r="E26" s="12" t="n">
        <v>293</v>
      </c>
      <c r="F26" s="12" t="n">
        <v>515</v>
      </c>
      <c r="G26" s="12" t="n">
        <v>329</v>
      </c>
      <c r="H26" s="12" t="n">
        <v>528</v>
      </c>
      <c r="I26" s="12" t="n">
        <v>682</v>
      </c>
      <c r="J26" s="12" t="n">
        <v>154</v>
      </c>
      <c r="K26" s="12" t="n">
        <v>469</v>
      </c>
      <c r="L26" s="12" t="n">
        <v>379</v>
      </c>
      <c r="M26" s="12" t="n">
        <v>366</v>
      </c>
      <c r="N26" s="12" t="n">
        <v>441</v>
      </c>
      <c r="O26" s="12" t="n">
        <v>468</v>
      </c>
      <c r="P26" s="12" t="n">
        <v>369</v>
      </c>
      <c r="Q26" s="12" t="n">
        <v>376</v>
      </c>
      <c r="R26" s="12" t="n">
        <v>244</v>
      </c>
      <c r="S26" s="12" t="n">
        <v>610</v>
      </c>
      <c r="T26" s="12" t="n">
        <v>549</v>
      </c>
      <c r="U26" s="12" t="n">
        <v>177</v>
      </c>
      <c r="V26" s="12" t="n">
        <v>398</v>
      </c>
      <c r="W26" s="12" t="n">
        <v>218</v>
      </c>
      <c r="X26" s="12" t="n">
        <v>373</v>
      </c>
      <c r="Y26" s="12" t="n">
        <v>406</v>
      </c>
      <c r="Z26" s="12" t="n">
        <v>427</v>
      </c>
      <c r="AA26" s="12" t="n">
        <v>333</v>
      </c>
      <c r="AB26" s="12" t="n">
        <v>301</v>
      </c>
      <c r="AC26" s="12" t="n">
        <v>522</v>
      </c>
      <c r="AD26" s="12" t="n">
        <v>357</v>
      </c>
      <c r="AE26" s="12" t="n">
        <v>507</v>
      </c>
      <c r="AF26" s="12" t="n">
        <v>393</v>
      </c>
    </row>
    <row r="27">
      <c r="A27" s="20" t="n"/>
      <c r="B27" s="13" t="inlineStr">
        <is>
          <t>Neutral</t>
        </is>
      </c>
      <c r="C27" s="14" t="n">
        <v>0.41</v>
      </c>
      <c r="D27" s="14" t="n">
        <v>0.43</v>
      </c>
      <c r="E27" s="14" t="n">
        <v>0.29</v>
      </c>
      <c r="F27" s="14" t="n">
        <v>0.49</v>
      </c>
      <c r="G27" s="14" t="n">
        <v>0.33</v>
      </c>
      <c r="H27" s="14" t="n">
        <v>0.43</v>
      </c>
      <c r="I27" s="14" t="n">
        <v>0.45</v>
      </c>
      <c r="J27" s="14" t="n">
        <v>0.53</v>
      </c>
      <c r="K27" s="14" t="n">
        <v>0.47</v>
      </c>
      <c r="L27" s="14" t="n">
        <v>0.37</v>
      </c>
      <c r="M27" s="14" t="n">
        <v>0.36</v>
      </c>
      <c r="N27" s="14" t="n">
        <v>0.44</v>
      </c>
      <c r="O27" s="14" t="n">
        <v>0.46</v>
      </c>
      <c r="P27" s="14" t="n">
        <v>0.37</v>
      </c>
      <c r="Q27" s="14" t="n">
        <v>0.37</v>
      </c>
      <c r="R27" s="14" t="n">
        <v>0.49</v>
      </c>
      <c r="S27" s="14" t="n">
        <v>0.61</v>
      </c>
      <c r="T27" s="14" t="n">
        <v>0.54</v>
      </c>
      <c r="U27" s="14" t="n">
        <v>0.35</v>
      </c>
      <c r="V27" s="14" t="n">
        <v>0.39</v>
      </c>
      <c r="W27" s="14" t="n">
        <v>0.43</v>
      </c>
      <c r="X27" s="14" t="n">
        <v>0.36</v>
      </c>
      <c r="Y27" s="14" t="n">
        <v>0.41</v>
      </c>
      <c r="Z27" s="14" t="n">
        <v>0.42</v>
      </c>
      <c r="AA27" s="14" t="n">
        <v>0.32</v>
      </c>
      <c r="AB27" s="14" t="n">
        <v>0.29</v>
      </c>
      <c r="AC27" s="14" t="n">
        <v>0.52</v>
      </c>
      <c r="AD27" s="14" t="n">
        <v>0.36</v>
      </c>
      <c r="AE27" s="14" t="n">
        <v>0.5</v>
      </c>
      <c r="AF27" s="14" t="n">
        <v>0.38</v>
      </c>
    </row>
    <row r="28">
      <c r="A28" s="20" t="n"/>
      <c r="B28" s="11" t="inlineStr">
        <is>
          <t>Total 'Négative'</t>
        </is>
      </c>
      <c r="C28" s="12" t="n">
        <v>5213</v>
      </c>
      <c r="D28" s="12" t="n">
        <v>227</v>
      </c>
      <c r="E28" s="12" t="n">
        <v>268</v>
      </c>
      <c r="F28" s="12" t="n">
        <v>258</v>
      </c>
      <c r="G28" s="12" t="n">
        <v>81</v>
      </c>
      <c r="H28" s="12" t="n">
        <v>230</v>
      </c>
      <c r="I28" s="12" t="n">
        <v>306</v>
      </c>
      <c r="J28" s="12" t="n">
        <v>75</v>
      </c>
      <c r="K28" s="12" t="n">
        <v>186</v>
      </c>
      <c r="L28" s="12" t="n">
        <v>124</v>
      </c>
      <c r="M28" s="12" t="n">
        <v>302</v>
      </c>
      <c r="N28" s="12" t="n">
        <v>178</v>
      </c>
      <c r="O28" s="12" t="n">
        <v>249</v>
      </c>
      <c r="P28" s="12" t="n">
        <v>184</v>
      </c>
      <c r="Q28" s="12" t="n">
        <v>203</v>
      </c>
      <c r="R28" s="12" t="n">
        <v>77</v>
      </c>
      <c r="S28" s="12" t="n">
        <v>169</v>
      </c>
      <c r="T28" s="12" t="n">
        <v>150</v>
      </c>
      <c r="U28" s="12" t="n">
        <v>66</v>
      </c>
      <c r="V28" s="12" t="n">
        <v>163</v>
      </c>
      <c r="W28" s="12" t="n">
        <v>59</v>
      </c>
      <c r="X28" s="12" t="n">
        <v>203</v>
      </c>
      <c r="Y28" s="12" t="n">
        <v>227</v>
      </c>
      <c r="Z28" s="12" t="n">
        <v>132</v>
      </c>
      <c r="AA28" s="12" t="n">
        <v>76</v>
      </c>
      <c r="AB28" s="12" t="n">
        <v>290</v>
      </c>
      <c r="AC28" s="12" t="n">
        <v>196</v>
      </c>
      <c r="AD28" s="12" t="n">
        <v>232</v>
      </c>
      <c r="AE28" s="12" t="n">
        <v>147</v>
      </c>
      <c r="AF28" s="12" t="n">
        <v>99</v>
      </c>
    </row>
    <row r="29">
      <c r="A29" s="23" t="n"/>
      <c r="B29" s="13" t="inlineStr">
        <is>
          <t>Total 'Negative'</t>
        </is>
      </c>
      <c r="C29" s="14" t="n">
        <v>0.2</v>
      </c>
      <c r="D29" s="14" t="n">
        <v>0.22</v>
      </c>
      <c r="E29" s="14" t="n">
        <v>0.26</v>
      </c>
      <c r="F29" s="14" t="n">
        <v>0.24</v>
      </c>
      <c r="G29" s="14" t="n">
        <v>0.08</v>
      </c>
      <c r="H29" s="14" t="n">
        <v>0.19</v>
      </c>
      <c r="I29" s="14" t="n">
        <v>0.2</v>
      </c>
      <c r="J29" s="14" t="n">
        <v>0.26</v>
      </c>
      <c r="K29" s="14" t="n">
        <v>0.18</v>
      </c>
      <c r="L29" s="14" t="n">
        <v>0.12</v>
      </c>
      <c r="M29" s="14" t="n">
        <v>0.31</v>
      </c>
      <c r="N29" s="14" t="n">
        <v>0.18</v>
      </c>
      <c r="O29" s="14" t="n">
        <v>0.24</v>
      </c>
      <c r="P29" s="14" t="n">
        <v>0.18</v>
      </c>
      <c r="Q29" s="14" t="n">
        <v>0.2</v>
      </c>
      <c r="R29" s="14" t="n">
        <v>0.15</v>
      </c>
      <c r="S29" s="14" t="n">
        <v>0.17</v>
      </c>
      <c r="T29" s="14" t="n">
        <v>0.15</v>
      </c>
      <c r="U29" s="14" t="n">
        <v>0.13</v>
      </c>
      <c r="V29" s="14" t="n">
        <v>0.16</v>
      </c>
      <c r="W29" s="14" t="n">
        <v>0.12</v>
      </c>
      <c r="X29" s="14" t="n">
        <v>0.2</v>
      </c>
      <c r="Y29" s="14" t="n">
        <v>0.22</v>
      </c>
      <c r="Z29" s="14" t="n">
        <v>0.13</v>
      </c>
      <c r="AA29" s="14" t="n">
        <v>0.08</v>
      </c>
      <c r="AB29" s="14" t="n">
        <v>0.28</v>
      </c>
      <c r="AC29" s="14" t="n">
        <v>0.19</v>
      </c>
      <c r="AD29" s="14" t="n">
        <v>0.23</v>
      </c>
      <c r="AE29" s="14" t="n">
        <v>0.14</v>
      </c>
      <c r="AF29" s="14" t="n">
        <v>0.1</v>
      </c>
    </row>
  </sheetData>
  <mergeCells count="10">
    <mergeCell ref="B4:F4"/>
    <mergeCell ref="H3:L3"/>
    <mergeCell ref="C8:AF8"/>
    <mergeCell ref="B3:F3"/>
    <mergeCell ref="B5:F5"/>
    <mergeCell ref="A24:A29"/>
    <mergeCell ref="H5:L5"/>
    <mergeCell ref="B10:B11"/>
    <mergeCell ref="H4:L4"/>
    <mergeCell ref="A10:A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9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24" customHeight="1" s="18">
      <c r="B3" s="21" t="inlineStr">
        <is>
          <t>QA3. Souhaiteriez-vous voir le Parlement européen jouer un rôle plus important ou moins important ?</t>
        </is>
      </c>
      <c r="H3" s="21" t="inlineStr">
        <is>
          <t>QA3. Would you personally like to see the European Parliament play a more important or less important role?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HYPERLINK("#Content!A9","&lt;&lt;Back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Plus important</t>
        </is>
      </c>
      <c r="C12" s="12" t="n">
        <v>15772</v>
      </c>
      <c r="D12" s="12" t="n">
        <v>739</v>
      </c>
      <c r="E12" s="12" t="n">
        <v>419</v>
      </c>
      <c r="F12" s="12" t="n">
        <v>426</v>
      </c>
      <c r="G12" s="12" t="n">
        <v>421</v>
      </c>
      <c r="H12" s="12" t="n">
        <v>739</v>
      </c>
      <c r="I12" s="12" t="n">
        <v>880</v>
      </c>
      <c r="J12" s="12" t="n">
        <v>140</v>
      </c>
      <c r="K12" s="12" t="n">
        <v>395</v>
      </c>
      <c r="L12" s="12" t="n">
        <v>520</v>
      </c>
      <c r="M12" s="12" t="n">
        <v>769</v>
      </c>
      <c r="N12" s="12" t="n">
        <v>798</v>
      </c>
      <c r="O12" s="12" t="n">
        <v>509</v>
      </c>
      <c r="P12" s="12" t="n">
        <v>622</v>
      </c>
      <c r="Q12" s="12" t="n">
        <v>680</v>
      </c>
      <c r="R12" s="12" t="n">
        <v>467</v>
      </c>
      <c r="S12" s="12" t="n">
        <v>631</v>
      </c>
      <c r="T12" s="12" t="n">
        <v>682</v>
      </c>
      <c r="U12" s="12" t="n">
        <v>362</v>
      </c>
      <c r="V12" s="12" t="n">
        <v>630</v>
      </c>
      <c r="W12" s="12" t="n">
        <v>386</v>
      </c>
      <c r="X12" s="12" t="n">
        <v>674</v>
      </c>
      <c r="Y12" s="12" t="n">
        <v>489</v>
      </c>
      <c r="Z12" s="12" t="n">
        <v>479</v>
      </c>
      <c r="AA12" s="12" t="n">
        <v>709</v>
      </c>
      <c r="AB12" s="12" t="n">
        <v>657</v>
      </c>
      <c r="AC12" s="12" t="n">
        <v>676</v>
      </c>
      <c r="AD12" s="12" t="n">
        <v>479</v>
      </c>
      <c r="AE12" s="12" t="n">
        <v>529</v>
      </c>
      <c r="AF12" s="12" t="n">
        <v>467</v>
      </c>
    </row>
    <row r="13">
      <c r="A13" s="20" t="n"/>
      <c r="B13" s="13" t="inlineStr">
        <is>
          <t>More important</t>
        </is>
      </c>
      <c r="C13" s="14" t="n">
        <v>0.6</v>
      </c>
      <c r="D13" s="14" t="n">
        <v>0.72</v>
      </c>
      <c r="E13" s="14" t="n">
        <v>0.41</v>
      </c>
      <c r="F13" s="14" t="n">
        <v>0.41</v>
      </c>
      <c r="G13" s="14" t="n">
        <v>0.42</v>
      </c>
      <c r="H13" s="14" t="n">
        <v>0.61</v>
      </c>
      <c r="I13" s="14" t="n">
        <v>0.58</v>
      </c>
      <c r="J13" s="14" t="n">
        <v>0.48</v>
      </c>
      <c r="K13" s="14" t="n">
        <v>0.39</v>
      </c>
      <c r="L13" s="14" t="n">
        <v>0.51</v>
      </c>
      <c r="M13" s="14" t="n">
        <v>0.77</v>
      </c>
      <c r="N13" s="14" t="n">
        <v>0.79</v>
      </c>
      <c r="O13" s="14" t="n">
        <v>0.5</v>
      </c>
      <c r="P13" s="14" t="n">
        <v>0.62</v>
      </c>
      <c r="Q13" s="14" t="n">
        <v>0.66</v>
      </c>
      <c r="R13" s="14" t="n">
        <v>0.93</v>
      </c>
      <c r="S13" s="14" t="n">
        <v>0.63</v>
      </c>
      <c r="T13" s="14" t="n">
        <v>0.67</v>
      </c>
      <c r="U13" s="14" t="n">
        <v>0.71</v>
      </c>
      <c r="V13" s="14" t="n">
        <v>0.62</v>
      </c>
      <c r="W13" s="14" t="n">
        <v>0.76</v>
      </c>
      <c r="X13" s="14" t="n">
        <v>0.66</v>
      </c>
      <c r="Y13" s="14" t="n">
        <v>0.49</v>
      </c>
      <c r="Z13" s="14" t="n">
        <v>0.47</v>
      </c>
      <c r="AA13" s="14" t="n">
        <v>0.6900000000000001</v>
      </c>
      <c r="AB13" s="14" t="n">
        <v>0.63</v>
      </c>
      <c r="AC13" s="14" t="n">
        <v>0.67</v>
      </c>
      <c r="AD13" s="14" t="n">
        <v>0.48</v>
      </c>
      <c r="AE13" s="14" t="n">
        <v>0.52</v>
      </c>
      <c r="AF13" s="14" t="n">
        <v>0.45</v>
      </c>
    </row>
    <row r="14">
      <c r="A14" s="20" t="n"/>
      <c r="B14" s="11" t="inlineStr">
        <is>
          <t>Moins important</t>
        </is>
      </c>
      <c r="C14" s="12" t="n">
        <v>6544</v>
      </c>
      <c r="D14" s="12" t="n">
        <v>202</v>
      </c>
      <c r="E14" s="12" t="n">
        <v>371</v>
      </c>
      <c r="F14" s="12" t="n">
        <v>469</v>
      </c>
      <c r="G14" s="12" t="n">
        <v>258</v>
      </c>
      <c r="H14" s="12" t="n">
        <v>328</v>
      </c>
      <c r="I14" s="12" t="n">
        <v>450</v>
      </c>
      <c r="J14" s="12" t="n">
        <v>122</v>
      </c>
      <c r="K14" s="12" t="n">
        <v>324</v>
      </c>
      <c r="L14" s="12" t="n">
        <v>258</v>
      </c>
      <c r="M14" s="12" t="n">
        <v>164</v>
      </c>
      <c r="N14" s="12" t="n">
        <v>95</v>
      </c>
      <c r="O14" s="12" t="n">
        <v>261</v>
      </c>
      <c r="P14" s="12" t="n">
        <v>305</v>
      </c>
      <c r="Q14" s="12" t="n">
        <v>223</v>
      </c>
      <c r="R14" s="12" t="n">
        <v>17</v>
      </c>
      <c r="S14" s="12" t="n">
        <v>189</v>
      </c>
      <c r="T14" s="12" t="n">
        <v>136</v>
      </c>
      <c r="U14" s="12" t="n">
        <v>62</v>
      </c>
      <c r="V14" s="12" t="n">
        <v>301</v>
      </c>
      <c r="W14" s="12" t="n">
        <v>77</v>
      </c>
      <c r="X14" s="12" t="n">
        <v>279</v>
      </c>
      <c r="Y14" s="12" t="n">
        <v>339</v>
      </c>
      <c r="Z14" s="12" t="n">
        <v>290</v>
      </c>
      <c r="AA14" s="12" t="n">
        <v>109</v>
      </c>
      <c r="AB14" s="12" t="n">
        <v>287</v>
      </c>
      <c r="AC14" s="12" t="n">
        <v>196</v>
      </c>
      <c r="AD14" s="12" t="n">
        <v>373</v>
      </c>
      <c r="AE14" s="12" t="n">
        <v>272</v>
      </c>
      <c r="AF14" s="12" t="n">
        <v>332</v>
      </c>
    </row>
    <row r="15">
      <c r="A15" s="20" t="n"/>
      <c r="B15" s="13" t="inlineStr">
        <is>
          <t>Less important</t>
        </is>
      </c>
      <c r="C15" s="14" t="n">
        <v>0.25</v>
      </c>
      <c r="D15" s="14" t="n">
        <v>0.2</v>
      </c>
      <c r="E15" s="14" t="n">
        <v>0.37</v>
      </c>
      <c r="F15" s="14" t="n">
        <v>0.45</v>
      </c>
      <c r="G15" s="14" t="n">
        <v>0.25</v>
      </c>
      <c r="H15" s="14" t="n">
        <v>0.27</v>
      </c>
      <c r="I15" s="14" t="n">
        <v>0.3</v>
      </c>
      <c r="J15" s="14" t="n">
        <v>0.42</v>
      </c>
      <c r="K15" s="14" t="n">
        <v>0.32</v>
      </c>
      <c r="L15" s="14" t="n">
        <v>0.26</v>
      </c>
      <c r="M15" s="14" t="n">
        <v>0.16</v>
      </c>
      <c r="N15" s="14" t="n">
        <v>0.1</v>
      </c>
      <c r="O15" s="14" t="n">
        <v>0.26</v>
      </c>
      <c r="P15" s="14" t="n">
        <v>0.3</v>
      </c>
      <c r="Q15" s="14" t="n">
        <v>0.22</v>
      </c>
      <c r="R15" s="14" t="n">
        <v>0.03</v>
      </c>
      <c r="S15" s="14" t="n">
        <v>0.19</v>
      </c>
      <c r="T15" s="14" t="n">
        <v>0.13</v>
      </c>
      <c r="U15" s="14" t="n">
        <v>0.12</v>
      </c>
      <c r="V15" s="14" t="n">
        <v>0.29</v>
      </c>
      <c r="W15" s="14" t="n">
        <v>0.15</v>
      </c>
      <c r="X15" s="14" t="n">
        <v>0.27</v>
      </c>
      <c r="Y15" s="14" t="n">
        <v>0.34</v>
      </c>
      <c r="Z15" s="14" t="n">
        <v>0.29</v>
      </c>
      <c r="AA15" s="14" t="n">
        <v>0.1</v>
      </c>
      <c r="AB15" s="14" t="n">
        <v>0.27</v>
      </c>
      <c r="AC15" s="14" t="n">
        <v>0.19</v>
      </c>
      <c r="AD15" s="14" t="n">
        <v>0.37</v>
      </c>
      <c r="AE15" s="14" t="n">
        <v>0.27</v>
      </c>
      <c r="AF15" s="14" t="n">
        <v>0.32</v>
      </c>
    </row>
    <row r="16">
      <c r="A16" s="20" t="n"/>
      <c r="B16" s="11" t="inlineStr">
        <is>
          <t>Sans changement / Comme aujourd'hui (SPONTANÉ)</t>
        </is>
      </c>
      <c r="C16" s="12" t="n">
        <v>2673</v>
      </c>
      <c r="D16" s="12" t="n">
        <v>52</v>
      </c>
      <c r="E16" s="12" t="n">
        <v>166</v>
      </c>
      <c r="F16" s="12" t="n">
        <v>110</v>
      </c>
      <c r="G16" s="12" t="n">
        <v>268</v>
      </c>
      <c r="H16" s="12" t="n">
        <v>108</v>
      </c>
      <c r="I16" s="12" t="n">
        <v>133</v>
      </c>
      <c r="J16" s="12" t="n">
        <v>25</v>
      </c>
      <c r="K16" s="12" t="n">
        <v>208</v>
      </c>
      <c r="L16" s="12" t="n">
        <v>163</v>
      </c>
      <c r="M16" s="12" t="n">
        <v>41</v>
      </c>
      <c r="N16" s="12" t="n">
        <v>60</v>
      </c>
      <c r="O16" s="12" t="n">
        <v>122</v>
      </c>
      <c r="P16" s="12" t="n">
        <v>50</v>
      </c>
      <c r="Q16" s="12" t="n">
        <v>89</v>
      </c>
      <c r="R16" s="12" t="n">
        <v>11</v>
      </c>
      <c r="S16" s="12" t="n">
        <v>86</v>
      </c>
      <c r="T16" s="12" t="n">
        <v>137</v>
      </c>
      <c r="U16" s="12" t="n">
        <v>58</v>
      </c>
      <c r="V16" s="12" t="n">
        <v>70</v>
      </c>
      <c r="W16" s="12" t="n">
        <v>19</v>
      </c>
      <c r="X16" s="12" t="n">
        <v>57</v>
      </c>
      <c r="Y16" s="12" t="n">
        <v>155</v>
      </c>
      <c r="Z16" s="12" t="n">
        <v>177</v>
      </c>
      <c r="AA16" s="12" t="n">
        <v>151</v>
      </c>
      <c r="AB16" s="12" t="n">
        <v>53</v>
      </c>
      <c r="AC16" s="12" t="n">
        <v>109</v>
      </c>
      <c r="AD16" s="12" t="n">
        <v>124</v>
      </c>
      <c r="AE16" s="12" t="n">
        <v>128</v>
      </c>
      <c r="AF16" s="12" t="n">
        <v>158</v>
      </c>
    </row>
    <row r="17">
      <c r="A17" s="20" t="n"/>
      <c r="B17" s="13" t="inlineStr">
        <is>
          <t>No change / As it is now (SPONTANEOUS)</t>
        </is>
      </c>
      <c r="C17" s="14" t="n">
        <v>0.1</v>
      </c>
      <c r="D17" s="14" t="n">
        <v>0.05</v>
      </c>
      <c r="E17" s="14" t="n">
        <v>0.16</v>
      </c>
      <c r="F17" s="14" t="n">
        <v>0.1</v>
      </c>
      <c r="G17" s="14" t="n">
        <v>0.27</v>
      </c>
      <c r="H17" s="14" t="n">
        <v>0.09</v>
      </c>
      <c r="I17" s="14" t="n">
        <v>0.09</v>
      </c>
      <c r="J17" s="14" t="n">
        <v>0.08</v>
      </c>
      <c r="K17" s="14" t="n">
        <v>0.21</v>
      </c>
      <c r="L17" s="14" t="n">
        <v>0.16</v>
      </c>
      <c r="M17" s="14" t="n">
        <v>0.04</v>
      </c>
      <c r="N17" s="14" t="n">
        <v>0.06</v>
      </c>
      <c r="O17" s="14" t="n">
        <v>0.12</v>
      </c>
      <c r="P17" s="14" t="n">
        <v>0.05</v>
      </c>
      <c r="Q17" s="14" t="n">
        <v>0.08</v>
      </c>
      <c r="R17" s="14" t="n">
        <v>0.02</v>
      </c>
      <c r="S17" s="14" t="n">
        <v>0.08</v>
      </c>
      <c r="T17" s="14" t="n">
        <v>0.14</v>
      </c>
      <c r="U17" s="14" t="n">
        <v>0.12</v>
      </c>
      <c r="V17" s="14" t="n">
        <v>0.07000000000000001</v>
      </c>
      <c r="W17" s="14" t="n">
        <v>0.04</v>
      </c>
      <c r="X17" s="14" t="n">
        <v>0.06</v>
      </c>
      <c r="Y17" s="14" t="n">
        <v>0.15</v>
      </c>
      <c r="Z17" s="14" t="n">
        <v>0.17</v>
      </c>
      <c r="AA17" s="14" t="n">
        <v>0.15</v>
      </c>
      <c r="AB17" s="14" t="n">
        <v>0.05</v>
      </c>
      <c r="AC17" s="14" t="n">
        <v>0.11</v>
      </c>
      <c r="AD17" s="14" t="n">
        <v>0.12</v>
      </c>
      <c r="AE17" s="14" t="n">
        <v>0.12</v>
      </c>
      <c r="AF17" s="14" t="n">
        <v>0.15</v>
      </c>
    </row>
    <row r="18">
      <c r="A18" s="20" t="n"/>
      <c r="B18" s="11" t="inlineStr">
        <is>
          <t>Ne sait pas</t>
        </is>
      </c>
      <c r="C18" s="12" t="n">
        <v>1432</v>
      </c>
      <c r="D18" s="12" t="n">
        <v>28</v>
      </c>
      <c r="E18" s="12" t="n">
        <v>57</v>
      </c>
      <c r="F18" s="12" t="n">
        <v>44</v>
      </c>
      <c r="G18" s="12" t="n">
        <v>60</v>
      </c>
      <c r="H18" s="12" t="n">
        <v>38</v>
      </c>
      <c r="I18" s="12" t="n">
        <v>44</v>
      </c>
      <c r="J18" s="12" t="n">
        <v>6</v>
      </c>
      <c r="K18" s="12" t="n">
        <v>80</v>
      </c>
      <c r="L18" s="12" t="n">
        <v>69</v>
      </c>
      <c r="M18" s="12" t="n">
        <v>32</v>
      </c>
      <c r="N18" s="12" t="n">
        <v>53</v>
      </c>
      <c r="O18" s="12" t="n">
        <v>123</v>
      </c>
      <c r="P18" s="12" t="n">
        <v>30</v>
      </c>
      <c r="Q18" s="12" t="n">
        <v>38</v>
      </c>
      <c r="R18" s="12" t="n">
        <v>9</v>
      </c>
      <c r="S18" s="12" t="n">
        <v>99</v>
      </c>
      <c r="T18" s="12" t="n">
        <v>63</v>
      </c>
      <c r="U18" s="12" t="n">
        <v>25</v>
      </c>
      <c r="V18" s="12" t="n">
        <v>19</v>
      </c>
      <c r="W18" s="12" t="n">
        <v>23</v>
      </c>
      <c r="X18" s="12" t="n">
        <v>13</v>
      </c>
      <c r="Y18" s="12" t="n">
        <v>21</v>
      </c>
      <c r="Z18" s="12" t="n">
        <v>74</v>
      </c>
      <c r="AA18" s="12" t="n">
        <v>61</v>
      </c>
      <c r="AB18" s="12" t="n">
        <v>48</v>
      </c>
      <c r="AC18" s="12" t="n">
        <v>26</v>
      </c>
      <c r="AD18" s="12" t="n">
        <v>25</v>
      </c>
      <c r="AE18" s="12" t="n">
        <v>87</v>
      </c>
      <c r="AF18" s="12" t="n">
        <v>79</v>
      </c>
    </row>
    <row r="19">
      <c r="A19" s="23" t="n"/>
      <c r="B19" s="13" t="inlineStr">
        <is>
          <t>Don’t know</t>
        </is>
      </c>
      <c r="C19" s="14" t="n">
        <v>0.05</v>
      </c>
      <c r="D19" s="14" t="n">
        <v>0.03</v>
      </c>
      <c r="E19" s="14" t="n">
        <v>0.06</v>
      </c>
      <c r="F19" s="14" t="n">
        <v>0.04</v>
      </c>
      <c r="G19" s="14" t="n">
        <v>0.06</v>
      </c>
      <c r="H19" s="14" t="n">
        <v>0.03</v>
      </c>
      <c r="I19" s="14" t="n">
        <v>0.03</v>
      </c>
      <c r="J19" s="14" t="n">
        <v>0.02</v>
      </c>
      <c r="K19" s="14" t="n">
        <v>0.08</v>
      </c>
      <c r="L19" s="14" t="n">
        <v>0.07000000000000001</v>
      </c>
      <c r="M19" s="14" t="n">
        <v>0.03</v>
      </c>
      <c r="N19" s="14" t="n">
        <v>0.05</v>
      </c>
      <c r="O19" s="14" t="n">
        <v>0.12</v>
      </c>
      <c r="P19" s="14" t="n">
        <v>0.03</v>
      </c>
      <c r="Q19" s="14" t="n">
        <v>0.04</v>
      </c>
      <c r="R19" s="14" t="n">
        <v>0.02</v>
      </c>
      <c r="S19" s="14" t="n">
        <v>0.1</v>
      </c>
      <c r="T19" s="14" t="n">
        <v>0.06</v>
      </c>
      <c r="U19" s="14" t="n">
        <v>0.05</v>
      </c>
      <c r="V19" s="14" t="n">
        <v>0.02</v>
      </c>
      <c r="W19" s="14" t="n">
        <v>0.05</v>
      </c>
      <c r="X19" s="14" t="n">
        <v>0.01</v>
      </c>
      <c r="Y19" s="14" t="n">
        <v>0.02</v>
      </c>
      <c r="Z19" s="14" t="n">
        <v>0.07000000000000001</v>
      </c>
      <c r="AA19" s="14" t="n">
        <v>0.06</v>
      </c>
      <c r="AB19" s="14" t="n">
        <v>0.05</v>
      </c>
      <c r="AC19" s="14" t="n">
        <v>0.03</v>
      </c>
      <c r="AD19" s="14" t="n">
        <v>0.03</v>
      </c>
      <c r="AE19" s="14" t="n">
        <v>0.09</v>
      </c>
      <c r="AF19" s="14" t="n">
        <v>0.08</v>
      </c>
    </row>
  </sheetData>
  <mergeCells count="9">
    <mergeCell ref="B4:F4"/>
    <mergeCell ref="H3:L3"/>
    <mergeCell ref="C8:AF8"/>
    <mergeCell ref="B3:F3"/>
    <mergeCell ref="B5:F5"/>
    <mergeCell ref="A10:A19"/>
    <mergeCell ref="H5:L5"/>
    <mergeCell ref="B10:B11"/>
    <mergeCell ref="H4:L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29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24" customHeight="1" s="18">
      <c r="B3" s="21" t="inlineStr">
        <is>
          <t>D78. En général, l’Union européenne évoque-t-elle pour vous une image très positive, assez positive, neutre, assez négative ou très négative ?</t>
        </is>
      </c>
      <c r="H3" s="21" t="inlineStr">
        <is>
          <t>D78. In general, does the EU conjure up for you a very positive, fairly positive, neutral, fairly negative or very negative image?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HYPERLINK("#Content!A10","&lt;&lt;Back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Très positive</t>
        </is>
      </c>
      <c r="C12" s="12" t="n">
        <v>2140</v>
      </c>
      <c r="D12" s="12" t="n">
        <v>61</v>
      </c>
      <c r="E12" s="12" t="n">
        <v>126</v>
      </c>
      <c r="F12" s="12" t="n">
        <v>52</v>
      </c>
      <c r="G12" s="12" t="n">
        <v>160</v>
      </c>
      <c r="H12" s="12" t="n">
        <v>107</v>
      </c>
      <c r="I12" s="12" t="n">
        <v>122</v>
      </c>
      <c r="J12" s="12" t="n">
        <v>15</v>
      </c>
      <c r="K12" s="12" t="n">
        <v>44</v>
      </c>
      <c r="L12" s="12" t="n">
        <v>214</v>
      </c>
      <c r="M12" s="12" t="n">
        <v>53</v>
      </c>
      <c r="N12" s="12" t="n">
        <v>80</v>
      </c>
      <c r="O12" s="12" t="n">
        <v>35</v>
      </c>
      <c r="P12" s="12" t="n">
        <v>101</v>
      </c>
      <c r="Q12" s="12" t="n">
        <v>86</v>
      </c>
      <c r="R12" s="12" t="n">
        <v>23</v>
      </c>
      <c r="S12" s="12" t="n">
        <v>69</v>
      </c>
      <c r="T12" s="12" t="n">
        <v>110</v>
      </c>
      <c r="U12" s="12" t="n">
        <v>100</v>
      </c>
      <c r="V12" s="12" t="n">
        <v>104</v>
      </c>
      <c r="W12" s="12" t="n">
        <v>67</v>
      </c>
      <c r="X12" s="12" t="n">
        <v>90</v>
      </c>
      <c r="Y12" s="12" t="n">
        <v>123</v>
      </c>
      <c r="Z12" s="12" t="n">
        <v>106</v>
      </c>
      <c r="AA12" s="12" t="n">
        <v>52</v>
      </c>
      <c r="AB12" s="12" t="n">
        <v>87</v>
      </c>
      <c r="AC12" s="12" t="n">
        <v>78</v>
      </c>
      <c r="AD12" s="12" t="n">
        <v>108</v>
      </c>
      <c r="AE12" s="12" t="n">
        <v>81</v>
      </c>
      <c r="AF12" s="12" t="n">
        <v>185</v>
      </c>
    </row>
    <row r="13">
      <c r="A13" s="20" t="n"/>
      <c r="B13" s="13" t="inlineStr">
        <is>
          <t>Very positive</t>
        </is>
      </c>
      <c r="C13" s="14" t="n">
        <v>0.08</v>
      </c>
      <c r="D13" s="14" t="n">
        <v>0.06</v>
      </c>
      <c r="E13" s="14" t="n">
        <v>0.12</v>
      </c>
      <c r="F13" s="14" t="n">
        <v>0.05</v>
      </c>
      <c r="G13" s="14" t="n">
        <v>0.16</v>
      </c>
      <c r="H13" s="14" t="n">
        <v>0.09</v>
      </c>
      <c r="I13" s="14" t="n">
        <v>0.08</v>
      </c>
      <c r="J13" s="14" t="n">
        <v>0.05</v>
      </c>
      <c r="K13" s="14" t="n">
        <v>0.04</v>
      </c>
      <c r="L13" s="14" t="n">
        <v>0.21</v>
      </c>
      <c r="M13" s="14" t="n">
        <v>0.05</v>
      </c>
      <c r="N13" s="14" t="n">
        <v>0.08</v>
      </c>
      <c r="O13" s="14" t="n">
        <v>0.04</v>
      </c>
      <c r="P13" s="14" t="n">
        <v>0.1</v>
      </c>
      <c r="Q13" s="14" t="n">
        <v>0.08</v>
      </c>
      <c r="R13" s="14" t="n">
        <v>0.04</v>
      </c>
      <c r="S13" s="14" t="n">
        <v>0.07000000000000001</v>
      </c>
      <c r="T13" s="14" t="n">
        <v>0.11</v>
      </c>
      <c r="U13" s="14" t="n">
        <v>0.2</v>
      </c>
      <c r="V13" s="14" t="n">
        <v>0.1</v>
      </c>
      <c r="W13" s="14" t="n">
        <v>0.13</v>
      </c>
      <c r="X13" s="14" t="n">
        <v>0.09</v>
      </c>
      <c r="Y13" s="14" t="n">
        <v>0.12</v>
      </c>
      <c r="Z13" s="14" t="n">
        <v>0.11</v>
      </c>
      <c r="AA13" s="14" t="n">
        <v>0.05</v>
      </c>
      <c r="AB13" s="14" t="n">
        <v>0.08</v>
      </c>
      <c r="AC13" s="14" t="n">
        <v>0.08</v>
      </c>
      <c r="AD13" s="14" t="n">
        <v>0.11</v>
      </c>
      <c r="AE13" s="14" t="n">
        <v>0.08</v>
      </c>
      <c r="AF13" s="14" t="n">
        <v>0.18</v>
      </c>
    </row>
    <row r="14">
      <c r="A14" s="20" t="n"/>
      <c r="B14" s="11" t="inlineStr">
        <is>
          <t>Assez positive</t>
        </is>
      </c>
      <c r="C14" s="12" t="n">
        <v>11094</v>
      </c>
      <c r="D14" s="12" t="n">
        <v>462</v>
      </c>
      <c r="E14" s="12" t="n">
        <v>383</v>
      </c>
      <c r="F14" s="12" t="n">
        <v>307</v>
      </c>
      <c r="G14" s="12" t="n">
        <v>537</v>
      </c>
      <c r="H14" s="12" t="n">
        <v>512</v>
      </c>
      <c r="I14" s="12" t="n">
        <v>598</v>
      </c>
      <c r="J14" s="12" t="n">
        <v>86</v>
      </c>
      <c r="K14" s="12" t="n">
        <v>439</v>
      </c>
      <c r="L14" s="12" t="n">
        <v>414</v>
      </c>
      <c r="M14" s="12" t="n">
        <v>318</v>
      </c>
      <c r="N14" s="12" t="n">
        <v>429</v>
      </c>
      <c r="O14" s="12" t="n">
        <v>389</v>
      </c>
      <c r="P14" s="12" t="n">
        <v>427</v>
      </c>
      <c r="Q14" s="12" t="n">
        <v>454</v>
      </c>
      <c r="R14" s="12" t="n">
        <v>220</v>
      </c>
      <c r="S14" s="12" t="n">
        <v>387</v>
      </c>
      <c r="T14" s="12" t="n">
        <v>473</v>
      </c>
      <c r="U14" s="12" t="n">
        <v>222</v>
      </c>
      <c r="V14" s="12" t="n">
        <v>431</v>
      </c>
      <c r="W14" s="12" t="n">
        <v>186</v>
      </c>
      <c r="X14" s="12" t="n">
        <v>484</v>
      </c>
      <c r="Y14" s="12" t="n">
        <v>299</v>
      </c>
      <c r="Z14" s="12" t="n">
        <v>452</v>
      </c>
      <c r="AA14" s="12" t="n">
        <v>643</v>
      </c>
      <c r="AB14" s="12" t="n">
        <v>465</v>
      </c>
      <c r="AC14" s="12" t="n">
        <v>378</v>
      </c>
      <c r="AD14" s="12" t="n">
        <v>372</v>
      </c>
      <c r="AE14" s="12" t="n">
        <v>484</v>
      </c>
      <c r="AF14" s="12" t="n">
        <v>547</v>
      </c>
    </row>
    <row r="15">
      <c r="A15" s="20" t="n"/>
      <c r="B15" s="13" t="inlineStr">
        <is>
          <t>Fairly positive</t>
        </is>
      </c>
      <c r="C15" s="14" t="n">
        <v>0.42</v>
      </c>
      <c r="D15" s="14" t="n">
        <v>0.45</v>
      </c>
      <c r="E15" s="14" t="n">
        <v>0.38</v>
      </c>
      <c r="F15" s="14" t="n">
        <v>0.29</v>
      </c>
      <c r="G15" s="14" t="n">
        <v>0.53</v>
      </c>
      <c r="H15" s="14" t="n">
        <v>0.42</v>
      </c>
      <c r="I15" s="14" t="n">
        <v>0.4</v>
      </c>
      <c r="J15" s="14" t="n">
        <v>0.29</v>
      </c>
      <c r="K15" s="14" t="n">
        <v>0.44</v>
      </c>
      <c r="L15" s="14" t="n">
        <v>0.41</v>
      </c>
      <c r="M15" s="14" t="n">
        <v>0.32</v>
      </c>
      <c r="N15" s="14" t="n">
        <v>0.43</v>
      </c>
      <c r="O15" s="14" t="n">
        <v>0.38</v>
      </c>
      <c r="P15" s="14" t="n">
        <v>0.43</v>
      </c>
      <c r="Q15" s="14" t="n">
        <v>0.44</v>
      </c>
      <c r="R15" s="14" t="n">
        <v>0.44</v>
      </c>
      <c r="S15" s="14" t="n">
        <v>0.38</v>
      </c>
      <c r="T15" s="14" t="n">
        <v>0.46</v>
      </c>
      <c r="U15" s="14" t="n">
        <v>0.44</v>
      </c>
      <c r="V15" s="14" t="n">
        <v>0.42</v>
      </c>
      <c r="W15" s="14" t="n">
        <v>0.37</v>
      </c>
      <c r="X15" s="14" t="n">
        <v>0.47</v>
      </c>
      <c r="Y15" s="14" t="n">
        <v>0.3</v>
      </c>
      <c r="Z15" s="14" t="n">
        <v>0.44</v>
      </c>
      <c r="AA15" s="14" t="n">
        <v>0.62</v>
      </c>
      <c r="AB15" s="14" t="n">
        <v>0.45</v>
      </c>
      <c r="AC15" s="14" t="n">
        <v>0.38</v>
      </c>
      <c r="AD15" s="14" t="n">
        <v>0.37</v>
      </c>
      <c r="AE15" s="14" t="n">
        <v>0.48</v>
      </c>
      <c r="AF15" s="14" t="n">
        <v>0.53</v>
      </c>
    </row>
    <row r="16">
      <c r="A16" s="20" t="n"/>
      <c r="B16" s="11" t="inlineStr">
        <is>
          <t>Neutre</t>
        </is>
      </c>
      <c r="C16" s="12" t="n">
        <v>8618</v>
      </c>
      <c r="D16" s="12" t="n">
        <v>320</v>
      </c>
      <c r="E16" s="12" t="n">
        <v>254</v>
      </c>
      <c r="F16" s="12" t="n">
        <v>440</v>
      </c>
      <c r="G16" s="12" t="n">
        <v>225</v>
      </c>
      <c r="H16" s="12" t="n">
        <v>397</v>
      </c>
      <c r="I16" s="12" t="n">
        <v>520</v>
      </c>
      <c r="J16" s="12" t="n">
        <v>123</v>
      </c>
      <c r="K16" s="12" t="n">
        <v>358</v>
      </c>
      <c r="L16" s="12" t="n">
        <v>280</v>
      </c>
      <c r="M16" s="12" t="n">
        <v>318</v>
      </c>
      <c r="N16" s="12" t="n">
        <v>340</v>
      </c>
      <c r="O16" s="12" t="n">
        <v>359</v>
      </c>
      <c r="P16" s="12" t="n">
        <v>335</v>
      </c>
      <c r="Q16" s="12" t="n">
        <v>328</v>
      </c>
      <c r="R16" s="12" t="n">
        <v>175</v>
      </c>
      <c r="S16" s="12" t="n">
        <v>388</v>
      </c>
      <c r="T16" s="12" t="n">
        <v>342</v>
      </c>
      <c r="U16" s="12" t="n">
        <v>130</v>
      </c>
      <c r="V16" s="12" t="n">
        <v>328</v>
      </c>
      <c r="W16" s="12" t="n">
        <v>190</v>
      </c>
      <c r="X16" s="12" t="n">
        <v>278</v>
      </c>
      <c r="Y16" s="12" t="n">
        <v>351</v>
      </c>
      <c r="Z16" s="12" t="n">
        <v>356</v>
      </c>
      <c r="AA16" s="12" t="n">
        <v>268</v>
      </c>
      <c r="AB16" s="12" t="n">
        <v>303</v>
      </c>
      <c r="AC16" s="12" t="n">
        <v>334</v>
      </c>
      <c r="AD16" s="12" t="n">
        <v>312</v>
      </c>
      <c r="AE16" s="12" t="n">
        <v>308</v>
      </c>
      <c r="AF16" s="12" t="n">
        <v>185</v>
      </c>
    </row>
    <row r="17">
      <c r="A17" s="20" t="n"/>
      <c r="B17" s="13" t="inlineStr">
        <is>
          <t>Neutral</t>
        </is>
      </c>
      <c r="C17" s="14" t="n">
        <v>0.33</v>
      </c>
      <c r="D17" s="14" t="n">
        <v>0.31</v>
      </c>
      <c r="E17" s="14" t="n">
        <v>0.25</v>
      </c>
      <c r="F17" s="14" t="n">
        <v>0.42</v>
      </c>
      <c r="G17" s="14" t="n">
        <v>0.22</v>
      </c>
      <c r="H17" s="14" t="n">
        <v>0.33</v>
      </c>
      <c r="I17" s="14" t="n">
        <v>0.34</v>
      </c>
      <c r="J17" s="14" t="n">
        <v>0.42</v>
      </c>
      <c r="K17" s="14" t="n">
        <v>0.36</v>
      </c>
      <c r="L17" s="14" t="n">
        <v>0.28</v>
      </c>
      <c r="M17" s="14" t="n">
        <v>0.31</v>
      </c>
      <c r="N17" s="14" t="n">
        <v>0.34</v>
      </c>
      <c r="O17" s="14" t="n">
        <v>0.35</v>
      </c>
      <c r="P17" s="14" t="n">
        <v>0.33</v>
      </c>
      <c r="Q17" s="14" t="n">
        <v>0.32</v>
      </c>
      <c r="R17" s="14" t="n">
        <v>0.35</v>
      </c>
      <c r="S17" s="14" t="n">
        <v>0.39</v>
      </c>
      <c r="T17" s="14" t="n">
        <v>0.34</v>
      </c>
      <c r="U17" s="14" t="n">
        <v>0.26</v>
      </c>
      <c r="V17" s="14" t="n">
        <v>0.32</v>
      </c>
      <c r="W17" s="14" t="n">
        <v>0.37</v>
      </c>
      <c r="X17" s="14" t="n">
        <v>0.27</v>
      </c>
      <c r="Y17" s="14" t="n">
        <v>0.35</v>
      </c>
      <c r="Z17" s="14" t="n">
        <v>0.35</v>
      </c>
      <c r="AA17" s="14" t="n">
        <v>0.26</v>
      </c>
      <c r="AB17" s="14" t="n">
        <v>0.29</v>
      </c>
      <c r="AC17" s="14" t="n">
        <v>0.33</v>
      </c>
      <c r="AD17" s="14" t="n">
        <v>0.31</v>
      </c>
      <c r="AE17" s="14" t="n">
        <v>0.3</v>
      </c>
      <c r="AF17" s="14" t="n">
        <v>0.18</v>
      </c>
    </row>
    <row r="18">
      <c r="A18" s="20" t="n"/>
      <c r="B18" s="11" t="inlineStr">
        <is>
          <t>Assez négative</t>
        </is>
      </c>
      <c r="C18" s="12" t="n">
        <v>3479</v>
      </c>
      <c r="D18" s="12" t="n">
        <v>145</v>
      </c>
      <c r="E18" s="12" t="n">
        <v>164</v>
      </c>
      <c r="F18" s="12" t="n">
        <v>180</v>
      </c>
      <c r="G18" s="12" t="n">
        <v>65</v>
      </c>
      <c r="H18" s="12" t="n">
        <v>157</v>
      </c>
      <c r="I18" s="12" t="n">
        <v>205</v>
      </c>
      <c r="J18" s="12" t="n">
        <v>48</v>
      </c>
      <c r="K18" s="12" t="n">
        <v>114</v>
      </c>
      <c r="L18" s="12" t="n">
        <v>72</v>
      </c>
      <c r="M18" s="12" t="n">
        <v>192</v>
      </c>
      <c r="N18" s="12" t="n">
        <v>117</v>
      </c>
      <c r="O18" s="12" t="n">
        <v>175</v>
      </c>
      <c r="P18" s="12" t="n">
        <v>90</v>
      </c>
      <c r="Q18" s="12" t="n">
        <v>141</v>
      </c>
      <c r="R18" s="12" t="n">
        <v>56</v>
      </c>
      <c r="S18" s="12" t="n">
        <v>131</v>
      </c>
      <c r="T18" s="12" t="n">
        <v>72</v>
      </c>
      <c r="U18" s="12" t="n">
        <v>32</v>
      </c>
      <c r="V18" s="12" t="n">
        <v>120</v>
      </c>
      <c r="W18" s="12" t="n">
        <v>46</v>
      </c>
      <c r="X18" s="12" t="n">
        <v>131</v>
      </c>
      <c r="Y18" s="12" t="n">
        <v>169</v>
      </c>
      <c r="Z18" s="12" t="n">
        <v>83</v>
      </c>
      <c r="AA18" s="12" t="n">
        <v>58</v>
      </c>
      <c r="AB18" s="12" t="n">
        <v>127</v>
      </c>
      <c r="AC18" s="12" t="n">
        <v>166</v>
      </c>
      <c r="AD18" s="12" t="n">
        <v>167</v>
      </c>
      <c r="AE18" s="12" t="n">
        <v>117</v>
      </c>
      <c r="AF18" s="12" t="n">
        <v>101</v>
      </c>
    </row>
    <row r="19">
      <c r="A19" s="20" t="n"/>
      <c r="B19" s="13" t="inlineStr">
        <is>
          <t>Fairly negative</t>
        </is>
      </c>
      <c r="C19" s="14" t="n">
        <v>0.13</v>
      </c>
      <c r="D19" s="14" t="n">
        <v>0.14</v>
      </c>
      <c r="E19" s="14" t="n">
        <v>0.16</v>
      </c>
      <c r="F19" s="14" t="n">
        <v>0.17</v>
      </c>
      <c r="G19" s="14" t="n">
        <v>0.06</v>
      </c>
      <c r="H19" s="14" t="n">
        <v>0.13</v>
      </c>
      <c r="I19" s="14" t="n">
        <v>0.14</v>
      </c>
      <c r="J19" s="14" t="n">
        <v>0.17</v>
      </c>
      <c r="K19" s="14" t="n">
        <v>0.11</v>
      </c>
      <c r="L19" s="14" t="n">
        <v>0.07000000000000001</v>
      </c>
      <c r="M19" s="14" t="n">
        <v>0.19</v>
      </c>
      <c r="N19" s="14" t="n">
        <v>0.11</v>
      </c>
      <c r="O19" s="14" t="n">
        <v>0.17</v>
      </c>
      <c r="P19" s="14" t="n">
        <v>0.09</v>
      </c>
      <c r="Q19" s="14" t="n">
        <v>0.14</v>
      </c>
      <c r="R19" s="14" t="n">
        <v>0.11</v>
      </c>
      <c r="S19" s="14" t="n">
        <v>0.13</v>
      </c>
      <c r="T19" s="14" t="n">
        <v>0.07000000000000001</v>
      </c>
      <c r="U19" s="14" t="n">
        <v>0.06</v>
      </c>
      <c r="V19" s="14" t="n">
        <v>0.12</v>
      </c>
      <c r="W19" s="14" t="n">
        <v>0.09</v>
      </c>
      <c r="X19" s="14" t="n">
        <v>0.13</v>
      </c>
      <c r="Y19" s="14" t="n">
        <v>0.17</v>
      </c>
      <c r="Z19" s="14" t="n">
        <v>0.08</v>
      </c>
      <c r="AA19" s="14" t="n">
        <v>0.06</v>
      </c>
      <c r="AB19" s="14" t="n">
        <v>0.12</v>
      </c>
      <c r="AC19" s="14" t="n">
        <v>0.16</v>
      </c>
      <c r="AD19" s="14" t="n">
        <v>0.17</v>
      </c>
      <c r="AE19" s="14" t="n">
        <v>0.11</v>
      </c>
      <c r="AF19" s="14" t="n">
        <v>0.1</v>
      </c>
    </row>
    <row r="20">
      <c r="A20" s="20" t="n"/>
      <c r="B20" s="11" t="inlineStr">
        <is>
          <t>Très négative</t>
        </is>
      </c>
      <c r="C20" s="12" t="n">
        <v>967</v>
      </c>
      <c r="D20" s="12" t="n">
        <v>29</v>
      </c>
      <c r="E20" s="12" t="n">
        <v>79</v>
      </c>
      <c r="F20" s="12" t="n">
        <v>67</v>
      </c>
      <c r="G20" s="12" t="n">
        <v>16</v>
      </c>
      <c r="H20" s="12" t="n">
        <v>37</v>
      </c>
      <c r="I20" s="12" t="n">
        <v>58</v>
      </c>
      <c r="J20" s="12" t="n">
        <v>21</v>
      </c>
      <c r="K20" s="12" t="n">
        <v>42</v>
      </c>
      <c r="L20" s="12" t="n">
        <v>21</v>
      </c>
      <c r="M20" s="12" t="n">
        <v>118</v>
      </c>
      <c r="N20" s="12" t="n">
        <v>27</v>
      </c>
      <c r="O20" s="12" t="n">
        <v>54</v>
      </c>
      <c r="P20" s="12" t="n">
        <v>51</v>
      </c>
      <c r="Q20" s="12" t="n">
        <v>19</v>
      </c>
      <c r="R20" s="12" t="n">
        <v>26</v>
      </c>
      <c r="S20" s="12" t="n">
        <v>29</v>
      </c>
      <c r="T20" s="12" t="n">
        <v>9</v>
      </c>
      <c r="U20" s="12" t="n">
        <v>22</v>
      </c>
      <c r="V20" s="12" t="n">
        <v>33</v>
      </c>
      <c r="W20" s="12" t="n">
        <v>13</v>
      </c>
      <c r="X20" s="12" t="n">
        <v>40</v>
      </c>
      <c r="Y20" s="12" t="n">
        <v>58</v>
      </c>
      <c r="Z20" s="12" t="n">
        <v>23</v>
      </c>
      <c r="AA20" s="12" t="n">
        <v>5</v>
      </c>
      <c r="AB20" s="12" t="n">
        <v>48</v>
      </c>
      <c r="AC20" s="12" t="n">
        <v>39</v>
      </c>
      <c r="AD20" s="12" t="n">
        <v>41</v>
      </c>
      <c r="AE20" s="12" t="n">
        <v>19</v>
      </c>
      <c r="AF20" s="12" t="n">
        <v>16</v>
      </c>
    </row>
    <row r="21">
      <c r="A21" s="20" t="n"/>
      <c r="B21" s="13" t="inlineStr">
        <is>
          <t>Very negative</t>
        </is>
      </c>
      <c r="C21" s="14" t="n">
        <v>0.04</v>
      </c>
      <c r="D21" s="14" t="n">
        <v>0.03</v>
      </c>
      <c r="E21" s="14" t="n">
        <v>0.08</v>
      </c>
      <c r="F21" s="14" t="n">
        <v>0.07000000000000001</v>
      </c>
      <c r="G21" s="14" t="n">
        <v>0.02</v>
      </c>
      <c r="H21" s="14" t="n">
        <v>0.03</v>
      </c>
      <c r="I21" s="14" t="n">
        <v>0.04</v>
      </c>
      <c r="J21" s="14" t="n">
        <v>0.07000000000000001</v>
      </c>
      <c r="K21" s="14" t="n">
        <v>0.04</v>
      </c>
      <c r="L21" s="14" t="n">
        <v>0.02</v>
      </c>
      <c r="M21" s="14" t="n">
        <v>0.12</v>
      </c>
      <c r="N21" s="14" t="n">
        <v>0.03</v>
      </c>
      <c r="O21" s="14" t="n">
        <v>0.05</v>
      </c>
      <c r="P21" s="14" t="n">
        <v>0.05</v>
      </c>
      <c r="Q21" s="14" t="n">
        <v>0.02</v>
      </c>
      <c r="R21" s="14" t="n">
        <v>0.05</v>
      </c>
      <c r="S21" s="14" t="n">
        <v>0.03</v>
      </c>
      <c r="T21" s="14" t="n">
        <v>0.01</v>
      </c>
      <c r="U21" s="14" t="n">
        <v>0.04</v>
      </c>
      <c r="V21" s="14" t="n">
        <v>0.03</v>
      </c>
      <c r="W21" s="14" t="n">
        <v>0.03</v>
      </c>
      <c r="X21" s="14" t="n">
        <v>0.04</v>
      </c>
      <c r="Y21" s="14" t="n">
        <v>0.06</v>
      </c>
      <c r="Z21" s="14" t="n">
        <v>0.02</v>
      </c>
      <c r="AA21" s="15" t="inlineStr">
        <is>
          <t>-</t>
        </is>
      </c>
      <c r="AB21" s="14" t="n">
        <v>0.05</v>
      </c>
      <c r="AC21" s="14" t="n">
        <v>0.04</v>
      </c>
      <c r="AD21" s="14" t="n">
        <v>0.04</v>
      </c>
      <c r="AE21" s="14" t="n">
        <v>0.02</v>
      </c>
      <c r="AF21" s="14" t="n">
        <v>0.01</v>
      </c>
    </row>
    <row r="22">
      <c r="A22" s="20" t="n"/>
      <c r="B22" s="11" t="inlineStr">
        <is>
          <t>Ne sait pas</t>
        </is>
      </c>
      <c r="C22" s="12" t="n">
        <v>122</v>
      </c>
      <c r="D22" s="12" t="n">
        <v>3</v>
      </c>
      <c r="E22" s="12" t="n">
        <v>7</v>
      </c>
      <c r="F22" s="12" t="n">
        <v>3</v>
      </c>
      <c r="G22" s="12" t="n">
        <v>5</v>
      </c>
      <c r="H22" s="12" t="n">
        <v>4</v>
      </c>
      <c r="I22" s="12" t="n">
        <v>4</v>
      </c>
      <c r="J22" s="12" t="n">
        <v>0</v>
      </c>
      <c r="K22" s="12" t="n">
        <v>8</v>
      </c>
      <c r="L22" s="12" t="n">
        <v>9</v>
      </c>
      <c r="M22" s="12" t="n">
        <v>8</v>
      </c>
      <c r="N22" s="12" t="n">
        <v>13</v>
      </c>
      <c r="O22" s="12" t="n">
        <v>5</v>
      </c>
      <c r="P22" s="12" t="n">
        <v>3</v>
      </c>
      <c r="Q22" s="12" t="n">
        <v>1</v>
      </c>
      <c r="R22" s="12" t="n">
        <v>4</v>
      </c>
      <c r="S22" s="12" t="n">
        <v>2</v>
      </c>
      <c r="T22" s="12" t="n">
        <v>11</v>
      </c>
      <c r="U22" s="12" t="n">
        <v>2</v>
      </c>
      <c r="V22" s="12" t="n">
        <v>3</v>
      </c>
      <c r="W22" s="12" t="n">
        <v>3</v>
      </c>
      <c r="X22" s="12" t="n">
        <v>1</v>
      </c>
      <c r="Y22" s="12" t="n">
        <v>3</v>
      </c>
      <c r="Z22" s="12" t="n">
        <v>0</v>
      </c>
      <c r="AA22" s="12" t="n">
        <v>6</v>
      </c>
      <c r="AB22" s="12" t="n">
        <v>14</v>
      </c>
      <c r="AC22" s="12" t="n">
        <v>12</v>
      </c>
      <c r="AD22" s="12" t="n">
        <v>1</v>
      </c>
      <c r="AE22" s="12" t="n">
        <v>7</v>
      </c>
      <c r="AF22" s="12" t="n">
        <v>4</v>
      </c>
    </row>
    <row r="23">
      <c r="A23" s="23" t="n"/>
      <c r="B23" s="13" t="inlineStr">
        <is>
          <t>Don't know</t>
        </is>
      </c>
      <c r="C23" s="15" t="inlineStr">
        <is>
          <t>-</t>
        </is>
      </c>
      <c r="D23" s="14" t="n">
        <v>0.01</v>
      </c>
      <c r="E23" s="14" t="n">
        <v>0.01</v>
      </c>
      <c r="F23" s="15" t="inlineStr">
        <is>
          <t>-</t>
        </is>
      </c>
      <c r="G23" s="14" t="n">
        <v>0.01</v>
      </c>
      <c r="H23" s="15" t="inlineStr">
        <is>
          <t>-</t>
        </is>
      </c>
      <c r="I23" s="15" t="inlineStr">
        <is>
          <t>-</t>
        </is>
      </c>
      <c r="J23" s="15" t="inlineStr">
        <is>
          <t>-</t>
        </is>
      </c>
      <c r="K23" s="14" t="n">
        <v>0.01</v>
      </c>
      <c r="L23" s="14" t="n">
        <v>0.01</v>
      </c>
      <c r="M23" s="14" t="n">
        <v>0.01</v>
      </c>
      <c r="N23" s="14" t="n">
        <v>0.01</v>
      </c>
      <c r="O23" s="14" t="n">
        <v>0.01</v>
      </c>
      <c r="P23" s="15" t="inlineStr">
        <is>
          <t>-</t>
        </is>
      </c>
      <c r="Q23" s="15" t="inlineStr">
        <is>
          <t>-</t>
        </is>
      </c>
      <c r="R23" s="14" t="n">
        <v>0.01</v>
      </c>
      <c r="S23" s="15" t="inlineStr">
        <is>
          <t>-</t>
        </is>
      </c>
      <c r="T23" s="14" t="n">
        <v>0.01</v>
      </c>
      <c r="U23" s="15" t="inlineStr">
        <is>
          <t>-</t>
        </is>
      </c>
      <c r="V23" s="14" t="n">
        <v>0.01</v>
      </c>
      <c r="W23" s="14" t="n">
        <v>0.01</v>
      </c>
      <c r="X23" s="15" t="inlineStr">
        <is>
          <t>-</t>
        </is>
      </c>
      <c r="Y23" s="15" t="inlineStr">
        <is>
          <t>-</t>
        </is>
      </c>
      <c r="Z23" s="15" t="inlineStr">
        <is>
          <t>-</t>
        </is>
      </c>
      <c r="AA23" s="14" t="n">
        <v>0.01</v>
      </c>
      <c r="AB23" s="14" t="n">
        <v>0.01</v>
      </c>
      <c r="AC23" s="14" t="n">
        <v>0.01</v>
      </c>
      <c r="AD23" s="15" t="inlineStr">
        <is>
          <t>-</t>
        </is>
      </c>
      <c r="AE23" s="14" t="n">
        <v>0.01</v>
      </c>
      <c r="AF23" s="15" t="inlineStr">
        <is>
          <t>-</t>
        </is>
      </c>
    </row>
    <row r="24">
      <c r="A24" s="19" t="n"/>
      <c r="B24" s="11" t="inlineStr">
        <is>
          <t>Total 'Positive'</t>
        </is>
      </c>
      <c r="C24" s="12" t="n">
        <v>13234</v>
      </c>
      <c r="D24" s="12" t="n">
        <v>523</v>
      </c>
      <c r="E24" s="12" t="n">
        <v>509</v>
      </c>
      <c r="F24" s="12" t="n">
        <v>359</v>
      </c>
      <c r="G24" s="12" t="n">
        <v>697</v>
      </c>
      <c r="H24" s="12" t="n">
        <v>619</v>
      </c>
      <c r="I24" s="12" t="n">
        <v>720</v>
      </c>
      <c r="J24" s="12" t="n">
        <v>101</v>
      </c>
      <c r="K24" s="12" t="n">
        <v>483</v>
      </c>
      <c r="L24" s="12" t="n">
        <v>628</v>
      </c>
      <c r="M24" s="12" t="n">
        <v>371</v>
      </c>
      <c r="N24" s="12" t="n">
        <v>509</v>
      </c>
      <c r="O24" s="12" t="n">
        <v>424</v>
      </c>
      <c r="P24" s="12" t="n">
        <v>528</v>
      </c>
      <c r="Q24" s="12" t="n">
        <v>540</v>
      </c>
      <c r="R24" s="12" t="n">
        <v>243</v>
      </c>
      <c r="S24" s="12" t="n">
        <v>456</v>
      </c>
      <c r="T24" s="12" t="n">
        <v>583</v>
      </c>
      <c r="U24" s="12" t="n">
        <v>322</v>
      </c>
      <c r="V24" s="12" t="n">
        <v>535</v>
      </c>
      <c r="W24" s="12" t="n">
        <v>253</v>
      </c>
      <c r="X24" s="12" t="n">
        <v>574</v>
      </c>
      <c r="Y24" s="12" t="n">
        <v>422</v>
      </c>
      <c r="Z24" s="12" t="n">
        <v>558</v>
      </c>
      <c r="AA24" s="12" t="n">
        <v>695</v>
      </c>
      <c r="AB24" s="12" t="n">
        <v>552</v>
      </c>
      <c r="AC24" s="12" t="n">
        <v>456</v>
      </c>
      <c r="AD24" s="12" t="n">
        <v>480</v>
      </c>
      <c r="AE24" s="12" t="n">
        <v>565</v>
      </c>
      <c r="AF24" s="12" t="n">
        <v>732</v>
      </c>
    </row>
    <row r="25">
      <c r="A25" s="20" t="n"/>
      <c r="B25" s="13" t="inlineStr">
        <is>
          <t>Total 'Positive'</t>
        </is>
      </c>
      <c r="C25" s="14" t="n">
        <v>0.5</v>
      </c>
      <c r="D25" s="14" t="n">
        <v>0.51</v>
      </c>
      <c r="E25" s="14" t="n">
        <v>0.5</v>
      </c>
      <c r="F25" s="14" t="n">
        <v>0.34</v>
      </c>
      <c r="G25" s="14" t="n">
        <v>0.6900000000000001</v>
      </c>
      <c r="H25" s="14" t="n">
        <v>0.51</v>
      </c>
      <c r="I25" s="14" t="n">
        <v>0.48</v>
      </c>
      <c r="J25" s="14" t="n">
        <v>0.34</v>
      </c>
      <c r="K25" s="14" t="n">
        <v>0.48</v>
      </c>
      <c r="L25" s="14" t="n">
        <v>0.62</v>
      </c>
      <c r="M25" s="14" t="n">
        <v>0.37</v>
      </c>
      <c r="N25" s="14" t="n">
        <v>0.51</v>
      </c>
      <c r="O25" s="14" t="n">
        <v>0.42</v>
      </c>
      <c r="P25" s="14" t="n">
        <v>0.53</v>
      </c>
      <c r="Q25" s="14" t="n">
        <v>0.52</v>
      </c>
      <c r="R25" s="14" t="n">
        <v>0.48</v>
      </c>
      <c r="S25" s="14" t="n">
        <v>0.45</v>
      </c>
      <c r="T25" s="14" t="n">
        <v>0.5700000000000001</v>
      </c>
      <c r="U25" s="14" t="n">
        <v>0.64</v>
      </c>
      <c r="V25" s="14" t="n">
        <v>0.52</v>
      </c>
      <c r="W25" s="14" t="n">
        <v>0.5</v>
      </c>
      <c r="X25" s="14" t="n">
        <v>0.5600000000000001</v>
      </c>
      <c r="Y25" s="14" t="n">
        <v>0.42</v>
      </c>
      <c r="Z25" s="14" t="n">
        <v>0.55</v>
      </c>
      <c r="AA25" s="14" t="n">
        <v>0.67</v>
      </c>
      <c r="AB25" s="14" t="n">
        <v>0.53</v>
      </c>
      <c r="AC25" s="14" t="n">
        <v>0.46</v>
      </c>
      <c r="AD25" s="14" t="n">
        <v>0.48</v>
      </c>
      <c r="AE25" s="14" t="n">
        <v>0.5600000000000001</v>
      </c>
      <c r="AF25" s="14" t="n">
        <v>0.71</v>
      </c>
    </row>
    <row r="26">
      <c r="A26" s="20" t="n"/>
      <c r="B26" s="11" t="inlineStr">
        <is>
          <t>Neutre</t>
        </is>
      </c>
      <c r="C26" s="12" t="n">
        <v>8618</v>
      </c>
      <c r="D26" s="12" t="n">
        <v>320</v>
      </c>
      <c r="E26" s="12" t="n">
        <v>254</v>
      </c>
      <c r="F26" s="12" t="n">
        <v>440</v>
      </c>
      <c r="G26" s="12" t="n">
        <v>225</v>
      </c>
      <c r="H26" s="12" t="n">
        <v>397</v>
      </c>
      <c r="I26" s="12" t="n">
        <v>520</v>
      </c>
      <c r="J26" s="12" t="n">
        <v>123</v>
      </c>
      <c r="K26" s="12" t="n">
        <v>358</v>
      </c>
      <c r="L26" s="12" t="n">
        <v>280</v>
      </c>
      <c r="M26" s="12" t="n">
        <v>318</v>
      </c>
      <c r="N26" s="12" t="n">
        <v>340</v>
      </c>
      <c r="O26" s="12" t="n">
        <v>359</v>
      </c>
      <c r="P26" s="12" t="n">
        <v>335</v>
      </c>
      <c r="Q26" s="12" t="n">
        <v>328</v>
      </c>
      <c r="R26" s="12" t="n">
        <v>175</v>
      </c>
      <c r="S26" s="12" t="n">
        <v>388</v>
      </c>
      <c r="T26" s="12" t="n">
        <v>342</v>
      </c>
      <c r="U26" s="12" t="n">
        <v>130</v>
      </c>
      <c r="V26" s="12" t="n">
        <v>328</v>
      </c>
      <c r="W26" s="12" t="n">
        <v>190</v>
      </c>
      <c r="X26" s="12" t="n">
        <v>278</v>
      </c>
      <c r="Y26" s="12" t="n">
        <v>351</v>
      </c>
      <c r="Z26" s="12" t="n">
        <v>356</v>
      </c>
      <c r="AA26" s="12" t="n">
        <v>268</v>
      </c>
      <c r="AB26" s="12" t="n">
        <v>303</v>
      </c>
      <c r="AC26" s="12" t="n">
        <v>334</v>
      </c>
      <c r="AD26" s="12" t="n">
        <v>312</v>
      </c>
      <c r="AE26" s="12" t="n">
        <v>308</v>
      </c>
      <c r="AF26" s="12" t="n">
        <v>185</v>
      </c>
    </row>
    <row r="27">
      <c r="A27" s="20" t="n"/>
      <c r="B27" s="13" t="inlineStr">
        <is>
          <t>Neutral</t>
        </is>
      </c>
      <c r="C27" s="14" t="n">
        <v>0.33</v>
      </c>
      <c r="D27" s="14" t="n">
        <v>0.31</v>
      </c>
      <c r="E27" s="14" t="n">
        <v>0.25</v>
      </c>
      <c r="F27" s="14" t="n">
        <v>0.42</v>
      </c>
      <c r="G27" s="14" t="n">
        <v>0.22</v>
      </c>
      <c r="H27" s="14" t="n">
        <v>0.33</v>
      </c>
      <c r="I27" s="14" t="n">
        <v>0.34</v>
      </c>
      <c r="J27" s="14" t="n">
        <v>0.42</v>
      </c>
      <c r="K27" s="14" t="n">
        <v>0.36</v>
      </c>
      <c r="L27" s="14" t="n">
        <v>0.28</v>
      </c>
      <c r="M27" s="14" t="n">
        <v>0.31</v>
      </c>
      <c r="N27" s="14" t="n">
        <v>0.34</v>
      </c>
      <c r="O27" s="14" t="n">
        <v>0.35</v>
      </c>
      <c r="P27" s="14" t="n">
        <v>0.33</v>
      </c>
      <c r="Q27" s="14" t="n">
        <v>0.32</v>
      </c>
      <c r="R27" s="14" t="n">
        <v>0.35</v>
      </c>
      <c r="S27" s="14" t="n">
        <v>0.39</v>
      </c>
      <c r="T27" s="14" t="n">
        <v>0.34</v>
      </c>
      <c r="U27" s="14" t="n">
        <v>0.26</v>
      </c>
      <c r="V27" s="14" t="n">
        <v>0.32</v>
      </c>
      <c r="W27" s="14" t="n">
        <v>0.37</v>
      </c>
      <c r="X27" s="14" t="n">
        <v>0.27</v>
      </c>
      <c r="Y27" s="14" t="n">
        <v>0.35</v>
      </c>
      <c r="Z27" s="14" t="n">
        <v>0.35</v>
      </c>
      <c r="AA27" s="14" t="n">
        <v>0.26</v>
      </c>
      <c r="AB27" s="14" t="n">
        <v>0.29</v>
      </c>
      <c r="AC27" s="14" t="n">
        <v>0.33</v>
      </c>
      <c r="AD27" s="14" t="n">
        <v>0.31</v>
      </c>
      <c r="AE27" s="14" t="n">
        <v>0.3</v>
      </c>
      <c r="AF27" s="14" t="n">
        <v>0.18</v>
      </c>
    </row>
    <row r="28">
      <c r="A28" s="20" t="n"/>
      <c r="B28" s="11" t="inlineStr">
        <is>
          <t>Total 'Negative'</t>
        </is>
      </c>
      <c r="C28" s="12" t="n">
        <v>4446</v>
      </c>
      <c r="D28" s="12" t="n">
        <v>174</v>
      </c>
      <c r="E28" s="12" t="n">
        <v>243</v>
      </c>
      <c r="F28" s="12" t="n">
        <v>247</v>
      </c>
      <c r="G28" s="12" t="n">
        <v>81</v>
      </c>
      <c r="H28" s="12" t="n">
        <v>194</v>
      </c>
      <c r="I28" s="12" t="n">
        <v>263</v>
      </c>
      <c r="J28" s="12" t="n">
        <v>69</v>
      </c>
      <c r="K28" s="12" t="n">
        <v>156</v>
      </c>
      <c r="L28" s="12" t="n">
        <v>93</v>
      </c>
      <c r="M28" s="12" t="n">
        <v>310</v>
      </c>
      <c r="N28" s="12" t="n">
        <v>144</v>
      </c>
      <c r="O28" s="12" t="n">
        <v>229</v>
      </c>
      <c r="P28" s="12" t="n">
        <v>141</v>
      </c>
      <c r="Q28" s="12" t="n">
        <v>160</v>
      </c>
      <c r="R28" s="12" t="n">
        <v>82</v>
      </c>
      <c r="S28" s="12" t="n">
        <v>160</v>
      </c>
      <c r="T28" s="12" t="n">
        <v>81</v>
      </c>
      <c r="U28" s="12" t="n">
        <v>54</v>
      </c>
      <c r="V28" s="12" t="n">
        <v>153</v>
      </c>
      <c r="W28" s="12" t="n">
        <v>59</v>
      </c>
      <c r="X28" s="12" t="n">
        <v>171</v>
      </c>
      <c r="Y28" s="12" t="n">
        <v>227</v>
      </c>
      <c r="Z28" s="12" t="n">
        <v>106</v>
      </c>
      <c r="AA28" s="12" t="n">
        <v>63</v>
      </c>
      <c r="AB28" s="12" t="n">
        <v>175</v>
      </c>
      <c r="AC28" s="12" t="n">
        <v>205</v>
      </c>
      <c r="AD28" s="12" t="n">
        <v>208</v>
      </c>
      <c r="AE28" s="12" t="n">
        <v>136</v>
      </c>
      <c r="AF28" s="12" t="n">
        <v>117</v>
      </c>
    </row>
    <row r="29">
      <c r="A29" s="23" t="n"/>
      <c r="B29" s="13" t="inlineStr">
        <is>
          <t>Total 'Negative'</t>
        </is>
      </c>
      <c r="C29" s="14" t="n">
        <v>0.17</v>
      </c>
      <c r="D29" s="14" t="n">
        <v>0.17</v>
      </c>
      <c r="E29" s="14" t="n">
        <v>0.24</v>
      </c>
      <c r="F29" s="14" t="n">
        <v>0.24</v>
      </c>
      <c r="G29" s="14" t="n">
        <v>0.08</v>
      </c>
      <c r="H29" s="14" t="n">
        <v>0.16</v>
      </c>
      <c r="I29" s="14" t="n">
        <v>0.18</v>
      </c>
      <c r="J29" s="14" t="n">
        <v>0.24</v>
      </c>
      <c r="K29" s="14" t="n">
        <v>0.15</v>
      </c>
      <c r="L29" s="14" t="n">
        <v>0.09</v>
      </c>
      <c r="M29" s="14" t="n">
        <v>0.31</v>
      </c>
      <c r="N29" s="14" t="n">
        <v>0.14</v>
      </c>
      <c r="O29" s="14" t="n">
        <v>0.22</v>
      </c>
      <c r="P29" s="14" t="n">
        <v>0.14</v>
      </c>
      <c r="Q29" s="14" t="n">
        <v>0.16</v>
      </c>
      <c r="R29" s="14" t="n">
        <v>0.16</v>
      </c>
      <c r="S29" s="14" t="n">
        <v>0.16</v>
      </c>
      <c r="T29" s="14" t="n">
        <v>0.08</v>
      </c>
      <c r="U29" s="14" t="n">
        <v>0.1</v>
      </c>
      <c r="V29" s="14" t="n">
        <v>0.15</v>
      </c>
      <c r="W29" s="14" t="n">
        <v>0.12</v>
      </c>
      <c r="X29" s="14" t="n">
        <v>0.17</v>
      </c>
      <c r="Y29" s="14" t="n">
        <v>0.23</v>
      </c>
      <c r="Z29" s="14" t="n">
        <v>0.1</v>
      </c>
      <c r="AA29" s="14" t="n">
        <v>0.06</v>
      </c>
      <c r="AB29" s="14" t="n">
        <v>0.17</v>
      </c>
      <c r="AC29" s="14" t="n">
        <v>0.2</v>
      </c>
      <c r="AD29" s="14" t="n">
        <v>0.21</v>
      </c>
      <c r="AE29" s="14" t="n">
        <v>0.13</v>
      </c>
      <c r="AF29" s="14" t="n">
        <v>0.11</v>
      </c>
    </row>
  </sheetData>
  <mergeCells count="10">
    <mergeCell ref="B4:F4"/>
    <mergeCell ref="H3:L3"/>
    <mergeCell ref="C8:AF8"/>
    <mergeCell ref="B3:F3"/>
    <mergeCell ref="B5:F5"/>
    <mergeCell ref="A24:A29"/>
    <mergeCell ref="H5:L5"/>
    <mergeCell ref="B10:B11"/>
    <mergeCell ref="H4:L4"/>
    <mergeCell ref="A10:A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24" customHeight="1" s="18">
      <c r="B3" s="21" t="inlineStr">
        <is>
          <t>QA4. Tout bien considéré, estimez-vous que (NOTRE PAYS) a bénéficié ou non de son appartenance à l'Union européenne ?</t>
        </is>
      </c>
      <c r="H3" s="21" t="inlineStr">
        <is>
          <t>QA4. Taking everything into account, would you say that (OUR COUNTRY) has on balance benefited or not from being a member of the EU?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HYPERLINK("#Content!A11","&lt;&lt;Back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Bénéficié</t>
        </is>
      </c>
      <c r="C12" s="12" t="n">
        <v>19443</v>
      </c>
      <c r="D12" s="12" t="n">
        <v>772</v>
      </c>
      <c r="E12" s="12" t="n">
        <v>580</v>
      </c>
      <c r="F12" s="12" t="n">
        <v>693</v>
      </c>
      <c r="G12" s="12" t="n">
        <v>914</v>
      </c>
      <c r="H12" s="12" t="n">
        <v>930</v>
      </c>
      <c r="I12" s="12" t="n">
        <v>1108</v>
      </c>
      <c r="J12" s="12" t="n">
        <v>178</v>
      </c>
      <c r="K12" s="12" t="n">
        <v>808</v>
      </c>
      <c r="L12" s="12" t="n">
        <v>895</v>
      </c>
      <c r="M12" s="12" t="n">
        <v>634</v>
      </c>
      <c r="N12" s="12" t="n">
        <v>798</v>
      </c>
      <c r="O12" s="12" t="n">
        <v>634</v>
      </c>
      <c r="P12" s="12" t="n">
        <v>821</v>
      </c>
      <c r="Q12" s="12" t="n">
        <v>696</v>
      </c>
      <c r="R12" s="12" t="n">
        <v>385</v>
      </c>
      <c r="S12" s="12" t="n">
        <v>721</v>
      </c>
      <c r="T12" s="12" t="n">
        <v>900</v>
      </c>
      <c r="U12" s="12" t="n">
        <v>460</v>
      </c>
      <c r="V12" s="12" t="n">
        <v>823</v>
      </c>
      <c r="W12" s="12" t="n">
        <v>475</v>
      </c>
      <c r="X12" s="12" t="n">
        <v>818</v>
      </c>
      <c r="Y12" s="12" t="n">
        <v>622</v>
      </c>
      <c r="Z12" s="12" t="n">
        <v>881</v>
      </c>
      <c r="AA12" s="12" t="n">
        <v>932</v>
      </c>
      <c r="AB12" s="12" t="n">
        <v>758</v>
      </c>
      <c r="AC12" s="12" t="n">
        <v>803</v>
      </c>
      <c r="AD12" s="12" t="n">
        <v>814</v>
      </c>
      <c r="AE12" s="12" t="n">
        <v>769</v>
      </c>
      <c r="AF12" s="12" t="n">
        <v>814</v>
      </c>
    </row>
    <row r="13">
      <c r="A13" s="20" t="n"/>
      <c r="B13" s="13" t="inlineStr">
        <is>
          <t>Benefited</t>
        </is>
      </c>
      <c r="C13" s="14" t="n">
        <v>0.74</v>
      </c>
      <c r="D13" s="14" t="n">
        <v>0.76</v>
      </c>
      <c r="E13" s="14" t="n">
        <v>0.5700000000000001</v>
      </c>
      <c r="F13" s="14" t="n">
        <v>0.66</v>
      </c>
      <c r="G13" s="14" t="n">
        <v>0.91</v>
      </c>
      <c r="H13" s="14" t="n">
        <v>0.77</v>
      </c>
      <c r="I13" s="14" t="n">
        <v>0.74</v>
      </c>
      <c r="J13" s="14" t="n">
        <v>0.6</v>
      </c>
      <c r="K13" s="14" t="n">
        <v>0.8</v>
      </c>
      <c r="L13" s="14" t="n">
        <v>0.89</v>
      </c>
      <c r="M13" s="14" t="n">
        <v>0.63</v>
      </c>
      <c r="N13" s="14" t="n">
        <v>0.79</v>
      </c>
      <c r="O13" s="14" t="n">
        <v>0.62</v>
      </c>
      <c r="P13" s="14" t="n">
        <v>0.8100000000000001</v>
      </c>
      <c r="Q13" s="14" t="n">
        <v>0.68</v>
      </c>
      <c r="R13" s="14" t="n">
        <v>0.77</v>
      </c>
      <c r="S13" s="14" t="n">
        <v>0.72</v>
      </c>
      <c r="T13" s="14" t="n">
        <v>0.89</v>
      </c>
      <c r="U13" s="14" t="n">
        <v>0.91</v>
      </c>
      <c r="V13" s="14" t="n">
        <v>0.8100000000000001</v>
      </c>
      <c r="W13" s="14" t="n">
        <v>0.9400000000000001</v>
      </c>
      <c r="X13" s="14" t="n">
        <v>0.8</v>
      </c>
      <c r="Y13" s="14" t="n">
        <v>0.62</v>
      </c>
      <c r="Z13" s="14" t="n">
        <v>0.86</v>
      </c>
      <c r="AA13" s="14" t="n">
        <v>0.9</v>
      </c>
      <c r="AB13" s="14" t="n">
        <v>0.73</v>
      </c>
      <c r="AC13" s="14" t="n">
        <v>0.8</v>
      </c>
      <c r="AD13" s="14" t="n">
        <v>0.8100000000000001</v>
      </c>
      <c r="AE13" s="14" t="n">
        <v>0.76</v>
      </c>
      <c r="AF13" s="14" t="n">
        <v>0.79</v>
      </c>
    </row>
    <row r="14">
      <c r="A14" s="20" t="n"/>
      <c r="B14" s="11" t="inlineStr">
        <is>
          <t>Pas bénéficié</t>
        </is>
      </c>
      <c r="C14" s="12" t="n">
        <v>5646</v>
      </c>
      <c r="D14" s="12" t="n">
        <v>211</v>
      </c>
      <c r="E14" s="12" t="n">
        <v>327</v>
      </c>
      <c r="F14" s="12" t="n">
        <v>301</v>
      </c>
      <c r="G14" s="12" t="n">
        <v>51</v>
      </c>
      <c r="H14" s="12" t="n">
        <v>231</v>
      </c>
      <c r="I14" s="12" t="n">
        <v>339</v>
      </c>
      <c r="J14" s="12" t="n">
        <v>108</v>
      </c>
      <c r="K14" s="12" t="n">
        <v>133</v>
      </c>
      <c r="L14" s="12" t="n">
        <v>81</v>
      </c>
      <c r="M14" s="12" t="n">
        <v>324</v>
      </c>
      <c r="N14" s="12" t="n">
        <v>158</v>
      </c>
      <c r="O14" s="12" t="n">
        <v>286</v>
      </c>
      <c r="P14" s="12" t="n">
        <v>160</v>
      </c>
      <c r="Q14" s="12" t="n">
        <v>292</v>
      </c>
      <c r="R14" s="12" t="n">
        <v>92</v>
      </c>
      <c r="S14" s="12" t="n">
        <v>228</v>
      </c>
      <c r="T14" s="12" t="n">
        <v>72</v>
      </c>
      <c r="U14" s="12" t="n">
        <v>31</v>
      </c>
      <c r="V14" s="12" t="n">
        <v>167</v>
      </c>
      <c r="W14" s="12" t="n">
        <v>15</v>
      </c>
      <c r="X14" s="12" t="n">
        <v>176</v>
      </c>
      <c r="Y14" s="12" t="n">
        <v>331</v>
      </c>
      <c r="Z14" s="12" t="n">
        <v>99</v>
      </c>
      <c r="AA14" s="12" t="n">
        <v>73</v>
      </c>
      <c r="AB14" s="12" t="n">
        <v>243</v>
      </c>
      <c r="AC14" s="12" t="n">
        <v>167</v>
      </c>
      <c r="AD14" s="12" t="n">
        <v>158</v>
      </c>
      <c r="AE14" s="12" t="n">
        <v>170</v>
      </c>
      <c r="AF14" s="12" t="n">
        <v>166</v>
      </c>
    </row>
    <row r="15">
      <c r="A15" s="20" t="n"/>
      <c r="B15" s="13" t="inlineStr">
        <is>
          <t>Not benefited</t>
        </is>
      </c>
      <c r="C15" s="14" t="n">
        <v>0.21</v>
      </c>
      <c r="D15" s="14" t="n">
        <v>0.21</v>
      </c>
      <c r="E15" s="14" t="n">
        <v>0.32</v>
      </c>
      <c r="F15" s="14" t="n">
        <v>0.29</v>
      </c>
      <c r="G15" s="14" t="n">
        <v>0.05</v>
      </c>
      <c r="H15" s="14" t="n">
        <v>0.19</v>
      </c>
      <c r="I15" s="14" t="n">
        <v>0.22</v>
      </c>
      <c r="J15" s="14" t="n">
        <v>0.37</v>
      </c>
      <c r="K15" s="14" t="n">
        <v>0.13</v>
      </c>
      <c r="L15" s="14" t="n">
        <v>0.08</v>
      </c>
      <c r="M15" s="14" t="n">
        <v>0.32</v>
      </c>
      <c r="N15" s="14" t="n">
        <v>0.16</v>
      </c>
      <c r="O15" s="14" t="n">
        <v>0.28</v>
      </c>
      <c r="P15" s="14" t="n">
        <v>0.16</v>
      </c>
      <c r="Q15" s="14" t="n">
        <v>0.28</v>
      </c>
      <c r="R15" s="14" t="n">
        <v>0.18</v>
      </c>
      <c r="S15" s="14" t="n">
        <v>0.23</v>
      </c>
      <c r="T15" s="14" t="n">
        <v>0.07000000000000001</v>
      </c>
      <c r="U15" s="14" t="n">
        <v>0.06</v>
      </c>
      <c r="V15" s="14" t="n">
        <v>0.16</v>
      </c>
      <c r="W15" s="14" t="n">
        <v>0.03</v>
      </c>
      <c r="X15" s="14" t="n">
        <v>0.17</v>
      </c>
      <c r="Y15" s="14" t="n">
        <v>0.33</v>
      </c>
      <c r="Z15" s="14" t="n">
        <v>0.1</v>
      </c>
      <c r="AA15" s="14" t="n">
        <v>0.07000000000000001</v>
      </c>
      <c r="AB15" s="14" t="n">
        <v>0.23</v>
      </c>
      <c r="AC15" s="14" t="n">
        <v>0.16</v>
      </c>
      <c r="AD15" s="14" t="n">
        <v>0.16</v>
      </c>
      <c r="AE15" s="14" t="n">
        <v>0.17</v>
      </c>
      <c r="AF15" s="14" t="n">
        <v>0.16</v>
      </c>
    </row>
    <row r="16">
      <c r="A16" s="20" t="n"/>
      <c r="B16" s="11" t="inlineStr">
        <is>
          <t>Ne sait pas</t>
        </is>
      </c>
      <c r="C16" s="12" t="n">
        <v>1332</v>
      </c>
      <c r="D16" s="12" t="n">
        <v>37</v>
      </c>
      <c r="E16" s="12" t="n">
        <v>107</v>
      </c>
      <c r="F16" s="12" t="n">
        <v>55</v>
      </c>
      <c r="G16" s="12" t="n">
        <v>42</v>
      </c>
      <c r="H16" s="12" t="n">
        <v>53</v>
      </c>
      <c r="I16" s="12" t="n">
        <v>61</v>
      </c>
      <c r="J16" s="12" t="n">
        <v>8</v>
      </c>
      <c r="K16" s="12" t="n">
        <v>65</v>
      </c>
      <c r="L16" s="12" t="n">
        <v>34</v>
      </c>
      <c r="M16" s="12" t="n">
        <v>49</v>
      </c>
      <c r="N16" s="12" t="n">
        <v>50</v>
      </c>
      <c r="O16" s="12" t="n">
        <v>96</v>
      </c>
      <c r="P16" s="12" t="n">
        <v>27</v>
      </c>
      <c r="Q16" s="12" t="n">
        <v>41</v>
      </c>
      <c r="R16" s="12" t="n">
        <v>26</v>
      </c>
      <c r="S16" s="12" t="n">
        <v>57</v>
      </c>
      <c r="T16" s="12" t="n">
        <v>45</v>
      </c>
      <c r="U16" s="12" t="n">
        <v>17</v>
      </c>
      <c r="V16" s="12" t="n">
        <v>30</v>
      </c>
      <c r="W16" s="12" t="n">
        <v>15</v>
      </c>
      <c r="X16" s="12" t="n">
        <v>29</v>
      </c>
      <c r="Y16" s="12" t="n">
        <v>51</v>
      </c>
      <c r="Z16" s="12" t="n">
        <v>40</v>
      </c>
      <c r="AA16" s="12" t="n">
        <v>26</v>
      </c>
      <c r="AB16" s="12" t="n">
        <v>44</v>
      </c>
      <c r="AC16" s="12" t="n">
        <v>37</v>
      </c>
      <c r="AD16" s="12" t="n">
        <v>29</v>
      </c>
      <c r="AE16" s="12" t="n">
        <v>77</v>
      </c>
      <c r="AF16" s="12" t="n">
        <v>56</v>
      </c>
    </row>
    <row r="17">
      <c r="A17" s="23" t="n"/>
      <c r="B17" s="13" t="inlineStr">
        <is>
          <t>Don’t know</t>
        </is>
      </c>
      <c r="C17" s="14" t="n">
        <v>0.05</v>
      </c>
      <c r="D17" s="14" t="n">
        <v>0.03</v>
      </c>
      <c r="E17" s="14" t="n">
        <v>0.11</v>
      </c>
      <c r="F17" s="14" t="n">
        <v>0.05</v>
      </c>
      <c r="G17" s="14" t="n">
        <v>0.04</v>
      </c>
      <c r="H17" s="14" t="n">
        <v>0.04</v>
      </c>
      <c r="I17" s="14" t="n">
        <v>0.04</v>
      </c>
      <c r="J17" s="14" t="n">
        <v>0.03</v>
      </c>
      <c r="K17" s="14" t="n">
        <v>0.07000000000000001</v>
      </c>
      <c r="L17" s="14" t="n">
        <v>0.03</v>
      </c>
      <c r="M17" s="14" t="n">
        <v>0.05</v>
      </c>
      <c r="N17" s="14" t="n">
        <v>0.05</v>
      </c>
      <c r="O17" s="14" t="n">
        <v>0.1</v>
      </c>
      <c r="P17" s="14" t="n">
        <v>0.03</v>
      </c>
      <c r="Q17" s="14" t="n">
        <v>0.04</v>
      </c>
      <c r="R17" s="14" t="n">
        <v>0.05</v>
      </c>
      <c r="S17" s="14" t="n">
        <v>0.05</v>
      </c>
      <c r="T17" s="14" t="n">
        <v>0.04</v>
      </c>
      <c r="U17" s="14" t="n">
        <v>0.03</v>
      </c>
      <c r="V17" s="14" t="n">
        <v>0.03</v>
      </c>
      <c r="W17" s="14" t="n">
        <v>0.03</v>
      </c>
      <c r="X17" s="14" t="n">
        <v>0.03</v>
      </c>
      <c r="Y17" s="14" t="n">
        <v>0.05</v>
      </c>
      <c r="Z17" s="14" t="n">
        <v>0.04</v>
      </c>
      <c r="AA17" s="14" t="n">
        <v>0.03</v>
      </c>
      <c r="AB17" s="14" t="n">
        <v>0.04</v>
      </c>
      <c r="AC17" s="14" t="n">
        <v>0.04</v>
      </c>
      <c r="AD17" s="14" t="n">
        <v>0.03</v>
      </c>
      <c r="AE17" s="14" t="n">
        <v>0.07000000000000001</v>
      </c>
      <c r="AF17" s="14" t="n">
        <v>0.05</v>
      </c>
    </row>
  </sheetData>
  <mergeCells count="9">
    <mergeCell ref="B4:F4"/>
    <mergeCell ref="H3:L3"/>
    <mergeCell ref="C8:AF8"/>
    <mergeCell ref="B3:F3"/>
    <mergeCell ref="B5:F5"/>
    <mergeCell ref="H5:L5"/>
    <mergeCell ref="B10:B11"/>
    <mergeCell ref="A10:A17"/>
    <mergeCell ref="H4:L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48" customHeight="1" s="18">
      <c r="B3" s="21" t="inlineStr">
        <is>
          <t>QA5a. Que (NOTRE PAYS) ait bénéficié ou non selon vous de son appartenance à l'UE, parmi les raisons suivantes, quelles sont les principales raisons pour lesquelles les gens pensent que (NOTRE PAYS) a bénéficié de son appartenance à l'UE ? En premier ?</t>
        </is>
      </c>
      <c r="H3" s="21" t="inlineStr">
        <is>
          <t>QA5a. Regardless of whether you think (OUR COUNTRY) has benefited or not from being a member of the EU, which of the following are the main reasons why people think (OUR COUNTRY) has benefited from being a member of the EU? Firstly?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HYPERLINK("#Content!A12","&lt;&lt;Back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L’Union européenne contribue au maintien de la démocratie en (NOTRE PAYS)</t>
        </is>
      </c>
      <c r="C12" s="12" t="n">
        <v>1330</v>
      </c>
      <c r="D12" s="12" t="n">
        <v>57</v>
      </c>
      <c r="E12" s="12" t="n">
        <v>67</v>
      </c>
      <c r="F12" s="12" t="n">
        <v>57</v>
      </c>
      <c r="G12" s="12" t="n">
        <v>21</v>
      </c>
      <c r="H12" s="12" t="n">
        <v>48</v>
      </c>
      <c r="I12" s="12" t="n">
        <v>70</v>
      </c>
      <c r="J12" s="12" t="n">
        <v>22</v>
      </c>
      <c r="K12" s="12" t="n">
        <v>29</v>
      </c>
      <c r="L12" s="12" t="n">
        <v>23</v>
      </c>
      <c r="M12" s="12" t="n">
        <v>53</v>
      </c>
      <c r="N12" s="12" t="n">
        <v>48</v>
      </c>
      <c r="O12" s="12" t="n">
        <v>61</v>
      </c>
      <c r="P12" s="12" t="n">
        <v>57</v>
      </c>
      <c r="Q12" s="12" t="n">
        <v>44</v>
      </c>
      <c r="R12" s="12" t="n">
        <v>24</v>
      </c>
      <c r="S12" s="12" t="n">
        <v>46</v>
      </c>
      <c r="T12" s="12" t="n">
        <v>35</v>
      </c>
      <c r="U12" s="12" t="n">
        <v>23</v>
      </c>
      <c r="V12" s="12" t="n">
        <v>77</v>
      </c>
      <c r="W12" s="12" t="n">
        <v>35</v>
      </c>
      <c r="X12" s="12" t="n">
        <v>29</v>
      </c>
      <c r="Y12" s="12" t="n">
        <v>63</v>
      </c>
      <c r="Z12" s="12" t="n">
        <v>64</v>
      </c>
      <c r="AA12" s="12" t="n">
        <v>39</v>
      </c>
      <c r="AB12" s="12" t="n">
        <v>81</v>
      </c>
      <c r="AC12" s="12" t="n">
        <v>34</v>
      </c>
      <c r="AD12" s="12" t="n">
        <v>77</v>
      </c>
      <c r="AE12" s="12" t="n">
        <v>29</v>
      </c>
      <c r="AF12" s="12" t="n">
        <v>13</v>
      </c>
    </row>
    <row r="13">
      <c r="A13" s="20" t="n"/>
      <c r="B13" s="13" t="inlineStr">
        <is>
          <t>The EU contributes to maintaining democracy in (OUR COUNTRY)</t>
        </is>
      </c>
      <c r="C13" s="14" t="n">
        <v>0.05</v>
      </c>
      <c r="D13" s="14" t="n">
        <v>0.06</v>
      </c>
      <c r="E13" s="14" t="n">
        <v>0.07000000000000001</v>
      </c>
      <c r="F13" s="14" t="n">
        <v>0.05</v>
      </c>
      <c r="G13" s="14" t="n">
        <v>0.02</v>
      </c>
      <c r="H13" s="14" t="n">
        <v>0.04</v>
      </c>
      <c r="I13" s="14" t="n">
        <v>0.05</v>
      </c>
      <c r="J13" s="14" t="n">
        <v>0.08</v>
      </c>
      <c r="K13" s="14" t="n">
        <v>0.03</v>
      </c>
      <c r="L13" s="14" t="n">
        <v>0.02</v>
      </c>
      <c r="M13" s="14" t="n">
        <v>0.05</v>
      </c>
      <c r="N13" s="14" t="n">
        <v>0.05</v>
      </c>
      <c r="O13" s="14" t="n">
        <v>0.06</v>
      </c>
      <c r="P13" s="14" t="n">
        <v>0.06</v>
      </c>
      <c r="Q13" s="14" t="n">
        <v>0.04</v>
      </c>
      <c r="R13" s="14" t="n">
        <v>0.05</v>
      </c>
      <c r="S13" s="14" t="n">
        <v>0.05</v>
      </c>
      <c r="T13" s="14" t="n">
        <v>0.03</v>
      </c>
      <c r="U13" s="14" t="n">
        <v>0.04</v>
      </c>
      <c r="V13" s="14" t="n">
        <v>0.08</v>
      </c>
      <c r="W13" s="14" t="n">
        <v>0.07000000000000001</v>
      </c>
      <c r="X13" s="14" t="n">
        <v>0.03</v>
      </c>
      <c r="Y13" s="14" t="n">
        <v>0.06</v>
      </c>
      <c r="Z13" s="14" t="n">
        <v>0.06</v>
      </c>
      <c r="AA13" s="14" t="n">
        <v>0.04</v>
      </c>
      <c r="AB13" s="14" t="n">
        <v>0.08</v>
      </c>
      <c r="AC13" s="14" t="n">
        <v>0.03</v>
      </c>
      <c r="AD13" s="14" t="n">
        <v>0.08</v>
      </c>
      <c r="AE13" s="14" t="n">
        <v>0.03</v>
      </c>
      <c r="AF13" s="14" t="n">
        <v>0.01</v>
      </c>
    </row>
    <row r="14">
      <c r="A14" s="20" t="n"/>
      <c r="B14" s="11" t="inlineStr">
        <is>
          <t>L’Union européenne contribue à préserver la paix et à renforcer la sécurité</t>
        </is>
      </c>
      <c r="C14" s="12" t="n">
        <v>4884</v>
      </c>
      <c r="D14" s="12" t="n">
        <v>179</v>
      </c>
      <c r="E14" s="12" t="n">
        <v>135</v>
      </c>
      <c r="F14" s="12" t="n">
        <v>208</v>
      </c>
      <c r="G14" s="12" t="n">
        <v>211</v>
      </c>
      <c r="H14" s="12" t="n">
        <v>274</v>
      </c>
      <c r="I14" s="12" t="n">
        <v>332</v>
      </c>
      <c r="J14" s="12" t="n">
        <v>58</v>
      </c>
      <c r="K14" s="12" t="n">
        <v>171</v>
      </c>
      <c r="L14" s="12" t="n">
        <v>58</v>
      </c>
      <c r="M14" s="12" t="n">
        <v>216</v>
      </c>
      <c r="N14" s="12" t="n">
        <v>127</v>
      </c>
      <c r="O14" s="12" t="n">
        <v>230</v>
      </c>
      <c r="P14" s="12" t="n">
        <v>154</v>
      </c>
      <c r="Q14" s="12" t="n">
        <v>214</v>
      </c>
      <c r="R14" s="12" t="n">
        <v>125</v>
      </c>
      <c r="S14" s="12" t="n">
        <v>243</v>
      </c>
      <c r="T14" s="12" t="n">
        <v>178</v>
      </c>
      <c r="U14" s="12" t="n">
        <v>100</v>
      </c>
      <c r="V14" s="12" t="n">
        <v>130</v>
      </c>
      <c r="W14" s="12" t="n">
        <v>31</v>
      </c>
      <c r="X14" s="12" t="n">
        <v>232</v>
      </c>
      <c r="Y14" s="12" t="n">
        <v>167</v>
      </c>
      <c r="Z14" s="12" t="n">
        <v>162</v>
      </c>
      <c r="AA14" s="12" t="n">
        <v>80</v>
      </c>
      <c r="AB14" s="12" t="n">
        <v>112</v>
      </c>
      <c r="AC14" s="12" t="n">
        <v>165</v>
      </c>
      <c r="AD14" s="12" t="n">
        <v>119</v>
      </c>
      <c r="AE14" s="12" t="n">
        <v>188</v>
      </c>
      <c r="AF14" s="12" t="n">
        <v>215</v>
      </c>
    </row>
    <row r="15">
      <c r="A15" s="20" t="n"/>
      <c r="B15" s="13" t="inlineStr">
        <is>
          <t>The EU contributes to protecting peace and strengthening security</t>
        </is>
      </c>
      <c r="C15" s="14" t="n">
        <v>0.19</v>
      </c>
      <c r="D15" s="14" t="n">
        <v>0.17</v>
      </c>
      <c r="E15" s="14" t="n">
        <v>0.13</v>
      </c>
      <c r="F15" s="14" t="n">
        <v>0.2</v>
      </c>
      <c r="G15" s="14" t="n">
        <v>0.21</v>
      </c>
      <c r="H15" s="14" t="n">
        <v>0.23</v>
      </c>
      <c r="I15" s="14" t="n">
        <v>0.22</v>
      </c>
      <c r="J15" s="14" t="n">
        <v>0.2</v>
      </c>
      <c r="K15" s="14" t="n">
        <v>0.17</v>
      </c>
      <c r="L15" s="14" t="n">
        <v>0.06</v>
      </c>
      <c r="M15" s="14" t="n">
        <v>0.21</v>
      </c>
      <c r="N15" s="14" t="n">
        <v>0.13</v>
      </c>
      <c r="O15" s="14" t="n">
        <v>0.23</v>
      </c>
      <c r="P15" s="14" t="n">
        <v>0.15</v>
      </c>
      <c r="Q15" s="14" t="n">
        <v>0.21</v>
      </c>
      <c r="R15" s="14" t="n">
        <v>0.25</v>
      </c>
      <c r="S15" s="14" t="n">
        <v>0.24</v>
      </c>
      <c r="T15" s="14" t="n">
        <v>0.18</v>
      </c>
      <c r="U15" s="14" t="n">
        <v>0.2</v>
      </c>
      <c r="V15" s="14" t="n">
        <v>0.13</v>
      </c>
      <c r="W15" s="14" t="n">
        <v>0.06</v>
      </c>
      <c r="X15" s="14" t="n">
        <v>0.23</v>
      </c>
      <c r="Y15" s="14" t="n">
        <v>0.17</v>
      </c>
      <c r="Z15" s="14" t="n">
        <v>0.16</v>
      </c>
      <c r="AA15" s="14" t="n">
        <v>0.08</v>
      </c>
      <c r="AB15" s="14" t="n">
        <v>0.11</v>
      </c>
      <c r="AC15" s="14" t="n">
        <v>0.16</v>
      </c>
      <c r="AD15" s="14" t="n">
        <v>0.12</v>
      </c>
      <c r="AE15" s="14" t="n">
        <v>0.19</v>
      </c>
      <c r="AF15" s="14" t="n">
        <v>0.21</v>
      </c>
    </row>
    <row r="16">
      <c r="A16" s="20" t="n"/>
      <c r="B16" s="11" t="inlineStr">
        <is>
          <t>L'Union européenne contribue à la croissance économique en (NOTRE PAYS)</t>
        </is>
      </c>
      <c r="C16" s="12" t="n">
        <v>3119</v>
      </c>
      <c r="D16" s="12" t="n">
        <v>118</v>
      </c>
      <c r="E16" s="12" t="n">
        <v>60</v>
      </c>
      <c r="F16" s="12" t="n">
        <v>111</v>
      </c>
      <c r="G16" s="12" t="n">
        <v>137</v>
      </c>
      <c r="H16" s="12" t="n">
        <v>126</v>
      </c>
      <c r="I16" s="12" t="n">
        <v>152</v>
      </c>
      <c r="J16" s="12" t="n">
        <v>25</v>
      </c>
      <c r="K16" s="12" t="n">
        <v>97</v>
      </c>
      <c r="L16" s="12" t="n">
        <v>278</v>
      </c>
      <c r="M16" s="12" t="n">
        <v>132</v>
      </c>
      <c r="N16" s="12" t="n">
        <v>195</v>
      </c>
      <c r="O16" s="12" t="n">
        <v>80</v>
      </c>
      <c r="P16" s="12" t="n">
        <v>101</v>
      </c>
      <c r="Q16" s="12" t="n">
        <v>77</v>
      </c>
      <c r="R16" s="12" t="n">
        <v>69</v>
      </c>
      <c r="S16" s="12" t="n">
        <v>123</v>
      </c>
      <c r="T16" s="12" t="n">
        <v>229</v>
      </c>
      <c r="U16" s="12" t="n">
        <v>89</v>
      </c>
      <c r="V16" s="12" t="n">
        <v>149</v>
      </c>
      <c r="W16" s="12" t="n">
        <v>134</v>
      </c>
      <c r="X16" s="12" t="n">
        <v>189</v>
      </c>
      <c r="Y16" s="12" t="n">
        <v>130</v>
      </c>
      <c r="Z16" s="12" t="n">
        <v>124</v>
      </c>
      <c r="AA16" s="12" t="n">
        <v>185</v>
      </c>
      <c r="AB16" s="12" t="n">
        <v>121</v>
      </c>
      <c r="AC16" s="12" t="n">
        <v>183</v>
      </c>
      <c r="AD16" s="12" t="n">
        <v>130</v>
      </c>
      <c r="AE16" s="12" t="n">
        <v>82</v>
      </c>
      <c r="AF16" s="12" t="n">
        <v>100</v>
      </c>
    </row>
    <row r="17">
      <c r="A17" s="20" t="n"/>
      <c r="B17" s="13" t="inlineStr">
        <is>
          <t>The EU contributes to economic growth in (OUR COUNTRY)</t>
        </is>
      </c>
      <c r="C17" s="14" t="n">
        <v>0.12</v>
      </c>
      <c r="D17" s="14" t="n">
        <v>0.12</v>
      </c>
      <c r="E17" s="14" t="n">
        <v>0.06</v>
      </c>
      <c r="F17" s="14" t="n">
        <v>0.1</v>
      </c>
      <c r="G17" s="14" t="n">
        <v>0.14</v>
      </c>
      <c r="H17" s="14" t="n">
        <v>0.1</v>
      </c>
      <c r="I17" s="14" t="n">
        <v>0.1</v>
      </c>
      <c r="J17" s="14" t="n">
        <v>0.09</v>
      </c>
      <c r="K17" s="14" t="n">
        <v>0.1</v>
      </c>
      <c r="L17" s="14" t="n">
        <v>0.28</v>
      </c>
      <c r="M17" s="14" t="n">
        <v>0.13</v>
      </c>
      <c r="N17" s="14" t="n">
        <v>0.19</v>
      </c>
      <c r="O17" s="14" t="n">
        <v>0.08</v>
      </c>
      <c r="P17" s="14" t="n">
        <v>0.1</v>
      </c>
      <c r="Q17" s="14" t="n">
        <v>0.08</v>
      </c>
      <c r="R17" s="14" t="n">
        <v>0.14</v>
      </c>
      <c r="S17" s="14" t="n">
        <v>0.12</v>
      </c>
      <c r="T17" s="14" t="n">
        <v>0.23</v>
      </c>
      <c r="U17" s="14" t="n">
        <v>0.18</v>
      </c>
      <c r="V17" s="14" t="n">
        <v>0.15</v>
      </c>
      <c r="W17" s="14" t="n">
        <v>0.27</v>
      </c>
      <c r="X17" s="14" t="n">
        <v>0.18</v>
      </c>
      <c r="Y17" s="14" t="n">
        <v>0.13</v>
      </c>
      <c r="Z17" s="14" t="n">
        <v>0.12</v>
      </c>
      <c r="AA17" s="14" t="n">
        <v>0.18</v>
      </c>
      <c r="AB17" s="14" t="n">
        <v>0.12</v>
      </c>
      <c r="AC17" s="14" t="n">
        <v>0.18</v>
      </c>
      <c r="AD17" s="14" t="n">
        <v>0.13</v>
      </c>
      <c r="AE17" s="14" t="n">
        <v>0.08</v>
      </c>
      <c r="AF17" s="14" t="n">
        <v>0.1</v>
      </c>
    </row>
    <row r="18">
      <c r="A18" s="20" t="n"/>
      <c r="B18" s="11" t="inlineStr">
        <is>
          <t>L'appartenance à l'Union européenne améliore la coopération entre (NOTRE PAYS) et les autres pays de l'Union européenne</t>
        </is>
      </c>
      <c r="C18" s="12" t="n">
        <v>3961</v>
      </c>
      <c r="D18" s="12" t="n">
        <v>197</v>
      </c>
      <c r="E18" s="12" t="n">
        <v>100</v>
      </c>
      <c r="F18" s="12" t="n">
        <v>104</v>
      </c>
      <c r="G18" s="12" t="n">
        <v>342</v>
      </c>
      <c r="H18" s="12" t="n">
        <v>248</v>
      </c>
      <c r="I18" s="12" t="n">
        <v>319</v>
      </c>
      <c r="J18" s="12" t="n">
        <v>71</v>
      </c>
      <c r="K18" s="12" t="n">
        <v>126</v>
      </c>
      <c r="L18" s="12" t="n">
        <v>99</v>
      </c>
      <c r="M18" s="12" t="n">
        <v>103</v>
      </c>
      <c r="N18" s="12" t="n">
        <v>123</v>
      </c>
      <c r="O18" s="12" t="n">
        <v>104</v>
      </c>
      <c r="P18" s="12" t="n">
        <v>94</v>
      </c>
      <c r="Q18" s="12" t="n">
        <v>136</v>
      </c>
      <c r="R18" s="12" t="n">
        <v>52</v>
      </c>
      <c r="S18" s="12" t="n">
        <v>131</v>
      </c>
      <c r="T18" s="12" t="n">
        <v>58</v>
      </c>
      <c r="U18" s="12" t="n">
        <v>77</v>
      </c>
      <c r="V18" s="12" t="n">
        <v>111</v>
      </c>
      <c r="W18" s="12" t="n">
        <v>47</v>
      </c>
      <c r="X18" s="12" t="n">
        <v>294</v>
      </c>
      <c r="Y18" s="12" t="n">
        <v>107</v>
      </c>
      <c r="Z18" s="12" t="n">
        <v>85</v>
      </c>
      <c r="AA18" s="12" t="n">
        <v>102</v>
      </c>
      <c r="AB18" s="12" t="n">
        <v>86</v>
      </c>
      <c r="AC18" s="12" t="n">
        <v>173</v>
      </c>
      <c r="AD18" s="12" t="n">
        <v>100</v>
      </c>
      <c r="AE18" s="12" t="n">
        <v>360</v>
      </c>
      <c r="AF18" s="12" t="n">
        <v>430</v>
      </c>
    </row>
    <row r="19">
      <c r="A19" s="20" t="n"/>
      <c r="B19" s="13" t="inlineStr">
        <is>
          <t>Membership of the EU improves cooperation between (OUR COUNTRY) and the other countries of the EU</t>
        </is>
      </c>
      <c r="C19" s="14" t="n">
        <v>0.15</v>
      </c>
      <c r="D19" s="14" t="n">
        <v>0.19</v>
      </c>
      <c r="E19" s="14" t="n">
        <v>0.1</v>
      </c>
      <c r="F19" s="14" t="n">
        <v>0.1</v>
      </c>
      <c r="G19" s="14" t="n">
        <v>0.34</v>
      </c>
      <c r="H19" s="14" t="n">
        <v>0.2</v>
      </c>
      <c r="I19" s="14" t="n">
        <v>0.21</v>
      </c>
      <c r="J19" s="14" t="n">
        <v>0.24</v>
      </c>
      <c r="K19" s="14" t="n">
        <v>0.13</v>
      </c>
      <c r="L19" s="14" t="n">
        <v>0.1</v>
      </c>
      <c r="M19" s="14" t="n">
        <v>0.1</v>
      </c>
      <c r="N19" s="14" t="n">
        <v>0.12</v>
      </c>
      <c r="O19" s="14" t="n">
        <v>0.1</v>
      </c>
      <c r="P19" s="14" t="n">
        <v>0.09</v>
      </c>
      <c r="Q19" s="14" t="n">
        <v>0.13</v>
      </c>
      <c r="R19" s="14" t="n">
        <v>0.1</v>
      </c>
      <c r="S19" s="14" t="n">
        <v>0.13</v>
      </c>
      <c r="T19" s="14" t="n">
        <v>0.06</v>
      </c>
      <c r="U19" s="14" t="n">
        <v>0.15</v>
      </c>
      <c r="V19" s="14" t="n">
        <v>0.11</v>
      </c>
      <c r="W19" s="14" t="n">
        <v>0.09</v>
      </c>
      <c r="X19" s="14" t="n">
        <v>0.29</v>
      </c>
      <c r="Y19" s="14" t="n">
        <v>0.11</v>
      </c>
      <c r="Z19" s="14" t="n">
        <v>0.08</v>
      </c>
      <c r="AA19" s="14" t="n">
        <v>0.1</v>
      </c>
      <c r="AB19" s="14" t="n">
        <v>0.08</v>
      </c>
      <c r="AC19" s="14" t="n">
        <v>0.17</v>
      </c>
      <c r="AD19" s="14" t="n">
        <v>0.1</v>
      </c>
      <c r="AE19" s="14" t="n">
        <v>0.35</v>
      </c>
      <c r="AF19" s="14" t="n">
        <v>0.41</v>
      </c>
    </row>
    <row r="20">
      <c r="A20" s="20" t="n"/>
      <c r="B20" s="11" t="inlineStr">
        <is>
          <t>L’appartenance à l’Union européenne améliore la coopération entre (NOTRE PAYS) et les pays en dehors de l’Union européenne</t>
        </is>
      </c>
      <c r="C20" s="12" t="n">
        <v>1835</v>
      </c>
      <c r="D20" s="12" t="n">
        <v>85</v>
      </c>
      <c r="E20" s="12" t="n">
        <v>41</v>
      </c>
      <c r="F20" s="12" t="n">
        <v>43</v>
      </c>
      <c r="G20" s="12" t="n">
        <v>66</v>
      </c>
      <c r="H20" s="12" t="n">
        <v>118</v>
      </c>
      <c r="I20" s="12" t="n">
        <v>138</v>
      </c>
      <c r="J20" s="12" t="n">
        <v>20</v>
      </c>
      <c r="K20" s="12" t="n">
        <v>64</v>
      </c>
      <c r="L20" s="12" t="n">
        <v>35</v>
      </c>
      <c r="M20" s="12" t="n">
        <v>65</v>
      </c>
      <c r="N20" s="12" t="n">
        <v>71</v>
      </c>
      <c r="O20" s="12" t="n">
        <v>54</v>
      </c>
      <c r="P20" s="12" t="n">
        <v>52</v>
      </c>
      <c r="Q20" s="12" t="n">
        <v>72</v>
      </c>
      <c r="R20" s="12" t="n">
        <v>17</v>
      </c>
      <c r="S20" s="12" t="n">
        <v>46</v>
      </c>
      <c r="T20" s="12" t="n">
        <v>35</v>
      </c>
      <c r="U20" s="12" t="n">
        <v>24</v>
      </c>
      <c r="V20" s="12" t="n">
        <v>47</v>
      </c>
      <c r="W20" s="12" t="n">
        <v>26</v>
      </c>
      <c r="X20" s="12" t="n">
        <v>113</v>
      </c>
      <c r="Y20" s="12" t="n">
        <v>72</v>
      </c>
      <c r="Z20" s="12" t="n">
        <v>64</v>
      </c>
      <c r="AA20" s="12" t="n">
        <v>38</v>
      </c>
      <c r="AB20" s="12" t="n">
        <v>73</v>
      </c>
      <c r="AC20" s="12" t="n">
        <v>68</v>
      </c>
      <c r="AD20" s="12" t="n">
        <v>51</v>
      </c>
      <c r="AE20" s="12" t="n">
        <v>102</v>
      </c>
      <c r="AF20" s="12" t="n">
        <v>67</v>
      </c>
    </row>
    <row r="21">
      <c r="A21" s="20" t="n"/>
      <c r="B21" s="13" t="inlineStr">
        <is>
          <t>Membership of the EU improves cooperation between (OUR COUNTRY) and countries outside the EU</t>
        </is>
      </c>
      <c r="C21" s="14" t="n">
        <v>0.07000000000000001</v>
      </c>
      <c r="D21" s="14" t="n">
        <v>0.08</v>
      </c>
      <c r="E21" s="14" t="n">
        <v>0.04</v>
      </c>
      <c r="F21" s="14" t="n">
        <v>0.04</v>
      </c>
      <c r="G21" s="14" t="n">
        <v>0.06</v>
      </c>
      <c r="H21" s="14" t="n">
        <v>0.1</v>
      </c>
      <c r="I21" s="14" t="n">
        <v>0.09</v>
      </c>
      <c r="J21" s="14" t="n">
        <v>0.07000000000000001</v>
      </c>
      <c r="K21" s="14" t="n">
        <v>0.06</v>
      </c>
      <c r="L21" s="14" t="n">
        <v>0.04</v>
      </c>
      <c r="M21" s="14" t="n">
        <v>0.07000000000000001</v>
      </c>
      <c r="N21" s="14" t="n">
        <v>0.07000000000000001</v>
      </c>
      <c r="O21" s="14" t="n">
        <v>0.05</v>
      </c>
      <c r="P21" s="14" t="n">
        <v>0.05</v>
      </c>
      <c r="Q21" s="14" t="n">
        <v>0.07000000000000001</v>
      </c>
      <c r="R21" s="14" t="n">
        <v>0.03</v>
      </c>
      <c r="S21" s="14" t="n">
        <v>0.05</v>
      </c>
      <c r="T21" s="14" t="n">
        <v>0.03</v>
      </c>
      <c r="U21" s="14" t="n">
        <v>0.05</v>
      </c>
      <c r="V21" s="14" t="n">
        <v>0.05</v>
      </c>
      <c r="W21" s="14" t="n">
        <v>0.05</v>
      </c>
      <c r="X21" s="14" t="n">
        <v>0.11</v>
      </c>
      <c r="Y21" s="14" t="n">
        <v>0.07000000000000001</v>
      </c>
      <c r="Z21" s="14" t="n">
        <v>0.06</v>
      </c>
      <c r="AA21" s="14" t="n">
        <v>0.04</v>
      </c>
      <c r="AB21" s="14" t="n">
        <v>0.07000000000000001</v>
      </c>
      <c r="AC21" s="14" t="n">
        <v>0.07000000000000001</v>
      </c>
      <c r="AD21" s="14" t="n">
        <v>0.05</v>
      </c>
      <c r="AE21" s="14" t="n">
        <v>0.1</v>
      </c>
      <c r="AF21" s="14" t="n">
        <v>0.06</v>
      </c>
    </row>
    <row r="22">
      <c r="A22" s="20" t="n"/>
      <c r="B22" s="11" t="inlineStr">
        <is>
          <t>Les (NATIONALITÉ) ont une influence significative sur les décisions prises au sein de l'Union européenne</t>
        </is>
      </c>
      <c r="C22" s="12" t="n">
        <v>1011</v>
      </c>
      <c r="D22" s="12" t="n">
        <v>33</v>
      </c>
      <c r="E22" s="12" t="n">
        <v>27</v>
      </c>
      <c r="F22" s="12" t="n">
        <v>31</v>
      </c>
      <c r="G22" s="12" t="n">
        <v>20</v>
      </c>
      <c r="H22" s="12" t="n">
        <v>43</v>
      </c>
      <c r="I22" s="12" t="n">
        <v>53</v>
      </c>
      <c r="J22" s="12" t="n">
        <v>10</v>
      </c>
      <c r="K22" s="12" t="n">
        <v>30</v>
      </c>
      <c r="L22" s="12" t="n">
        <v>23</v>
      </c>
      <c r="M22" s="12" t="n">
        <v>45</v>
      </c>
      <c r="N22" s="12" t="n">
        <v>49</v>
      </c>
      <c r="O22" s="12" t="n">
        <v>40</v>
      </c>
      <c r="P22" s="12" t="n">
        <v>35</v>
      </c>
      <c r="Q22" s="12" t="n">
        <v>43</v>
      </c>
      <c r="R22" s="12" t="n">
        <v>13</v>
      </c>
      <c r="S22" s="12" t="n">
        <v>10</v>
      </c>
      <c r="T22" s="12" t="n">
        <v>14</v>
      </c>
      <c r="U22" s="12" t="n">
        <v>16</v>
      </c>
      <c r="V22" s="12" t="n">
        <v>53</v>
      </c>
      <c r="W22" s="12" t="n">
        <v>25</v>
      </c>
      <c r="X22" s="12" t="n">
        <v>12</v>
      </c>
      <c r="Y22" s="12" t="n">
        <v>38</v>
      </c>
      <c r="Z22" s="12" t="n">
        <v>57</v>
      </c>
      <c r="AA22" s="12" t="n">
        <v>39</v>
      </c>
      <c r="AB22" s="12" t="n">
        <v>38</v>
      </c>
      <c r="AC22" s="12" t="n">
        <v>28</v>
      </c>
      <c r="AD22" s="12" t="n">
        <v>23</v>
      </c>
      <c r="AE22" s="12" t="n">
        <v>20</v>
      </c>
      <c r="AF22" s="12" t="n">
        <v>23</v>
      </c>
    </row>
    <row r="23">
      <c r="A23" s="20" t="n"/>
      <c r="B23" s="13" t="inlineStr">
        <is>
          <t>(NATIONALITY) people have a significant influence on decisions made at EU level</t>
        </is>
      </c>
      <c r="C23" s="14" t="n">
        <v>0.04</v>
      </c>
      <c r="D23" s="14" t="n">
        <v>0.03</v>
      </c>
      <c r="E23" s="14" t="n">
        <v>0.03</v>
      </c>
      <c r="F23" s="14" t="n">
        <v>0.03</v>
      </c>
      <c r="G23" s="14" t="n">
        <v>0.02</v>
      </c>
      <c r="H23" s="14" t="n">
        <v>0.04</v>
      </c>
      <c r="I23" s="14" t="n">
        <v>0.03</v>
      </c>
      <c r="J23" s="14" t="n">
        <v>0.03</v>
      </c>
      <c r="K23" s="14" t="n">
        <v>0.03</v>
      </c>
      <c r="L23" s="14" t="n">
        <v>0.02</v>
      </c>
      <c r="M23" s="14" t="n">
        <v>0.04</v>
      </c>
      <c r="N23" s="14" t="n">
        <v>0.05</v>
      </c>
      <c r="O23" s="14" t="n">
        <v>0.04</v>
      </c>
      <c r="P23" s="14" t="n">
        <v>0.04</v>
      </c>
      <c r="Q23" s="14" t="n">
        <v>0.04</v>
      </c>
      <c r="R23" s="14" t="n">
        <v>0.03</v>
      </c>
      <c r="S23" s="14" t="n">
        <v>0.01</v>
      </c>
      <c r="T23" s="14" t="n">
        <v>0.01</v>
      </c>
      <c r="U23" s="14" t="n">
        <v>0.03</v>
      </c>
      <c r="V23" s="14" t="n">
        <v>0.05</v>
      </c>
      <c r="W23" s="14" t="n">
        <v>0.05</v>
      </c>
      <c r="X23" s="14" t="n">
        <v>0.01</v>
      </c>
      <c r="Y23" s="14" t="n">
        <v>0.04</v>
      </c>
      <c r="Z23" s="14" t="n">
        <v>0.06</v>
      </c>
      <c r="AA23" s="14" t="n">
        <v>0.04</v>
      </c>
      <c r="AB23" s="14" t="n">
        <v>0.03</v>
      </c>
      <c r="AC23" s="14" t="n">
        <v>0.03</v>
      </c>
      <c r="AD23" s="14" t="n">
        <v>0.02</v>
      </c>
      <c r="AE23" s="14" t="n">
        <v>0.02</v>
      </c>
      <c r="AF23" s="14" t="n">
        <v>0.02</v>
      </c>
    </row>
    <row r="24">
      <c r="A24" s="20" t="n"/>
      <c r="B24" s="11" t="inlineStr">
        <is>
          <t>L’Union européenne donne aux (NATIONALITÉ) un poids plus important dans le monde</t>
        </is>
      </c>
      <c r="C24" s="12" t="n">
        <v>2224</v>
      </c>
      <c r="D24" s="12" t="n">
        <v>104</v>
      </c>
      <c r="E24" s="12" t="n">
        <v>59</v>
      </c>
      <c r="F24" s="12" t="n">
        <v>88</v>
      </c>
      <c r="G24" s="12" t="n">
        <v>86</v>
      </c>
      <c r="H24" s="12" t="n">
        <v>91</v>
      </c>
      <c r="I24" s="12" t="n">
        <v>102</v>
      </c>
      <c r="J24" s="12" t="n">
        <v>10</v>
      </c>
      <c r="K24" s="12" t="n">
        <v>71</v>
      </c>
      <c r="L24" s="12" t="n">
        <v>94</v>
      </c>
      <c r="M24" s="12" t="n">
        <v>100</v>
      </c>
      <c r="N24" s="12" t="n">
        <v>61</v>
      </c>
      <c r="O24" s="12" t="n">
        <v>101</v>
      </c>
      <c r="P24" s="12" t="n">
        <v>76</v>
      </c>
      <c r="Q24" s="12" t="n">
        <v>139</v>
      </c>
      <c r="R24" s="12" t="n">
        <v>36</v>
      </c>
      <c r="S24" s="12" t="n">
        <v>43</v>
      </c>
      <c r="T24" s="12" t="n">
        <v>56</v>
      </c>
      <c r="U24" s="12" t="n">
        <v>64</v>
      </c>
      <c r="V24" s="12" t="n">
        <v>64</v>
      </c>
      <c r="W24" s="12" t="n">
        <v>51</v>
      </c>
      <c r="X24" s="12" t="n">
        <v>26</v>
      </c>
      <c r="Y24" s="12" t="n">
        <v>84</v>
      </c>
      <c r="Z24" s="12" t="n">
        <v>71</v>
      </c>
      <c r="AA24" s="12" t="n">
        <v>194</v>
      </c>
      <c r="AB24" s="12" t="n">
        <v>79</v>
      </c>
      <c r="AC24" s="12" t="n">
        <v>49</v>
      </c>
      <c r="AD24" s="12" t="n">
        <v>83</v>
      </c>
      <c r="AE24" s="12" t="n">
        <v>46</v>
      </c>
      <c r="AF24" s="12" t="n">
        <v>39</v>
      </c>
    </row>
    <row r="25">
      <c r="A25" s="20" t="n"/>
      <c r="B25" s="13" t="inlineStr">
        <is>
          <t>The EU gives (NATIONALITY) people a stronger say in the world</t>
        </is>
      </c>
      <c r="C25" s="14" t="n">
        <v>0.08</v>
      </c>
      <c r="D25" s="14" t="n">
        <v>0.1</v>
      </c>
      <c r="E25" s="14" t="n">
        <v>0.06</v>
      </c>
      <c r="F25" s="14" t="n">
        <v>0.08</v>
      </c>
      <c r="G25" s="14" t="n">
        <v>0.09</v>
      </c>
      <c r="H25" s="14" t="n">
        <v>0.07000000000000001</v>
      </c>
      <c r="I25" s="14" t="n">
        <v>0.07000000000000001</v>
      </c>
      <c r="J25" s="14" t="n">
        <v>0.03</v>
      </c>
      <c r="K25" s="14" t="n">
        <v>0.07000000000000001</v>
      </c>
      <c r="L25" s="14" t="n">
        <v>0.09</v>
      </c>
      <c r="M25" s="14" t="n">
        <v>0.1</v>
      </c>
      <c r="N25" s="14" t="n">
        <v>0.06</v>
      </c>
      <c r="O25" s="14" t="n">
        <v>0.1</v>
      </c>
      <c r="P25" s="14" t="n">
        <v>0.08</v>
      </c>
      <c r="Q25" s="14" t="n">
        <v>0.14</v>
      </c>
      <c r="R25" s="14" t="n">
        <v>0.07000000000000001</v>
      </c>
      <c r="S25" s="14" t="n">
        <v>0.04</v>
      </c>
      <c r="T25" s="14" t="n">
        <v>0.05</v>
      </c>
      <c r="U25" s="14" t="n">
        <v>0.13</v>
      </c>
      <c r="V25" s="14" t="n">
        <v>0.06</v>
      </c>
      <c r="W25" s="14" t="n">
        <v>0.1</v>
      </c>
      <c r="X25" s="14" t="n">
        <v>0.02</v>
      </c>
      <c r="Y25" s="14" t="n">
        <v>0.08</v>
      </c>
      <c r="Z25" s="14" t="n">
        <v>0.07000000000000001</v>
      </c>
      <c r="AA25" s="14" t="n">
        <v>0.19</v>
      </c>
      <c r="AB25" s="14" t="n">
        <v>0.08</v>
      </c>
      <c r="AC25" s="14" t="n">
        <v>0.05</v>
      </c>
      <c r="AD25" s="14" t="n">
        <v>0.08</v>
      </c>
      <c r="AE25" s="14" t="n">
        <v>0.05</v>
      </c>
      <c r="AF25" s="14" t="n">
        <v>0.04</v>
      </c>
    </row>
    <row r="26">
      <c r="A26" s="20" t="n"/>
      <c r="B26" s="11" t="inlineStr">
        <is>
          <t>L’Union européenne améliore le niveau de vie des (NATIONALITÉ)</t>
        </is>
      </c>
      <c r="C26" s="12" t="n">
        <v>1591</v>
      </c>
      <c r="D26" s="12" t="n">
        <v>50</v>
      </c>
      <c r="E26" s="12" t="n">
        <v>71</v>
      </c>
      <c r="F26" s="12" t="n">
        <v>72</v>
      </c>
      <c r="G26" s="12" t="n">
        <v>25</v>
      </c>
      <c r="H26" s="12" t="n">
        <v>44</v>
      </c>
      <c r="I26" s="12" t="n">
        <v>55</v>
      </c>
      <c r="J26" s="12" t="n">
        <v>10</v>
      </c>
      <c r="K26" s="12" t="n">
        <v>111</v>
      </c>
      <c r="L26" s="12" t="n">
        <v>154</v>
      </c>
      <c r="M26" s="12" t="n">
        <v>101</v>
      </c>
      <c r="N26" s="12" t="n">
        <v>86</v>
      </c>
      <c r="O26" s="12" t="n">
        <v>42</v>
      </c>
      <c r="P26" s="12" t="n">
        <v>106</v>
      </c>
      <c r="Q26" s="12" t="n">
        <v>44</v>
      </c>
      <c r="R26" s="12" t="n">
        <v>40</v>
      </c>
      <c r="S26" s="12" t="n">
        <v>102</v>
      </c>
      <c r="T26" s="12" t="n">
        <v>137</v>
      </c>
      <c r="U26" s="12" t="n">
        <v>30</v>
      </c>
      <c r="V26" s="12" t="n">
        <v>89</v>
      </c>
      <c r="W26" s="12" t="n">
        <v>45</v>
      </c>
      <c r="X26" s="12" t="n">
        <v>22</v>
      </c>
      <c r="Y26" s="12" t="n">
        <v>74</v>
      </c>
      <c r="Z26" s="12" t="n">
        <v>108</v>
      </c>
      <c r="AA26" s="12" t="n">
        <v>104</v>
      </c>
      <c r="AB26" s="12" t="n">
        <v>86</v>
      </c>
      <c r="AC26" s="12" t="n">
        <v>85</v>
      </c>
      <c r="AD26" s="12" t="n">
        <v>85</v>
      </c>
      <c r="AE26" s="12" t="n">
        <v>29</v>
      </c>
      <c r="AF26" s="12" t="n">
        <v>15</v>
      </c>
    </row>
    <row r="27">
      <c r="A27" s="20" t="n"/>
      <c r="B27" s="13" t="inlineStr">
        <is>
          <t>The EU improves (NATIONALITY) people's standard of living</t>
        </is>
      </c>
      <c r="C27" s="14" t="n">
        <v>0.06</v>
      </c>
      <c r="D27" s="14" t="n">
        <v>0.05</v>
      </c>
      <c r="E27" s="14" t="n">
        <v>0.07000000000000001</v>
      </c>
      <c r="F27" s="14" t="n">
        <v>0.07000000000000001</v>
      </c>
      <c r="G27" s="14" t="n">
        <v>0.02</v>
      </c>
      <c r="H27" s="14" t="n">
        <v>0.04</v>
      </c>
      <c r="I27" s="14" t="n">
        <v>0.04</v>
      </c>
      <c r="J27" s="14" t="n">
        <v>0.04</v>
      </c>
      <c r="K27" s="14" t="n">
        <v>0.11</v>
      </c>
      <c r="L27" s="14" t="n">
        <v>0.15</v>
      </c>
      <c r="M27" s="14" t="n">
        <v>0.1</v>
      </c>
      <c r="N27" s="14" t="n">
        <v>0.08</v>
      </c>
      <c r="O27" s="14" t="n">
        <v>0.04</v>
      </c>
      <c r="P27" s="14" t="n">
        <v>0.11</v>
      </c>
      <c r="Q27" s="14" t="n">
        <v>0.04</v>
      </c>
      <c r="R27" s="14" t="n">
        <v>0.08</v>
      </c>
      <c r="S27" s="14" t="n">
        <v>0.1</v>
      </c>
      <c r="T27" s="14" t="n">
        <v>0.13</v>
      </c>
      <c r="U27" s="14" t="n">
        <v>0.06</v>
      </c>
      <c r="V27" s="14" t="n">
        <v>0.09</v>
      </c>
      <c r="W27" s="14" t="n">
        <v>0.09</v>
      </c>
      <c r="X27" s="14" t="n">
        <v>0.02</v>
      </c>
      <c r="Y27" s="14" t="n">
        <v>0.07000000000000001</v>
      </c>
      <c r="Z27" s="14" t="n">
        <v>0.11</v>
      </c>
      <c r="AA27" s="14" t="n">
        <v>0.1</v>
      </c>
      <c r="AB27" s="14" t="n">
        <v>0.08</v>
      </c>
      <c r="AC27" s="14" t="n">
        <v>0.09</v>
      </c>
      <c r="AD27" s="14" t="n">
        <v>0.08</v>
      </c>
      <c r="AE27" s="14" t="n">
        <v>0.03</v>
      </c>
      <c r="AF27" s="14" t="n">
        <v>0.02</v>
      </c>
    </row>
    <row r="28">
      <c r="A28" s="20" t="n"/>
      <c r="B28" s="11" t="inlineStr">
        <is>
          <t>L’Union européenne aide (NOTRE PAYS) à lutter contre le terrorisme</t>
        </is>
      </c>
      <c r="C28" s="12" t="n">
        <v>957</v>
      </c>
      <c r="D28" s="12" t="n">
        <v>60</v>
      </c>
      <c r="E28" s="12" t="n">
        <v>24</v>
      </c>
      <c r="F28" s="12" t="n">
        <v>49</v>
      </c>
      <c r="G28" s="12" t="n">
        <v>27</v>
      </c>
      <c r="H28" s="12" t="n">
        <v>50</v>
      </c>
      <c r="I28" s="12" t="n">
        <v>60</v>
      </c>
      <c r="J28" s="12" t="n">
        <v>11</v>
      </c>
      <c r="K28" s="12" t="n">
        <v>20</v>
      </c>
      <c r="L28" s="12" t="n">
        <v>15</v>
      </c>
      <c r="M28" s="12" t="n">
        <v>31</v>
      </c>
      <c r="N28" s="12" t="n">
        <v>26</v>
      </c>
      <c r="O28" s="12" t="n">
        <v>46</v>
      </c>
      <c r="P28" s="12" t="n">
        <v>34</v>
      </c>
      <c r="Q28" s="12" t="n">
        <v>40</v>
      </c>
      <c r="R28" s="12" t="n">
        <v>19</v>
      </c>
      <c r="S28" s="12" t="n">
        <v>13</v>
      </c>
      <c r="T28" s="12" t="n">
        <v>10</v>
      </c>
      <c r="U28" s="12" t="n">
        <v>11</v>
      </c>
      <c r="V28" s="12" t="n">
        <v>33</v>
      </c>
      <c r="W28" s="12" t="n">
        <v>11</v>
      </c>
      <c r="X28" s="12" t="n">
        <v>22</v>
      </c>
      <c r="Y28" s="12" t="n">
        <v>45</v>
      </c>
      <c r="Z28" s="12" t="n">
        <v>38</v>
      </c>
      <c r="AA28" s="12" t="n">
        <v>28</v>
      </c>
      <c r="AB28" s="12" t="n">
        <v>48</v>
      </c>
      <c r="AC28" s="12" t="n">
        <v>20</v>
      </c>
      <c r="AD28" s="12" t="n">
        <v>31</v>
      </c>
      <c r="AE28" s="12" t="n">
        <v>14</v>
      </c>
      <c r="AF28" s="12" t="n">
        <v>14</v>
      </c>
    </row>
    <row r="29">
      <c r="A29" s="20" t="n"/>
      <c r="B29" s="13" t="inlineStr">
        <is>
          <t>The EU helps (OUR COUNTRY) in the fight against terrorism</t>
        </is>
      </c>
      <c r="C29" s="14" t="n">
        <v>0.04</v>
      </c>
      <c r="D29" s="14" t="n">
        <v>0.06</v>
      </c>
      <c r="E29" s="14" t="n">
        <v>0.02</v>
      </c>
      <c r="F29" s="14" t="n">
        <v>0.05</v>
      </c>
      <c r="G29" s="14" t="n">
        <v>0.03</v>
      </c>
      <c r="H29" s="14" t="n">
        <v>0.04</v>
      </c>
      <c r="I29" s="14" t="n">
        <v>0.04</v>
      </c>
      <c r="J29" s="14" t="n">
        <v>0.04</v>
      </c>
      <c r="K29" s="14" t="n">
        <v>0.02</v>
      </c>
      <c r="L29" s="14" t="n">
        <v>0.02</v>
      </c>
      <c r="M29" s="14" t="n">
        <v>0.03</v>
      </c>
      <c r="N29" s="14" t="n">
        <v>0.03</v>
      </c>
      <c r="O29" s="14" t="n">
        <v>0.05</v>
      </c>
      <c r="P29" s="14" t="n">
        <v>0.03</v>
      </c>
      <c r="Q29" s="14" t="n">
        <v>0.04</v>
      </c>
      <c r="R29" s="14" t="n">
        <v>0.04</v>
      </c>
      <c r="S29" s="14" t="n">
        <v>0.01</v>
      </c>
      <c r="T29" s="14" t="n">
        <v>0.01</v>
      </c>
      <c r="U29" s="14" t="n">
        <v>0.02</v>
      </c>
      <c r="V29" s="14" t="n">
        <v>0.03</v>
      </c>
      <c r="W29" s="14" t="n">
        <v>0.02</v>
      </c>
      <c r="X29" s="14" t="n">
        <v>0.02</v>
      </c>
      <c r="Y29" s="14" t="n">
        <v>0.05</v>
      </c>
      <c r="Z29" s="14" t="n">
        <v>0.04</v>
      </c>
      <c r="AA29" s="14" t="n">
        <v>0.03</v>
      </c>
      <c r="AB29" s="14" t="n">
        <v>0.05</v>
      </c>
      <c r="AC29" s="14" t="n">
        <v>0.02</v>
      </c>
      <c r="AD29" s="14" t="n">
        <v>0.03</v>
      </c>
      <c r="AE29" s="14" t="n">
        <v>0.01</v>
      </c>
      <c r="AF29" s="14" t="n">
        <v>0.01</v>
      </c>
    </row>
    <row r="30">
      <c r="A30" s="20" t="n"/>
      <c r="B30" s="11" t="inlineStr">
        <is>
          <t>L’Union européenne aide (NOTRE PAYS) à faire face au changement climatique</t>
        </is>
      </c>
      <c r="C30" s="12" t="n">
        <v>908</v>
      </c>
      <c r="D30" s="12" t="n">
        <v>37</v>
      </c>
      <c r="E30" s="12" t="n">
        <v>18</v>
      </c>
      <c r="F30" s="12" t="n">
        <v>39</v>
      </c>
      <c r="G30" s="12" t="n">
        <v>33</v>
      </c>
      <c r="H30" s="12" t="n">
        <v>39</v>
      </c>
      <c r="I30" s="12" t="n">
        <v>48</v>
      </c>
      <c r="J30" s="12" t="n">
        <v>9</v>
      </c>
      <c r="K30" s="12" t="n">
        <v>21</v>
      </c>
      <c r="L30" s="12" t="n">
        <v>39</v>
      </c>
      <c r="M30" s="12" t="n">
        <v>45</v>
      </c>
      <c r="N30" s="12" t="n">
        <v>17</v>
      </c>
      <c r="O30" s="12" t="n">
        <v>39</v>
      </c>
      <c r="P30" s="12" t="n">
        <v>40</v>
      </c>
      <c r="Q30" s="12" t="n">
        <v>45</v>
      </c>
      <c r="R30" s="12" t="n">
        <v>4</v>
      </c>
      <c r="S30" s="12" t="n">
        <v>10</v>
      </c>
      <c r="T30" s="12" t="n">
        <v>11</v>
      </c>
      <c r="U30" s="12" t="n">
        <v>7</v>
      </c>
      <c r="V30" s="12" t="n">
        <v>40</v>
      </c>
      <c r="W30" s="12" t="n">
        <v>16</v>
      </c>
      <c r="X30" s="12" t="n">
        <v>33</v>
      </c>
      <c r="Y30" s="12" t="n">
        <v>60</v>
      </c>
      <c r="Z30" s="12" t="n">
        <v>32</v>
      </c>
      <c r="AA30" s="12" t="n">
        <v>23</v>
      </c>
      <c r="AB30" s="12" t="n">
        <v>50</v>
      </c>
      <c r="AC30" s="12" t="n">
        <v>18</v>
      </c>
      <c r="AD30" s="12" t="n">
        <v>26</v>
      </c>
      <c r="AE30" s="12" t="n">
        <v>21</v>
      </c>
      <c r="AF30" s="12" t="n">
        <v>55</v>
      </c>
    </row>
    <row r="31">
      <c r="A31" s="20" t="n"/>
      <c r="B31" s="13" t="inlineStr">
        <is>
          <t>The EU helps (OUR COUNTRY) to tackle climate change</t>
        </is>
      </c>
      <c r="C31" s="14" t="n">
        <v>0.03</v>
      </c>
      <c r="D31" s="14" t="n">
        <v>0.04</v>
      </c>
      <c r="E31" s="14" t="n">
        <v>0.02</v>
      </c>
      <c r="F31" s="14" t="n">
        <v>0.04</v>
      </c>
      <c r="G31" s="14" t="n">
        <v>0.03</v>
      </c>
      <c r="H31" s="14" t="n">
        <v>0.03</v>
      </c>
      <c r="I31" s="14" t="n">
        <v>0.03</v>
      </c>
      <c r="J31" s="14" t="n">
        <v>0.03</v>
      </c>
      <c r="K31" s="14" t="n">
        <v>0.02</v>
      </c>
      <c r="L31" s="14" t="n">
        <v>0.04</v>
      </c>
      <c r="M31" s="14" t="n">
        <v>0.05</v>
      </c>
      <c r="N31" s="14" t="n">
        <v>0.02</v>
      </c>
      <c r="O31" s="14" t="n">
        <v>0.04</v>
      </c>
      <c r="P31" s="14" t="n">
        <v>0.04</v>
      </c>
      <c r="Q31" s="14" t="n">
        <v>0.04</v>
      </c>
      <c r="R31" s="14" t="n">
        <v>0.01</v>
      </c>
      <c r="S31" s="14" t="n">
        <v>0.01</v>
      </c>
      <c r="T31" s="14" t="n">
        <v>0.01</v>
      </c>
      <c r="U31" s="14" t="n">
        <v>0.01</v>
      </c>
      <c r="V31" s="14" t="n">
        <v>0.04</v>
      </c>
      <c r="W31" s="14" t="n">
        <v>0.03</v>
      </c>
      <c r="X31" s="14" t="n">
        <v>0.03</v>
      </c>
      <c r="Y31" s="14" t="n">
        <v>0.06</v>
      </c>
      <c r="Z31" s="14" t="n">
        <v>0.03</v>
      </c>
      <c r="AA31" s="14" t="n">
        <v>0.02</v>
      </c>
      <c r="AB31" s="14" t="n">
        <v>0.05</v>
      </c>
      <c r="AC31" s="14" t="n">
        <v>0.02</v>
      </c>
      <c r="AD31" s="14" t="n">
        <v>0.03</v>
      </c>
      <c r="AE31" s="14" t="n">
        <v>0.02</v>
      </c>
      <c r="AF31" s="14" t="n">
        <v>0.05</v>
      </c>
    </row>
    <row r="32">
      <c r="A32" s="20" t="n"/>
      <c r="B32" s="11" t="inlineStr">
        <is>
          <t>L’Union européenne donne aux  (NATIONALITÉ) de nouvelles opportunités de travail</t>
        </is>
      </c>
      <c r="C32" s="12" t="n">
        <v>2338</v>
      </c>
      <c r="D32" s="12" t="n">
        <v>67</v>
      </c>
      <c r="E32" s="12" t="n">
        <v>274</v>
      </c>
      <c r="F32" s="12" t="n">
        <v>182</v>
      </c>
      <c r="G32" s="12" t="n">
        <v>18</v>
      </c>
      <c r="H32" s="12" t="n">
        <v>37</v>
      </c>
      <c r="I32" s="12" t="n">
        <v>59</v>
      </c>
      <c r="J32" s="12" t="n">
        <v>21</v>
      </c>
      <c r="K32" s="12" t="n">
        <v>142</v>
      </c>
      <c r="L32" s="12" t="n">
        <v>144</v>
      </c>
      <c r="M32" s="12" t="n">
        <v>59</v>
      </c>
      <c r="N32" s="12" t="n">
        <v>100</v>
      </c>
      <c r="O32" s="12" t="n">
        <v>33</v>
      </c>
      <c r="P32" s="12" t="n">
        <v>233</v>
      </c>
      <c r="Q32" s="12" t="n">
        <v>93</v>
      </c>
      <c r="R32" s="12" t="n">
        <v>71</v>
      </c>
      <c r="S32" s="12" t="n">
        <v>118</v>
      </c>
      <c r="T32" s="12" t="n">
        <v>171</v>
      </c>
      <c r="U32" s="12" t="n">
        <v>50</v>
      </c>
      <c r="V32" s="12" t="n">
        <v>177</v>
      </c>
      <c r="W32" s="12" t="n">
        <v>69</v>
      </c>
      <c r="X32" s="12" t="n">
        <v>26</v>
      </c>
      <c r="Y32" s="12" t="n">
        <v>93</v>
      </c>
      <c r="Z32" s="12" t="n">
        <v>166</v>
      </c>
      <c r="AA32" s="12" t="n">
        <v>119</v>
      </c>
      <c r="AB32" s="12" t="n">
        <v>187</v>
      </c>
      <c r="AC32" s="12" t="n">
        <v>121</v>
      </c>
      <c r="AD32" s="12" t="n">
        <v>240</v>
      </c>
      <c r="AE32" s="12" t="n">
        <v>73</v>
      </c>
      <c r="AF32" s="12" t="n">
        <v>59</v>
      </c>
    </row>
    <row r="33">
      <c r="A33" s="20" t="n"/>
      <c r="B33" s="13" t="inlineStr">
        <is>
          <t>The EU brings (NATIONALITY) people new work opportunities</t>
        </is>
      </c>
      <c r="C33" s="14" t="n">
        <v>0.09</v>
      </c>
      <c r="D33" s="14" t="n">
        <v>0.07000000000000001</v>
      </c>
      <c r="E33" s="14" t="n">
        <v>0.27</v>
      </c>
      <c r="F33" s="14" t="n">
        <v>0.17</v>
      </c>
      <c r="G33" s="14" t="n">
        <v>0.02</v>
      </c>
      <c r="H33" s="14" t="n">
        <v>0.03</v>
      </c>
      <c r="I33" s="14" t="n">
        <v>0.04</v>
      </c>
      <c r="J33" s="14" t="n">
        <v>0.07000000000000001</v>
      </c>
      <c r="K33" s="14" t="n">
        <v>0.14</v>
      </c>
      <c r="L33" s="14" t="n">
        <v>0.14</v>
      </c>
      <c r="M33" s="14" t="n">
        <v>0.06</v>
      </c>
      <c r="N33" s="14" t="n">
        <v>0.1</v>
      </c>
      <c r="O33" s="14" t="n">
        <v>0.03</v>
      </c>
      <c r="P33" s="14" t="n">
        <v>0.23</v>
      </c>
      <c r="Q33" s="14" t="n">
        <v>0.09</v>
      </c>
      <c r="R33" s="14" t="n">
        <v>0.14</v>
      </c>
      <c r="S33" s="14" t="n">
        <v>0.12</v>
      </c>
      <c r="T33" s="14" t="n">
        <v>0.17</v>
      </c>
      <c r="U33" s="14" t="n">
        <v>0.1</v>
      </c>
      <c r="V33" s="14" t="n">
        <v>0.17</v>
      </c>
      <c r="W33" s="14" t="n">
        <v>0.14</v>
      </c>
      <c r="X33" s="14" t="n">
        <v>0.03</v>
      </c>
      <c r="Y33" s="14" t="n">
        <v>0.09</v>
      </c>
      <c r="Z33" s="14" t="n">
        <v>0.16</v>
      </c>
      <c r="AA33" s="14" t="n">
        <v>0.11</v>
      </c>
      <c r="AB33" s="14" t="n">
        <v>0.18</v>
      </c>
      <c r="AC33" s="14" t="n">
        <v>0.12</v>
      </c>
      <c r="AD33" s="14" t="n">
        <v>0.24</v>
      </c>
      <c r="AE33" s="14" t="n">
        <v>0.07000000000000001</v>
      </c>
      <c r="AF33" s="14" t="n">
        <v>0.06</v>
      </c>
    </row>
    <row r="34">
      <c r="A34" s="20" t="n"/>
      <c r="B34" s="11" t="inlineStr">
        <is>
          <t>D’une manière générale, vous êtes favorable à l’Union européenne (SPONTANÉ)</t>
        </is>
      </c>
      <c r="C34" s="12" t="n">
        <v>310</v>
      </c>
      <c r="D34" s="12" t="n">
        <v>2</v>
      </c>
      <c r="E34" s="12" t="n">
        <v>4</v>
      </c>
      <c r="F34" s="12" t="n">
        <v>6</v>
      </c>
      <c r="G34" s="12" t="n">
        <v>4</v>
      </c>
      <c r="H34" s="12" t="n">
        <v>30</v>
      </c>
      <c r="I34" s="12" t="n">
        <v>31</v>
      </c>
      <c r="J34" s="12" t="n">
        <v>1</v>
      </c>
      <c r="K34" s="12" t="n">
        <v>22</v>
      </c>
      <c r="L34" s="12" t="n">
        <v>4</v>
      </c>
      <c r="M34" s="12" t="n">
        <v>2</v>
      </c>
      <c r="N34" s="12" t="n">
        <v>7</v>
      </c>
      <c r="O34" s="12" t="n">
        <v>24</v>
      </c>
      <c r="P34" s="12" t="n">
        <v>1</v>
      </c>
      <c r="Q34" s="12" t="n">
        <v>11</v>
      </c>
      <c r="R34" s="12" t="n">
        <v>1</v>
      </c>
      <c r="S34" s="12" t="n">
        <v>8</v>
      </c>
      <c r="T34" s="12" t="n">
        <v>5</v>
      </c>
      <c r="U34" s="12" t="n">
        <v>3</v>
      </c>
      <c r="V34" s="12" t="n">
        <v>3</v>
      </c>
      <c r="W34" s="12" t="n">
        <v>1</v>
      </c>
      <c r="X34" s="12" t="n">
        <v>1</v>
      </c>
      <c r="Y34" s="12" t="n">
        <v>27</v>
      </c>
      <c r="Z34" s="12" t="n">
        <v>5</v>
      </c>
      <c r="AA34" s="12" t="n">
        <v>17</v>
      </c>
      <c r="AB34" s="12" t="n">
        <v>2</v>
      </c>
      <c r="AC34" s="12" t="n">
        <v>2</v>
      </c>
      <c r="AD34" s="12" t="n">
        <v>1</v>
      </c>
      <c r="AE34" s="12" t="n">
        <v>2</v>
      </c>
      <c r="AF34" s="12" t="n">
        <v>0</v>
      </c>
    </row>
    <row r="35">
      <c r="A35" s="20" t="n"/>
      <c r="B35" s="13" t="inlineStr">
        <is>
          <t>You are generally in favour of the EU (SPONTANEOUS)</t>
        </is>
      </c>
      <c r="C35" s="14" t="n">
        <v>0.01</v>
      </c>
      <c r="D35" s="15" t="inlineStr">
        <is>
          <t>-</t>
        </is>
      </c>
      <c r="E35" s="15" t="inlineStr">
        <is>
          <t>-</t>
        </is>
      </c>
      <c r="F35" s="14" t="n">
        <v>0.01</v>
      </c>
      <c r="G35" s="15" t="inlineStr">
        <is>
          <t>-</t>
        </is>
      </c>
      <c r="H35" s="14" t="n">
        <v>0.02</v>
      </c>
      <c r="I35" s="14" t="n">
        <v>0.02</v>
      </c>
      <c r="J35" s="15" t="inlineStr">
        <is>
          <t>-</t>
        </is>
      </c>
      <c r="K35" s="14" t="n">
        <v>0.02</v>
      </c>
      <c r="L35" s="15" t="inlineStr">
        <is>
          <t>-</t>
        </is>
      </c>
      <c r="M35" s="15" t="inlineStr">
        <is>
          <t>-</t>
        </is>
      </c>
      <c r="N35" s="14" t="n">
        <v>0.01</v>
      </c>
      <c r="O35" s="14" t="n">
        <v>0.02</v>
      </c>
      <c r="P35" s="15" t="inlineStr">
        <is>
          <t>-</t>
        </is>
      </c>
      <c r="Q35" s="14" t="n">
        <v>0.01</v>
      </c>
      <c r="R35" s="15" t="inlineStr">
        <is>
          <t>-</t>
        </is>
      </c>
      <c r="S35" s="14" t="n">
        <v>0.01</v>
      </c>
      <c r="T35" s="14" t="n">
        <v>0.01</v>
      </c>
      <c r="U35" s="15" t="inlineStr">
        <is>
          <t>-</t>
        </is>
      </c>
      <c r="V35" s="15" t="inlineStr">
        <is>
          <t>-</t>
        </is>
      </c>
      <c r="W35" s="15" t="inlineStr">
        <is>
          <t>-</t>
        </is>
      </c>
      <c r="X35" s="15" t="inlineStr">
        <is>
          <t>-</t>
        </is>
      </c>
      <c r="Y35" s="14" t="n">
        <v>0.03</v>
      </c>
      <c r="Z35" s="14" t="n">
        <v>0.01</v>
      </c>
      <c r="AA35" s="14" t="n">
        <v>0.01</v>
      </c>
      <c r="AB35" s="15" t="inlineStr">
        <is>
          <t>-</t>
        </is>
      </c>
      <c r="AC35" s="15" t="inlineStr">
        <is>
          <t>-</t>
        </is>
      </c>
      <c r="AD35" s="15" t="inlineStr">
        <is>
          <t>-</t>
        </is>
      </c>
      <c r="AE35" s="15" t="inlineStr">
        <is>
          <t>-</t>
        </is>
      </c>
      <c r="AF35" s="15" t="inlineStr">
        <is>
          <t>-</t>
        </is>
      </c>
    </row>
    <row r="36">
      <c r="A36" s="20" t="n"/>
      <c r="B36" s="11" t="inlineStr">
        <is>
          <t>Autre (SPONTANÉ)</t>
        </is>
      </c>
      <c r="C36" s="12" t="n">
        <v>572</v>
      </c>
      <c r="D36" s="12" t="n">
        <v>9</v>
      </c>
      <c r="E36" s="12" t="n">
        <v>24</v>
      </c>
      <c r="F36" s="12" t="n">
        <v>8</v>
      </c>
      <c r="G36" s="12" t="n">
        <v>7</v>
      </c>
      <c r="H36" s="12" t="n">
        <v>20</v>
      </c>
      <c r="I36" s="12" t="n">
        <v>32</v>
      </c>
      <c r="J36" s="12" t="n">
        <v>12</v>
      </c>
      <c r="K36" s="12" t="n">
        <v>31</v>
      </c>
      <c r="L36" s="12" t="n">
        <v>11</v>
      </c>
      <c r="M36" s="12" t="n">
        <v>26</v>
      </c>
      <c r="N36" s="12" t="n">
        <v>30</v>
      </c>
      <c r="O36" s="12" t="n">
        <v>36</v>
      </c>
      <c r="P36" s="12" t="n">
        <v>4</v>
      </c>
      <c r="Q36" s="12" t="n">
        <v>29</v>
      </c>
      <c r="R36" s="12" t="n">
        <v>3</v>
      </c>
      <c r="S36" s="12" t="n">
        <v>37</v>
      </c>
      <c r="T36" s="12" t="n">
        <v>19</v>
      </c>
      <c r="U36" s="12" t="n">
        <v>4</v>
      </c>
      <c r="V36" s="12" t="n">
        <v>13</v>
      </c>
      <c r="W36" s="12" t="n">
        <v>2</v>
      </c>
      <c r="X36" s="12" t="n">
        <v>8</v>
      </c>
      <c r="Y36" s="12" t="n">
        <v>19</v>
      </c>
      <c r="Z36" s="12" t="n">
        <v>5</v>
      </c>
      <c r="AA36" s="12" t="n">
        <v>9</v>
      </c>
      <c r="AB36" s="12" t="n">
        <v>27</v>
      </c>
      <c r="AC36" s="12" t="n">
        <v>33</v>
      </c>
      <c r="AD36" s="12" t="n">
        <v>19</v>
      </c>
      <c r="AE36" s="12" t="n">
        <v>12</v>
      </c>
      <c r="AF36" s="12" t="n">
        <v>2</v>
      </c>
    </row>
    <row r="37">
      <c r="A37" s="20" t="n"/>
      <c r="B37" s="13" t="inlineStr">
        <is>
          <t>Other (SPONTANEOUS)</t>
        </is>
      </c>
      <c r="C37" s="14" t="n">
        <v>0.02</v>
      </c>
      <c r="D37" s="14" t="n">
        <v>0.01</v>
      </c>
      <c r="E37" s="14" t="n">
        <v>0.02</v>
      </c>
      <c r="F37" s="14" t="n">
        <v>0.01</v>
      </c>
      <c r="G37" s="14" t="n">
        <v>0.01</v>
      </c>
      <c r="H37" s="14" t="n">
        <v>0.02</v>
      </c>
      <c r="I37" s="14" t="n">
        <v>0.02</v>
      </c>
      <c r="J37" s="14" t="n">
        <v>0.04</v>
      </c>
      <c r="K37" s="14" t="n">
        <v>0.03</v>
      </c>
      <c r="L37" s="14" t="n">
        <v>0.01</v>
      </c>
      <c r="M37" s="14" t="n">
        <v>0.03</v>
      </c>
      <c r="N37" s="14" t="n">
        <v>0.03</v>
      </c>
      <c r="O37" s="14" t="n">
        <v>0.04</v>
      </c>
      <c r="P37" s="15" t="inlineStr">
        <is>
          <t>-</t>
        </is>
      </c>
      <c r="Q37" s="14" t="n">
        <v>0.03</v>
      </c>
      <c r="R37" s="15" t="inlineStr">
        <is>
          <t>-</t>
        </is>
      </c>
      <c r="S37" s="14" t="n">
        <v>0.04</v>
      </c>
      <c r="T37" s="14" t="n">
        <v>0.02</v>
      </c>
      <c r="U37" s="14" t="n">
        <v>0.01</v>
      </c>
      <c r="V37" s="14" t="n">
        <v>0.01</v>
      </c>
      <c r="W37" s="15" t="inlineStr">
        <is>
          <t>-</t>
        </is>
      </c>
      <c r="X37" s="14" t="n">
        <v>0.01</v>
      </c>
      <c r="Y37" s="14" t="n">
        <v>0.02</v>
      </c>
      <c r="Z37" s="15" t="inlineStr">
        <is>
          <t>-</t>
        </is>
      </c>
      <c r="AA37" s="14" t="n">
        <v>0.01</v>
      </c>
      <c r="AB37" s="14" t="n">
        <v>0.02</v>
      </c>
      <c r="AC37" s="14" t="n">
        <v>0.03</v>
      </c>
      <c r="AD37" s="14" t="n">
        <v>0.02</v>
      </c>
      <c r="AE37" s="14" t="n">
        <v>0.01</v>
      </c>
      <c r="AF37" s="15" t="inlineStr">
        <is>
          <t>-</t>
        </is>
      </c>
    </row>
    <row r="38">
      <c r="A38" s="20" t="n"/>
      <c r="B38" s="11" t="inlineStr">
        <is>
          <t>Ne sait pas</t>
        </is>
      </c>
      <c r="C38" s="12" t="n">
        <v>1381</v>
      </c>
      <c r="D38" s="12" t="n">
        <v>22</v>
      </c>
      <c r="E38" s="12" t="n">
        <v>111</v>
      </c>
      <c r="F38" s="12" t="n">
        <v>51</v>
      </c>
      <c r="G38" s="12" t="n">
        <v>10</v>
      </c>
      <c r="H38" s="12" t="n">
        <v>45</v>
      </c>
      <c r="I38" s="12" t="n">
        <v>56</v>
      </c>
      <c r="J38" s="12" t="n">
        <v>11</v>
      </c>
      <c r="K38" s="12" t="n">
        <v>70</v>
      </c>
      <c r="L38" s="12" t="n">
        <v>33</v>
      </c>
      <c r="M38" s="12" t="n">
        <v>29</v>
      </c>
      <c r="N38" s="12" t="n">
        <v>62</v>
      </c>
      <c r="O38" s="12" t="n">
        <v>125</v>
      </c>
      <c r="P38" s="12" t="n">
        <v>19</v>
      </c>
      <c r="Q38" s="12" t="n">
        <v>41</v>
      </c>
      <c r="R38" s="12" t="n">
        <v>30</v>
      </c>
      <c r="S38" s="12" t="n">
        <v>75</v>
      </c>
      <c r="T38" s="12" t="n">
        <v>61</v>
      </c>
      <c r="U38" s="12" t="n">
        <v>11</v>
      </c>
      <c r="V38" s="12" t="n">
        <v>34</v>
      </c>
      <c r="W38" s="12" t="n">
        <v>12</v>
      </c>
      <c r="X38" s="12" t="n">
        <v>17</v>
      </c>
      <c r="Y38" s="12" t="n">
        <v>24</v>
      </c>
      <c r="Z38" s="12" t="n">
        <v>38</v>
      </c>
      <c r="AA38" s="12" t="n">
        <v>52</v>
      </c>
      <c r="AB38" s="12" t="n">
        <v>55</v>
      </c>
      <c r="AC38" s="12" t="n">
        <v>29</v>
      </c>
      <c r="AD38" s="12" t="n">
        <v>16</v>
      </c>
      <c r="AE38" s="12" t="n">
        <v>39</v>
      </c>
      <c r="AF38" s="12" t="n">
        <v>5</v>
      </c>
    </row>
    <row r="39">
      <c r="A39" s="23" t="n"/>
      <c r="B39" s="13" t="inlineStr">
        <is>
          <t>Don’t know</t>
        </is>
      </c>
      <c r="C39" s="14" t="n">
        <v>0.05</v>
      </c>
      <c r="D39" s="14" t="n">
        <v>0.02</v>
      </c>
      <c r="E39" s="14" t="n">
        <v>0.11</v>
      </c>
      <c r="F39" s="14" t="n">
        <v>0.05</v>
      </c>
      <c r="G39" s="14" t="n">
        <v>0.01</v>
      </c>
      <c r="H39" s="14" t="n">
        <v>0.04</v>
      </c>
      <c r="I39" s="14" t="n">
        <v>0.04</v>
      </c>
      <c r="J39" s="14" t="n">
        <v>0.04</v>
      </c>
      <c r="K39" s="14" t="n">
        <v>0.07000000000000001</v>
      </c>
      <c r="L39" s="14" t="n">
        <v>0.03</v>
      </c>
      <c r="M39" s="14" t="n">
        <v>0.03</v>
      </c>
      <c r="N39" s="14" t="n">
        <v>0.06</v>
      </c>
      <c r="O39" s="14" t="n">
        <v>0.12</v>
      </c>
      <c r="P39" s="14" t="n">
        <v>0.02</v>
      </c>
      <c r="Q39" s="14" t="n">
        <v>0.04</v>
      </c>
      <c r="R39" s="14" t="n">
        <v>0.06</v>
      </c>
      <c r="S39" s="14" t="n">
        <v>0.07000000000000001</v>
      </c>
      <c r="T39" s="14" t="n">
        <v>0.06</v>
      </c>
      <c r="U39" s="14" t="n">
        <v>0.02</v>
      </c>
      <c r="V39" s="14" t="n">
        <v>0.03</v>
      </c>
      <c r="W39" s="14" t="n">
        <v>0.03</v>
      </c>
      <c r="X39" s="14" t="n">
        <v>0.02</v>
      </c>
      <c r="Y39" s="14" t="n">
        <v>0.02</v>
      </c>
      <c r="Z39" s="14" t="n">
        <v>0.04</v>
      </c>
      <c r="AA39" s="14" t="n">
        <v>0.05</v>
      </c>
      <c r="AB39" s="14" t="n">
        <v>0.05</v>
      </c>
      <c r="AC39" s="14" t="n">
        <v>0.03</v>
      </c>
      <c r="AD39" s="14" t="n">
        <v>0.02</v>
      </c>
      <c r="AE39" s="14" t="n">
        <v>0.04</v>
      </c>
      <c r="AF39" s="14" t="n">
        <v>0.01</v>
      </c>
    </row>
  </sheetData>
  <mergeCells count="9">
    <mergeCell ref="B4:F4"/>
    <mergeCell ref="H3:L3"/>
    <mergeCell ref="C8:AF8"/>
    <mergeCell ref="B3:F3"/>
    <mergeCell ref="B5:F5"/>
    <mergeCell ref="H5:L5"/>
    <mergeCell ref="B10:B11"/>
    <mergeCell ref="A10:A39"/>
    <mergeCell ref="H4:L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12" customHeight="1" s="18">
      <c r="B3" s="21" t="inlineStr">
        <is>
          <t>QA5b. Et ensuite ? (2 RÉPONSES MAX.)</t>
        </is>
      </c>
      <c r="H3" s="21" t="inlineStr">
        <is>
          <t>QA5b. And then? (MAX. 2 ANSWERS)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Not asked to respondents who answered "Don't know" in QA5a</t>
        </is>
      </c>
      <c r="H5" s="21" t="inlineStr">
        <is>
          <t>Base: Pas demandé aux répondants qui ont répondu “Ne sait pas” à la QA5a</t>
        </is>
      </c>
    </row>
    <row r="6" ht="0.95" customHeight="1" s="18"/>
    <row r="7" ht="0.95" customHeight="1" s="18"/>
    <row r="8">
      <c r="C8" s="22" t="n"/>
    </row>
    <row r="9">
      <c r="A9" s="5">
        <f>HYPERLINK("#Content!A13","&lt;&lt;Back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25040</v>
      </c>
      <c r="D10" s="10" t="n">
        <v>999</v>
      </c>
      <c r="E10" s="10" t="n">
        <v>903</v>
      </c>
      <c r="F10" s="10" t="n">
        <v>998</v>
      </c>
      <c r="G10" s="10" t="n">
        <v>997</v>
      </c>
      <c r="H10" s="10" t="n">
        <v>1169</v>
      </c>
      <c r="I10" s="10" t="n">
        <v>1451</v>
      </c>
      <c r="J10" s="10" t="n">
        <v>282</v>
      </c>
      <c r="K10" s="10" t="n">
        <v>936</v>
      </c>
      <c r="L10" s="10" t="n">
        <v>977</v>
      </c>
      <c r="M10" s="10" t="n">
        <v>978</v>
      </c>
      <c r="N10" s="10" t="n">
        <v>944</v>
      </c>
      <c r="O10" s="10" t="n">
        <v>891</v>
      </c>
      <c r="P10" s="10" t="n">
        <v>988</v>
      </c>
      <c r="Q10" s="10" t="n">
        <v>988</v>
      </c>
      <c r="R10" s="10" t="n">
        <v>474</v>
      </c>
      <c r="S10" s="10" t="n">
        <v>930</v>
      </c>
      <c r="T10" s="10" t="n">
        <v>956</v>
      </c>
      <c r="U10" s="10" t="n">
        <v>497</v>
      </c>
      <c r="V10" s="10" t="n">
        <v>986</v>
      </c>
      <c r="W10" s="10" t="n">
        <v>493</v>
      </c>
      <c r="X10" s="10" t="n">
        <v>1006</v>
      </c>
      <c r="Y10" s="10" t="n">
        <v>979</v>
      </c>
      <c r="Z10" s="10" t="n">
        <v>982</v>
      </c>
      <c r="AA10" s="10" t="n">
        <v>979</v>
      </c>
      <c r="AB10" s="10" t="n">
        <v>990</v>
      </c>
      <c r="AC10" s="10" t="n">
        <v>978</v>
      </c>
      <c r="AD10" s="10" t="n">
        <v>985</v>
      </c>
      <c r="AE10" s="10" t="n">
        <v>977</v>
      </c>
      <c r="AF10" s="10" t="n">
        <v>1032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L’Union européenne contribue au maintien de la démocratie en (NOTRE PAYS)</t>
        </is>
      </c>
      <c r="C12" s="12" t="n">
        <v>2662</v>
      </c>
      <c r="D12" s="12" t="n">
        <v>95</v>
      </c>
      <c r="E12" s="12" t="n">
        <v>114</v>
      </c>
      <c r="F12" s="12" t="n">
        <v>120</v>
      </c>
      <c r="G12" s="12" t="n">
        <v>56</v>
      </c>
      <c r="H12" s="12" t="n">
        <v>154</v>
      </c>
      <c r="I12" s="12" t="n">
        <v>191</v>
      </c>
      <c r="J12" s="12" t="n">
        <v>37</v>
      </c>
      <c r="K12" s="12" t="n">
        <v>86</v>
      </c>
      <c r="L12" s="12" t="n">
        <v>72</v>
      </c>
      <c r="M12" s="12" t="n">
        <v>135</v>
      </c>
      <c r="N12" s="12" t="n">
        <v>106</v>
      </c>
      <c r="O12" s="12" t="n">
        <v>75</v>
      </c>
      <c r="P12" s="12" t="n">
        <v>118</v>
      </c>
      <c r="Q12" s="12" t="n">
        <v>100</v>
      </c>
      <c r="R12" s="12" t="n">
        <v>85</v>
      </c>
      <c r="S12" s="12" t="n">
        <v>87</v>
      </c>
      <c r="T12" s="12" t="n">
        <v>117</v>
      </c>
      <c r="U12" s="12" t="n">
        <v>68</v>
      </c>
      <c r="V12" s="12" t="n">
        <v>172</v>
      </c>
      <c r="W12" s="12" t="n">
        <v>71</v>
      </c>
      <c r="X12" s="12" t="n">
        <v>61</v>
      </c>
      <c r="Y12" s="12" t="n">
        <v>134</v>
      </c>
      <c r="Z12" s="12" t="n">
        <v>80</v>
      </c>
      <c r="AA12" s="12" t="n">
        <v>119</v>
      </c>
      <c r="AB12" s="12" t="n">
        <v>121</v>
      </c>
      <c r="AC12" s="12" t="n">
        <v>95</v>
      </c>
      <c r="AD12" s="12" t="n">
        <v>137</v>
      </c>
      <c r="AE12" s="12" t="n">
        <v>83</v>
      </c>
      <c r="AF12" s="12" t="n">
        <v>53</v>
      </c>
    </row>
    <row r="13">
      <c r="A13" s="20" t="n"/>
      <c r="B13" s="13" t="inlineStr">
        <is>
          <t>The EU contributes to maintaining democracy in (OUR COUNTRY)</t>
        </is>
      </c>
      <c r="C13" s="14" t="n">
        <v>0.11</v>
      </c>
      <c r="D13" s="14" t="n">
        <v>0.1</v>
      </c>
      <c r="E13" s="14" t="n">
        <v>0.14</v>
      </c>
      <c r="F13" s="14" t="n">
        <v>0.13</v>
      </c>
      <c r="G13" s="14" t="n">
        <v>0.06</v>
      </c>
      <c r="H13" s="14" t="n">
        <v>0.14</v>
      </c>
      <c r="I13" s="14" t="n">
        <v>0.14</v>
      </c>
      <c r="J13" s="14" t="n">
        <v>0.14</v>
      </c>
      <c r="K13" s="14" t="n">
        <v>0.09</v>
      </c>
      <c r="L13" s="14" t="n">
        <v>0.08</v>
      </c>
      <c r="M13" s="14" t="n">
        <v>0.15</v>
      </c>
      <c r="N13" s="14" t="n">
        <v>0.12</v>
      </c>
      <c r="O13" s="14" t="n">
        <v>0.09</v>
      </c>
      <c r="P13" s="14" t="n">
        <v>0.13</v>
      </c>
      <c r="Q13" s="14" t="n">
        <v>0.11</v>
      </c>
      <c r="R13" s="14" t="n">
        <v>0.19</v>
      </c>
      <c r="S13" s="14" t="n">
        <v>0.1</v>
      </c>
      <c r="T13" s="14" t="n">
        <v>0.13</v>
      </c>
      <c r="U13" s="14" t="n">
        <v>0.14</v>
      </c>
      <c r="V13" s="14" t="n">
        <v>0.19</v>
      </c>
      <c r="W13" s="14" t="n">
        <v>0.16</v>
      </c>
      <c r="X13" s="14" t="n">
        <v>0.06</v>
      </c>
      <c r="Y13" s="14" t="n">
        <v>0.15</v>
      </c>
      <c r="Z13" s="14" t="n">
        <v>0.09</v>
      </c>
      <c r="AA13" s="14" t="n">
        <v>0.13</v>
      </c>
      <c r="AB13" s="14" t="n">
        <v>0.13</v>
      </c>
      <c r="AC13" s="14" t="n">
        <v>0.1</v>
      </c>
      <c r="AD13" s="14" t="n">
        <v>0.15</v>
      </c>
      <c r="AE13" s="14" t="n">
        <v>0.09</v>
      </c>
      <c r="AF13" s="14" t="n">
        <v>0.05</v>
      </c>
    </row>
    <row r="14">
      <c r="A14" s="20" t="n"/>
      <c r="B14" s="11" t="inlineStr">
        <is>
          <t>L’Union européenne contribue à préserver la paix et à renforcer la sécurité</t>
        </is>
      </c>
      <c r="C14" s="12" t="n">
        <v>5583</v>
      </c>
      <c r="D14" s="12" t="n">
        <v>214</v>
      </c>
      <c r="E14" s="12" t="n">
        <v>164</v>
      </c>
      <c r="F14" s="12" t="n">
        <v>186</v>
      </c>
      <c r="G14" s="12" t="n">
        <v>262</v>
      </c>
      <c r="H14" s="12" t="n">
        <v>321</v>
      </c>
      <c r="I14" s="12" t="n">
        <v>414</v>
      </c>
      <c r="J14" s="12" t="n">
        <v>93</v>
      </c>
      <c r="K14" s="12" t="n">
        <v>186</v>
      </c>
      <c r="L14" s="12" t="n">
        <v>113</v>
      </c>
      <c r="M14" s="12" t="n">
        <v>227</v>
      </c>
      <c r="N14" s="12" t="n">
        <v>170</v>
      </c>
      <c r="O14" s="12" t="n">
        <v>176</v>
      </c>
      <c r="P14" s="12" t="n">
        <v>239</v>
      </c>
      <c r="Q14" s="12" t="n">
        <v>226</v>
      </c>
      <c r="R14" s="12" t="n">
        <v>123</v>
      </c>
      <c r="S14" s="12" t="n">
        <v>199</v>
      </c>
      <c r="T14" s="12" t="n">
        <v>200</v>
      </c>
      <c r="U14" s="12" t="n">
        <v>84</v>
      </c>
      <c r="V14" s="12" t="n">
        <v>149</v>
      </c>
      <c r="W14" s="12" t="n">
        <v>75</v>
      </c>
      <c r="X14" s="12" t="n">
        <v>309</v>
      </c>
      <c r="Y14" s="12" t="n">
        <v>215</v>
      </c>
      <c r="Z14" s="12" t="n">
        <v>174</v>
      </c>
      <c r="AA14" s="12" t="n">
        <v>166</v>
      </c>
      <c r="AB14" s="12" t="n">
        <v>176</v>
      </c>
      <c r="AC14" s="12" t="n">
        <v>175</v>
      </c>
      <c r="AD14" s="12" t="n">
        <v>190</v>
      </c>
      <c r="AE14" s="12" t="n">
        <v>263</v>
      </c>
      <c r="AF14" s="12" t="n">
        <v>353</v>
      </c>
    </row>
    <row r="15">
      <c r="A15" s="20" t="n"/>
      <c r="B15" s="13" t="inlineStr">
        <is>
          <t>The EU contributes to protecting peace and strengthening security</t>
        </is>
      </c>
      <c r="C15" s="14" t="n">
        <v>0.28</v>
      </c>
      <c r="D15" s="14" t="n">
        <v>0.26</v>
      </c>
      <c r="E15" s="14" t="n">
        <v>0.21</v>
      </c>
      <c r="F15" s="14" t="n">
        <v>0.24</v>
      </c>
      <c r="G15" s="14" t="n">
        <v>0.33</v>
      </c>
      <c r="H15" s="14" t="n">
        <v>0.36</v>
      </c>
      <c r="I15" s="14" t="n">
        <v>0.37</v>
      </c>
      <c r="J15" s="14" t="n">
        <v>0.42</v>
      </c>
      <c r="K15" s="14" t="n">
        <v>0.24</v>
      </c>
      <c r="L15" s="14" t="n">
        <v>0.12</v>
      </c>
      <c r="M15" s="14" t="n">
        <v>0.3</v>
      </c>
      <c r="N15" s="14" t="n">
        <v>0.21</v>
      </c>
      <c r="O15" s="14" t="n">
        <v>0.27</v>
      </c>
      <c r="P15" s="14" t="n">
        <v>0.29</v>
      </c>
      <c r="Q15" s="14" t="n">
        <v>0.29</v>
      </c>
      <c r="R15" s="14" t="n">
        <v>0.35</v>
      </c>
      <c r="S15" s="14" t="n">
        <v>0.29</v>
      </c>
      <c r="T15" s="14" t="n">
        <v>0.26</v>
      </c>
      <c r="U15" s="14" t="n">
        <v>0.21</v>
      </c>
      <c r="V15" s="14" t="n">
        <v>0.17</v>
      </c>
      <c r="W15" s="14" t="n">
        <v>0.16</v>
      </c>
      <c r="X15" s="14" t="n">
        <v>0.4</v>
      </c>
      <c r="Y15" s="14" t="n">
        <v>0.27</v>
      </c>
      <c r="Z15" s="14" t="n">
        <v>0.21</v>
      </c>
      <c r="AA15" s="14" t="n">
        <v>0.18</v>
      </c>
      <c r="AB15" s="14" t="n">
        <v>0.2</v>
      </c>
      <c r="AC15" s="14" t="n">
        <v>0.22</v>
      </c>
      <c r="AD15" s="14" t="n">
        <v>0.22</v>
      </c>
      <c r="AE15" s="14" t="n">
        <v>0.33</v>
      </c>
      <c r="AF15" s="14" t="n">
        <v>0.43</v>
      </c>
    </row>
    <row r="16">
      <c r="A16" s="20" t="n"/>
      <c r="B16" s="11" t="inlineStr">
        <is>
          <t>L'Union européenne contribue à la croissance économique en (NOTRE PAYS)</t>
        </is>
      </c>
      <c r="C16" s="12" t="n">
        <v>4351</v>
      </c>
      <c r="D16" s="12" t="n">
        <v>194</v>
      </c>
      <c r="E16" s="12" t="n">
        <v>139</v>
      </c>
      <c r="F16" s="12" t="n">
        <v>134</v>
      </c>
      <c r="G16" s="12" t="n">
        <v>198</v>
      </c>
      <c r="H16" s="12" t="n">
        <v>187</v>
      </c>
      <c r="I16" s="12" t="n">
        <v>228</v>
      </c>
      <c r="J16" s="12" t="n">
        <v>41</v>
      </c>
      <c r="K16" s="12" t="n">
        <v>161</v>
      </c>
      <c r="L16" s="12" t="n">
        <v>276</v>
      </c>
      <c r="M16" s="12" t="n">
        <v>170</v>
      </c>
      <c r="N16" s="12" t="n">
        <v>190</v>
      </c>
      <c r="O16" s="12" t="n">
        <v>111</v>
      </c>
      <c r="P16" s="12" t="n">
        <v>194</v>
      </c>
      <c r="Q16" s="12" t="n">
        <v>151</v>
      </c>
      <c r="R16" s="12" t="n">
        <v>104</v>
      </c>
      <c r="S16" s="12" t="n">
        <v>165</v>
      </c>
      <c r="T16" s="12" t="n">
        <v>269</v>
      </c>
      <c r="U16" s="12" t="n">
        <v>121</v>
      </c>
      <c r="V16" s="12" t="n">
        <v>229</v>
      </c>
      <c r="W16" s="12" t="n">
        <v>137</v>
      </c>
      <c r="X16" s="12" t="n">
        <v>277</v>
      </c>
      <c r="Y16" s="12" t="n">
        <v>205</v>
      </c>
      <c r="Z16" s="12" t="n">
        <v>178</v>
      </c>
      <c r="AA16" s="12" t="n">
        <v>229</v>
      </c>
      <c r="AB16" s="12" t="n">
        <v>136</v>
      </c>
      <c r="AC16" s="12" t="n">
        <v>231</v>
      </c>
      <c r="AD16" s="12" t="n">
        <v>211</v>
      </c>
      <c r="AE16" s="12" t="n">
        <v>130</v>
      </c>
      <c r="AF16" s="12" t="n">
        <v>207</v>
      </c>
    </row>
    <row r="17">
      <c r="A17" s="20" t="n"/>
      <c r="B17" s="13" t="inlineStr">
        <is>
          <t>The EU contributes to economic growth in (OUR COUNTRY)</t>
        </is>
      </c>
      <c r="C17" s="14" t="n">
        <v>0.2</v>
      </c>
      <c r="D17" s="14" t="n">
        <v>0.22</v>
      </c>
      <c r="E17" s="14" t="n">
        <v>0.17</v>
      </c>
      <c r="F17" s="14" t="n">
        <v>0.15</v>
      </c>
      <c r="G17" s="14" t="n">
        <v>0.23</v>
      </c>
      <c r="H17" s="14" t="n">
        <v>0.18</v>
      </c>
      <c r="I17" s="14" t="n">
        <v>0.18</v>
      </c>
      <c r="J17" s="14" t="n">
        <v>0.16</v>
      </c>
      <c r="K17" s="14" t="n">
        <v>0.19</v>
      </c>
      <c r="L17" s="14" t="n">
        <v>0.4</v>
      </c>
      <c r="M17" s="14" t="n">
        <v>0.2</v>
      </c>
      <c r="N17" s="14" t="n">
        <v>0.25</v>
      </c>
      <c r="O17" s="14" t="n">
        <v>0.14</v>
      </c>
      <c r="P17" s="14" t="n">
        <v>0.22</v>
      </c>
      <c r="Q17" s="14" t="n">
        <v>0.17</v>
      </c>
      <c r="R17" s="14" t="n">
        <v>0.26</v>
      </c>
      <c r="S17" s="14" t="n">
        <v>0.2</v>
      </c>
      <c r="T17" s="14" t="n">
        <v>0.37</v>
      </c>
      <c r="U17" s="14" t="n">
        <v>0.3</v>
      </c>
      <c r="V17" s="14" t="n">
        <v>0.27</v>
      </c>
      <c r="W17" s="14" t="n">
        <v>0.38</v>
      </c>
      <c r="X17" s="14" t="n">
        <v>0.34</v>
      </c>
      <c r="Y17" s="14" t="n">
        <v>0.24</v>
      </c>
      <c r="Z17" s="14" t="n">
        <v>0.21</v>
      </c>
      <c r="AA17" s="14" t="n">
        <v>0.29</v>
      </c>
      <c r="AB17" s="14" t="n">
        <v>0.16</v>
      </c>
      <c r="AC17" s="14" t="n">
        <v>0.29</v>
      </c>
      <c r="AD17" s="14" t="n">
        <v>0.25</v>
      </c>
      <c r="AE17" s="14" t="n">
        <v>0.14</v>
      </c>
      <c r="AF17" s="14" t="n">
        <v>0.22</v>
      </c>
    </row>
    <row r="18">
      <c r="A18" s="20" t="n"/>
      <c r="B18" s="11" t="inlineStr">
        <is>
          <t>L'appartenance à l'Union européenne améliore la coopération entre (NOTRE PAYS) et les autres pays de l'Union européenne</t>
        </is>
      </c>
      <c r="C18" s="12" t="n">
        <v>5043</v>
      </c>
      <c r="D18" s="12" t="n">
        <v>212</v>
      </c>
      <c r="E18" s="12" t="n">
        <v>175</v>
      </c>
      <c r="F18" s="12" t="n">
        <v>158</v>
      </c>
      <c r="G18" s="12" t="n">
        <v>262</v>
      </c>
      <c r="H18" s="12" t="n">
        <v>288</v>
      </c>
      <c r="I18" s="12" t="n">
        <v>349</v>
      </c>
      <c r="J18" s="12" t="n">
        <v>61</v>
      </c>
      <c r="K18" s="12" t="n">
        <v>142</v>
      </c>
      <c r="L18" s="12" t="n">
        <v>119</v>
      </c>
      <c r="M18" s="12" t="n">
        <v>201</v>
      </c>
      <c r="N18" s="12" t="n">
        <v>167</v>
      </c>
      <c r="O18" s="12" t="n">
        <v>167</v>
      </c>
      <c r="P18" s="12" t="n">
        <v>145</v>
      </c>
      <c r="Q18" s="12" t="n">
        <v>208</v>
      </c>
      <c r="R18" s="12" t="n">
        <v>102</v>
      </c>
      <c r="S18" s="12" t="n">
        <v>163</v>
      </c>
      <c r="T18" s="12" t="n">
        <v>130</v>
      </c>
      <c r="U18" s="12" t="n">
        <v>100</v>
      </c>
      <c r="V18" s="12" t="n">
        <v>156</v>
      </c>
      <c r="W18" s="12" t="n">
        <v>90</v>
      </c>
      <c r="X18" s="12" t="n">
        <v>298</v>
      </c>
      <c r="Y18" s="12" t="n">
        <v>160</v>
      </c>
      <c r="Z18" s="12" t="n">
        <v>149</v>
      </c>
      <c r="AA18" s="12" t="n">
        <v>138</v>
      </c>
      <c r="AB18" s="12" t="n">
        <v>156</v>
      </c>
      <c r="AC18" s="12" t="n">
        <v>192</v>
      </c>
      <c r="AD18" s="12" t="n">
        <v>224</v>
      </c>
      <c r="AE18" s="12" t="n">
        <v>244</v>
      </c>
      <c r="AF18" s="12" t="n">
        <v>307</v>
      </c>
    </row>
    <row r="19">
      <c r="A19" s="20" t="n"/>
      <c r="B19" s="13" t="inlineStr">
        <is>
          <t>Membership of the EU improves cooperation between (OUR COUNTRY) and the other countries of the EU</t>
        </is>
      </c>
      <c r="C19" s="14" t="n">
        <v>0.24</v>
      </c>
      <c r="D19" s="14" t="n">
        <v>0.26</v>
      </c>
      <c r="E19" s="14" t="n">
        <v>0.22</v>
      </c>
      <c r="F19" s="14" t="n">
        <v>0.18</v>
      </c>
      <c r="G19" s="14" t="n">
        <v>0.4</v>
      </c>
      <c r="H19" s="14" t="n">
        <v>0.31</v>
      </c>
      <c r="I19" s="14" t="n">
        <v>0.31</v>
      </c>
      <c r="J19" s="14" t="n">
        <v>0.29</v>
      </c>
      <c r="K19" s="14" t="n">
        <v>0.18</v>
      </c>
      <c r="L19" s="14" t="n">
        <v>0.14</v>
      </c>
      <c r="M19" s="14" t="n">
        <v>0.23</v>
      </c>
      <c r="N19" s="14" t="n">
        <v>0.2</v>
      </c>
      <c r="O19" s="14" t="n">
        <v>0.21</v>
      </c>
      <c r="P19" s="14" t="n">
        <v>0.16</v>
      </c>
      <c r="Q19" s="14" t="n">
        <v>0.24</v>
      </c>
      <c r="R19" s="14" t="n">
        <v>0.24</v>
      </c>
      <c r="S19" s="14" t="n">
        <v>0.2</v>
      </c>
      <c r="T19" s="14" t="n">
        <v>0.14</v>
      </c>
      <c r="U19" s="14" t="n">
        <v>0.24</v>
      </c>
      <c r="V19" s="14" t="n">
        <v>0.18</v>
      </c>
      <c r="W19" s="14" t="n">
        <v>0.2</v>
      </c>
      <c r="X19" s="14" t="n">
        <v>0.42</v>
      </c>
      <c r="Y19" s="14" t="n">
        <v>0.18</v>
      </c>
      <c r="Z19" s="14" t="n">
        <v>0.17</v>
      </c>
      <c r="AA19" s="14" t="n">
        <v>0.16</v>
      </c>
      <c r="AB19" s="14" t="n">
        <v>0.17</v>
      </c>
      <c r="AC19" s="14" t="n">
        <v>0.24</v>
      </c>
      <c r="AD19" s="14" t="n">
        <v>0.25</v>
      </c>
      <c r="AE19" s="14" t="n">
        <v>0.39</v>
      </c>
      <c r="AF19" s="14" t="n">
        <v>0.51</v>
      </c>
    </row>
    <row r="20">
      <c r="A20" s="20" t="n"/>
      <c r="B20" s="11" t="inlineStr">
        <is>
          <t>L'appartenance à l'Union européenne améliore la coopération entre (NOTRE PAYS) et les pays en dehors de l'Union européenne</t>
        </is>
      </c>
      <c r="C20" s="12" t="n">
        <v>3621</v>
      </c>
      <c r="D20" s="12" t="n">
        <v>165</v>
      </c>
      <c r="E20" s="12" t="n">
        <v>101</v>
      </c>
      <c r="F20" s="12" t="n">
        <v>111</v>
      </c>
      <c r="G20" s="12" t="n">
        <v>213</v>
      </c>
      <c r="H20" s="12" t="n">
        <v>191</v>
      </c>
      <c r="I20" s="12" t="n">
        <v>242</v>
      </c>
      <c r="J20" s="12" t="n">
        <v>51</v>
      </c>
      <c r="K20" s="12" t="n">
        <v>100</v>
      </c>
      <c r="L20" s="12" t="n">
        <v>98</v>
      </c>
      <c r="M20" s="12" t="n">
        <v>154</v>
      </c>
      <c r="N20" s="12" t="n">
        <v>134</v>
      </c>
      <c r="O20" s="12" t="n">
        <v>121</v>
      </c>
      <c r="P20" s="12" t="n">
        <v>127</v>
      </c>
      <c r="Q20" s="12" t="n">
        <v>143</v>
      </c>
      <c r="R20" s="12" t="n">
        <v>30</v>
      </c>
      <c r="S20" s="12" t="n">
        <v>101</v>
      </c>
      <c r="T20" s="12" t="n">
        <v>61</v>
      </c>
      <c r="U20" s="12" t="n">
        <v>69</v>
      </c>
      <c r="V20" s="12" t="n">
        <v>107</v>
      </c>
      <c r="W20" s="12" t="n">
        <v>56</v>
      </c>
      <c r="X20" s="12" t="n">
        <v>202</v>
      </c>
      <c r="Y20" s="12" t="n">
        <v>130</v>
      </c>
      <c r="Z20" s="12" t="n">
        <v>118</v>
      </c>
      <c r="AA20" s="12" t="n">
        <v>81</v>
      </c>
      <c r="AB20" s="12" t="n">
        <v>135</v>
      </c>
      <c r="AC20" s="12" t="n">
        <v>118</v>
      </c>
      <c r="AD20" s="12" t="n">
        <v>100</v>
      </c>
      <c r="AE20" s="12" t="n">
        <v>226</v>
      </c>
      <c r="AF20" s="12" t="n">
        <v>168</v>
      </c>
    </row>
    <row r="21">
      <c r="A21" s="20" t="n"/>
      <c r="B21" s="13" t="inlineStr">
        <is>
          <t>Membership of the EU improves cooperation between (OUR COUNTRY) and countries outside the EU</t>
        </is>
      </c>
      <c r="C21" s="14" t="n">
        <v>0.16</v>
      </c>
      <c r="D21" s="14" t="n">
        <v>0.18</v>
      </c>
      <c r="E21" s="14" t="n">
        <v>0.12</v>
      </c>
      <c r="F21" s="14" t="n">
        <v>0.12</v>
      </c>
      <c r="G21" s="14" t="n">
        <v>0.23</v>
      </c>
      <c r="H21" s="14" t="n">
        <v>0.18</v>
      </c>
      <c r="I21" s="14" t="n">
        <v>0.18</v>
      </c>
      <c r="J21" s="14" t="n">
        <v>0.2</v>
      </c>
      <c r="K21" s="14" t="n">
        <v>0.11</v>
      </c>
      <c r="L21" s="14" t="n">
        <v>0.1</v>
      </c>
      <c r="M21" s="14" t="n">
        <v>0.17</v>
      </c>
      <c r="N21" s="14" t="n">
        <v>0.15</v>
      </c>
      <c r="O21" s="14" t="n">
        <v>0.14</v>
      </c>
      <c r="P21" s="14" t="n">
        <v>0.14</v>
      </c>
      <c r="Q21" s="14" t="n">
        <v>0.16</v>
      </c>
      <c r="R21" s="14" t="n">
        <v>0.06</v>
      </c>
      <c r="S21" s="14" t="n">
        <v>0.11</v>
      </c>
      <c r="T21" s="14" t="n">
        <v>0.07000000000000001</v>
      </c>
      <c r="U21" s="14" t="n">
        <v>0.14</v>
      </c>
      <c r="V21" s="14" t="n">
        <v>0.11</v>
      </c>
      <c r="W21" s="14" t="n">
        <v>0.12</v>
      </c>
      <c r="X21" s="14" t="n">
        <v>0.23</v>
      </c>
      <c r="Y21" s="14" t="n">
        <v>0.14</v>
      </c>
      <c r="Z21" s="14" t="n">
        <v>0.13</v>
      </c>
      <c r="AA21" s="14" t="n">
        <v>0.09</v>
      </c>
      <c r="AB21" s="14" t="n">
        <v>0.15</v>
      </c>
      <c r="AC21" s="14" t="n">
        <v>0.13</v>
      </c>
      <c r="AD21" s="14" t="n">
        <v>0.11</v>
      </c>
      <c r="AE21" s="14" t="n">
        <v>0.26</v>
      </c>
      <c r="AF21" s="14" t="n">
        <v>0.17</v>
      </c>
    </row>
    <row r="22">
      <c r="A22" s="20" t="n"/>
      <c r="B22" s="11" t="inlineStr">
        <is>
          <t>Les  (NATIONALITÉ) ont une influence significative sur les décisions prises au sein de l'Union européenne</t>
        </is>
      </c>
      <c r="C22" s="12" t="n">
        <v>2181</v>
      </c>
      <c r="D22" s="12" t="n">
        <v>94</v>
      </c>
      <c r="E22" s="12" t="n">
        <v>71</v>
      </c>
      <c r="F22" s="12" t="n">
        <v>78</v>
      </c>
      <c r="G22" s="12" t="n">
        <v>83</v>
      </c>
      <c r="H22" s="12" t="n">
        <v>78</v>
      </c>
      <c r="I22" s="12" t="n">
        <v>96</v>
      </c>
      <c r="J22" s="12" t="n">
        <v>18</v>
      </c>
      <c r="K22" s="12" t="n">
        <v>48</v>
      </c>
      <c r="L22" s="12" t="n">
        <v>54</v>
      </c>
      <c r="M22" s="12" t="n">
        <v>116</v>
      </c>
      <c r="N22" s="12" t="n">
        <v>70</v>
      </c>
      <c r="O22" s="12" t="n">
        <v>93</v>
      </c>
      <c r="P22" s="12" t="n">
        <v>83</v>
      </c>
      <c r="Q22" s="12" t="n">
        <v>124</v>
      </c>
      <c r="R22" s="12" t="n">
        <v>26</v>
      </c>
      <c r="S22" s="12" t="n">
        <v>38</v>
      </c>
      <c r="T22" s="12" t="n">
        <v>56</v>
      </c>
      <c r="U22" s="12" t="n">
        <v>33</v>
      </c>
      <c r="V22" s="12" t="n">
        <v>92</v>
      </c>
      <c r="W22" s="12" t="n">
        <v>47</v>
      </c>
      <c r="X22" s="12" t="n">
        <v>52</v>
      </c>
      <c r="Y22" s="12" t="n">
        <v>102</v>
      </c>
      <c r="Z22" s="12" t="n">
        <v>83</v>
      </c>
      <c r="AA22" s="12" t="n">
        <v>76</v>
      </c>
      <c r="AB22" s="12" t="n">
        <v>96</v>
      </c>
      <c r="AC22" s="12" t="n">
        <v>54</v>
      </c>
      <c r="AD22" s="12" t="n">
        <v>68</v>
      </c>
      <c r="AE22" s="12" t="n">
        <v>42</v>
      </c>
      <c r="AF22" s="12" t="n">
        <v>89</v>
      </c>
    </row>
    <row r="23">
      <c r="A23" s="20" t="n"/>
      <c r="B23" s="13" t="inlineStr">
        <is>
          <t>(NATIONALITY) people have a significant influence on decisions made at EU level</t>
        </is>
      </c>
      <c r="C23" s="14" t="n">
        <v>0.09</v>
      </c>
      <c r="D23" s="14" t="n">
        <v>0.1</v>
      </c>
      <c r="E23" s="14" t="n">
        <v>0.08</v>
      </c>
      <c r="F23" s="14" t="n">
        <v>0.08</v>
      </c>
      <c r="G23" s="14" t="n">
        <v>0.09</v>
      </c>
      <c r="H23" s="14" t="n">
        <v>0.07000000000000001</v>
      </c>
      <c r="I23" s="14" t="n">
        <v>0.07000000000000001</v>
      </c>
      <c r="J23" s="14" t="n">
        <v>0.07000000000000001</v>
      </c>
      <c r="K23" s="14" t="n">
        <v>0.05</v>
      </c>
      <c r="L23" s="14" t="n">
        <v>0.06</v>
      </c>
      <c r="M23" s="14" t="n">
        <v>0.12</v>
      </c>
      <c r="N23" s="14" t="n">
        <v>0.08</v>
      </c>
      <c r="O23" s="14" t="n">
        <v>0.11</v>
      </c>
      <c r="P23" s="14" t="n">
        <v>0.09</v>
      </c>
      <c r="Q23" s="14" t="n">
        <v>0.13</v>
      </c>
      <c r="R23" s="14" t="n">
        <v>0.06</v>
      </c>
      <c r="S23" s="14" t="n">
        <v>0.04</v>
      </c>
      <c r="T23" s="14" t="n">
        <v>0.06</v>
      </c>
      <c r="U23" s="14" t="n">
        <v>0.07000000000000001</v>
      </c>
      <c r="V23" s="14" t="n">
        <v>0.1</v>
      </c>
      <c r="W23" s="14" t="n">
        <v>0.1</v>
      </c>
      <c r="X23" s="14" t="n">
        <v>0.05</v>
      </c>
      <c r="Y23" s="14" t="n">
        <v>0.11</v>
      </c>
      <c r="Z23" s="14" t="n">
        <v>0.09</v>
      </c>
      <c r="AA23" s="14" t="n">
        <v>0.08</v>
      </c>
      <c r="AB23" s="14" t="n">
        <v>0.1</v>
      </c>
      <c r="AC23" s="14" t="n">
        <v>0.06</v>
      </c>
      <c r="AD23" s="14" t="n">
        <v>0.07000000000000001</v>
      </c>
      <c r="AE23" s="14" t="n">
        <v>0.04</v>
      </c>
      <c r="AF23" s="14" t="n">
        <v>0.09</v>
      </c>
    </row>
    <row r="24">
      <c r="A24" s="20" t="n"/>
      <c r="B24" s="11" t="inlineStr">
        <is>
          <t>L'Union européenne donne aux  (NATIONALITÉ) un poids plus important dans le monde</t>
        </is>
      </c>
      <c r="C24" s="12" t="n">
        <v>3614</v>
      </c>
      <c r="D24" s="12" t="n">
        <v>154</v>
      </c>
      <c r="E24" s="12" t="n">
        <v>130</v>
      </c>
      <c r="F24" s="12" t="n">
        <v>132</v>
      </c>
      <c r="G24" s="12" t="n">
        <v>262</v>
      </c>
      <c r="H24" s="12" t="n">
        <v>137</v>
      </c>
      <c r="I24" s="12" t="n">
        <v>167</v>
      </c>
      <c r="J24" s="12" t="n">
        <v>30</v>
      </c>
      <c r="K24" s="12" t="n">
        <v>133</v>
      </c>
      <c r="L24" s="12" t="n">
        <v>173</v>
      </c>
      <c r="M24" s="12" t="n">
        <v>166</v>
      </c>
      <c r="N24" s="12" t="n">
        <v>113</v>
      </c>
      <c r="O24" s="12" t="n">
        <v>142</v>
      </c>
      <c r="P24" s="12" t="n">
        <v>183</v>
      </c>
      <c r="Q24" s="12" t="n">
        <v>194</v>
      </c>
      <c r="R24" s="12" t="n">
        <v>78</v>
      </c>
      <c r="S24" s="12" t="n">
        <v>63</v>
      </c>
      <c r="T24" s="12" t="n">
        <v>108</v>
      </c>
      <c r="U24" s="12" t="n">
        <v>89</v>
      </c>
      <c r="V24" s="12" t="n">
        <v>127</v>
      </c>
      <c r="W24" s="12" t="n">
        <v>71</v>
      </c>
      <c r="X24" s="12" t="n">
        <v>82</v>
      </c>
      <c r="Y24" s="12" t="n">
        <v>168</v>
      </c>
      <c r="Z24" s="12" t="n">
        <v>118</v>
      </c>
      <c r="AA24" s="12" t="n">
        <v>253</v>
      </c>
      <c r="AB24" s="12" t="n">
        <v>119</v>
      </c>
      <c r="AC24" s="12" t="n">
        <v>80</v>
      </c>
      <c r="AD24" s="12" t="n">
        <v>125</v>
      </c>
      <c r="AE24" s="12" t="n">
        <v>160</v>
      </c>
      <c r="AF24" s="12" t="n">
        <v>122</v>
      </c>
    </row>
    <row r="25">
      <c r="A25" s="20" t="n"/>
      <c r="B25" s="13" t="inlineStr">
        <is>
          <t>The EU gives (NATIONALITY) people a stronger say in the world</t>
        </is>
      </c>
      <c r="C25" s="14" t="n">
        <v>0.16</v>
      </c>
      <c r="D25" s="14" t="n">
        <v>0.17</v>
      </c>
      <c r="E25" s="14" t="n">
        <v>0.15</v>
      </c>
      <c r="F25" s="14" t="n">
        <v>0.14</v>
      </c>
      <c r="G25" s="14" t="n">
        <v>0.29</v>
      </c>
      <c r="H25" s="14" t="n">
        <v>0.13</v>
      </c>
      <c r="I25" s="14" t="n">
        <v>0.12</v>
      </c>
      <c r="J25" s="14" t="n">
        <v>0.11</v>
      </c>
      <c r="K25" s="14" t="n">
        <v>0.15</v>
      </c>
      <c r="L25" s="14" t="n">
        <v>0.2</v>
      </c>
      <c r="M25" s="14" t="n">
        <v>0.19</v>
      </c>
      <c r="N25" s="14" t="n">
        <v>0.13</v>
      </c>
      <c r="O25" s="14" t="n">
        <v>0.18</v>
      </c>
      <c r="P25" s="14" t="n">
        <v>0.2</v>
      </c>
      <c r="Q25" s="14" t="n">
        <v>0.23</v>
      </c>
      <c r="R25" s="14" t="n">
        <v>0.18</v>
      </c>
      <c r="S25" s="14" t="n">
        <v>0.07000000000000001</v>
      </c>
      <c r="T25" s="14" t="n">
        <v>0.12</v>
      </c>
      <c r="U25" s="14" t="n">
        <v>0.21</v>
      </c>
      <c r="V25" s="14" t="n">
        <v>0.14</v>
      </c>
      <c r="W25" s="14" t="n">
        <v>0.16</v>
      </c>
      <c r="X25" s="14" t="n">
        <v>0.08</v>
      </c>
      <c r="Y25" s="14" t="n">
        <v>0.19</v>
      </c>
      <c r="Z25" s="14" t="n">
        <v>0.13</v>
      </c>
      <c r="AA25" s="14" t="n">
        <v>0.32</v>
      </c>
      <c r="AB25" s="14" t="n">
        <v>0.13</v>
      </c>
      <c r="AC25" s="14" t="n">
        <v>0.09</v>
      </c>
      <c r="AD25" s="14" t="n">
        <v>0.14</v>
      </c>
      <c r="AE25" s="14" t="n">
        <v>0.17</v>
      </c>
      <c r="AF25" s="14" t="n">
        <v>0.12</v>
      </c>
    </row>
    <row r="26">
      <c r="A26" s="20" t="n"/>
      <c r="B26" s="11" t="inlineStr">
        <is>
          <t>L'Union européenne améliore le niveau de vie des  (NATIONALITÉ)</t>
        </is>
      </c>
      <c r="C26" s="12" t="n">
        <v>2883</v>
      </c>
      <c r="D26" s="12" t="n">
        <v>106</v>
      </c>
      <c r="E26" s="12" t="n">
        <v>129</v>
      </c>
      <c r="F26" s="12" t="n">
        <v>140</v>
      </c>
      <c r="G26" s="12" t="n">
        <v>69</v>
      </c>
      <c r="H26" s="12" t="n">
        <v>111</v>
      </c>
      <c r="I26" s="12" t="n">
        <v>133</v>
      </c>
      <c r="J26" s="12" t="n">
        <v>22</v>
      </c>
      <c r="K26" s="12" t="n">
        <v>135</v>
      </c>
      <c r="L26" s="12" t="n">
        <v>250</v>
      </c>
      <c r="M26" s="12" t="n">
        <v>143</v>
      </c>
      <c r="N26" s="12" t="n">
        <v>144</v>
      </c>
      <c r="O26" s="12" t="n">
        <v>61</v>
      </c>
      <c r="P26" s="12" t="n">
        <v>201</v>
      </c>
      <c r="Q26" s="12" t="n">
        <v>74</v>
      </c>
      <c r="R26" s="12" t="n">
        <v>66</v>
      </c>
      <c r="S26" s="12" t="n">
        <v>171</v>
      </c>
      <c r="T26" s="12" t="n">
        <v>235</v>
      </c>
      <c r="U26" s="12" t="n">
        <v>64</v>
      </c>
      <c r="V26" s="12" t="n">
        <v>182</v>
      </c>
      <c r="W26" s="12" t="n">
        <v>76</v>
      </c>
      <c r="X26" s="12" t="n">
        <v>85</v>
      </c>
      <c r="Y26" s="12" t="n">
        <v>127</v>
      </c>
      <c r="Z26" s="12" t="n">
        <v>171</v>
      </c>
      <c r="AA26" s="12" t="n">
        <v>161</v>
      </c>
      <c r="AB26" s="12" t="n">
        <v>175</v>
      </c>
      <c r="AC26" s="12" t="n">
        <v>158</v>
      </c>
      <c r="AD26" s="12" t="n">
        <v>148</v>
      </c>
      <c r="AE26" s="12" t="n">
        <v>70</v>
      </c>
      <c r="AF26" s="12" t="n">
        <v>46</v>
      </c>
    </row>
    <row r="27">
      <c r="A27" s="20" t="n"/>
      <c r="B27" s="13" t="inlineStr">
        <is>
          <t>The EU improves (NATIONALITY) people's standard of living</t>
        </is>
      </c>
      <c r="C27" s="14" t="n">
        <v>0.12</v>
      </c>
      <c r="D27" s="14" t="n">
        <v>0.11</v>
      </c>
      <c r="E27" s="14" t="n">
        <v>0.15</v>
      </c>
      <c r="F27" s="14" t="n">
        <v>0.15</v>
      </c>
      <c r="G27" s="14" t="n">
        <v>0.07000000000000001</v>
      </c>
      <c r="H27" s="14" t="n">
        <v>0.1</v>
      </c>
      <c r="I27" s="14" t="n">
        <v>0.1</v>
      </c>
      <c r="J27" s="14" t="n">
        <v>0.08</v>
      </c>
      <c r="K27" s="14" t="n">
        <v>0.16</v>
      </c>
      <c r="L27" s="14" t="n">
        <v>0.3</v>
      </c>
      <c r="M27" s="14" t="n">
        <v>0.16</v>
      </c>
      <c r="N27" s="14" t="n">
        <v>0.17</v>
      </c>
      <c r="O27" s="14" t="n">
        <v>0.07000000000000001</v>
      </c>
      <c r="P27" s="14" t="n">
        <v>0.23</v>
      </c>
      <c r="Q27" s="14" t="n">
        <v>0.08</v>
      </c>
      <c r="R27" s="14" t="n">
        <v>0.15</v>
      </c>
      <c r="S27" s="14" t="n">
        <v>0.21</v>
      </c>
      <c r="T27" s="14" t="n">
        <v>0.29</v>
      </c>
      <c r="U27" s="14" t="n">
        <v>0.14</v>
      </c>
      <c r="V27" s="14" t="n">
        <v>0.2</v>
      </c>
      <c r="W27" s="14" t="n">
        <v>0.17</v>
      </c>
      <c r="X27" s="14" t="n">
        <v>0.09</v>
      </c>
      <c r="Y27" s="14" t="n">
        <v>0.14</v>
      </c>
      <c r="Z27" s="14" t="n">
        <v>0.2</v>
      </c>
      <c r="AA27" s="14" t="n">
        <v>0.18</v>
      </c>
      <c r="AB27" s="14" t="n">
        <v>0.19</v>
      </c>
      <c r="AC27" s="14" t="n">
        <v>0.18</v>
      </c>
      <c r="AD27" s="14" t="n">
        <v>0.17</v>
      </c>
      <c r="AE27" s="14" t="n">
        <v>0.07000000000000001</v>
      </c>
      <c r="AF27" s="14" t="n">
        <v>0.05</v>
      </c>
    </row>
    <row r="28">
      <c r="A28" s="20" t="n"/>
      <c r="B28" s="11" t="inlineStr">
        <is>
          <t>L'Union européenne aide (NOTRE PAYS) à lutter contre le terrorisme</t>
        </is>
      </c>
      <c r="C28" s="12" t="n">
        <v>2450</v>
      </c>
      <c r="D28" s="12" t="n">
        <v>117</v>
      </c>
      <c r="E28" s="12" t="n">
        <v>75</v>
      </c>
      <c r="F28" s="12" t="n">
        <v>102</v>
      </c>
      <c r="G28" s="12" t="n">
        <v>97</v>
      </c>
      <c r="H28" s="12" t="n">
        <v>93</v>
      </c>
      <c r="I28" s="12" t="n">
        <v>124</v>
      </c>
      <c r="J28" s="12" t="n">
        <v>30</v>
      </c>
      <c r="K28" s="12" t="n">
        <v>59</v>
      </c>
      <c r="L28" s="12" t="n">
        <v>54</v>
      </c>
      <c r="M28" s="12" t="n">
        <v>91</v>
      </c>
      <c r="N28" s="12" t="n">
        <v>64</v>
      </c>
      <c r="O28" s="12" t="n">
        <v>134</v>
      </c>
      <c r="P28" s="12" t="n">
        <v>104</v>
      </c>
      <c r="Q28" s="12" t="n">
        <v>110</v>
      </c>
      <c r="R28" s="12" t="n">
        <v>24</v>
      </c>
      <c r="S28" s="12" t="n">
        <v>40</v>
      </c>
      <c r="T28" s="12" t="n">
        <v>26</v>
      </c>
      <c r="U28" s="12" t="n">
        <v>21</v>
      </c>
      <c r="V28" s="12" t="n">
        <v>79</v>
      </c>
      <c r="W28" s="12" t="n">
        <v>35</v>
      </c>
      <c r="X28" s="12" t="n">
        <v>127</v>
      </c>
      <c r="Y28" s="12" t="n">
        <v>126</v>
      </c>
      <c r="Z28" s="12" t="n">
        <v>79</v>
      </c>
      <c r="AA28" s="12" t="n">
        <v>56</v>
      </c>
      <c r="AB28" s="12" t="n">
        <v>93</v>
      </c>
      <c r="AC28" s="12" t="n">
        <v>50</v>
      </c>
      <c r="AD28" s="12" t="n">
        <v>50</v>
      </c>
      <c r="AE28" s="12" t="n">
        <v>48</v>
      </c>
      <c r="AF28" s="12" t="n">
        <v>111</v>
      </c>
    </row>
    <row r="29">
      <c r="A29" s="20" t="n"/>
      <c r="B29" s="13" t="inlineStr">
        <is>
          <t>The EU helps (OUR COUNTRY) in the fight against terrorism</t>
        </is>
      </c>
      <c r="C29" s="14" t="n">
        <v>0.1</v>
      </c>
      <c r="D29" s="14" t="n">
        <v>0.13</v>
      </c>
      <c r="E29" s="14" t="n">
        <v>0.09</v>
      </c>
      <c r="F29" s="14" t="n">
        <v>0.11</v>
      </c>
      <c r="G29" s="14" t="n">
        <v>0.1</v>
      </c>
      <c r="H29" s="14" t="n">
        <v>0.08</v>
      </c>
      <c r="I29" s="14" t="n">
        <v>0.09</v>
      </c>
      <c r="J29" s="14" t="n">
        <v>0.11</v>
      </c>
      <c r="K29" s="14" t="n">
        <v>0.06</v>
      </c>
      <c r="L29" s="14" t="n">
        <v>0.06</v>
      </c>
      <c r="M29" s="14" t="n">
        <v>0.1</v>
      </c>
      <c r="N29" s="14" t="n">
        <v>0.07000000000000001</v>
      </c>
      <c r="O29" s="14" t="n">
        <v>0.16</v>
      </c>
      <c r="P29" s="14" t="n">
        <v>0.11</v>
      </c>
      <c r="Q29" s="14" t="n">
        <v>0.12</v>
      </c>
      <c r="R29" s="14" t="n">
        <v>0.05</v>
      </c>
      <c r="S29" s="14" t="n">
        <v>0.04</v>
      </c>
      <c r="T29" s="14" t="n">
        <v>0.03</v>
      </c>
      <c r="U29" s="14" t="n">
        <v>0.04</v>
      </c>
      <c r="V29" s="14" t="n">
        <v>0.08</v>
      </c>
      <c r="W29" s="14" t="n">
        <v>0.07000000000000001</v>
      </c>
      <c r="X29" s="14" t="n">
        <v>0.13</v>
      </c>
      <c r="Y29" s="14" t="n">
        <v>0.13</v>
      </c>
      <c r="Z29" s="14" t="n">
        <v>0.08</v>
      </c>
      <c r="AA29" s="14" t="n">
        <v>0.06</v>
      </c>
      <c r="AB29" s="14" t="n">
        <v>0.1</v>
      </c>
      <c r="AC29" s="14" t="n">
        <v>0.05</v>
      </c>
      <c r="AD29" s="14" t="n">
        <v>0.05</v>
      </c>
      <c r="AE29" s="14" t="n">
        <v>0.05</v>
      </c>
      <c r="AF29" s="14" t="n">
        <v>0.11</v>
      </c>
    </row>
    <row r="30">
      <c r="A30" s="20" t="n"/>
      <c r="B30" s="11" t="inlineStr">
        <is>
          <t>L'Union européenne aide (NOTRE PAYS) à faire face au changement climatique</t>
        </is>
      </c>
      <c r="C30" s="12" t="n">
        <v>2534</v>
      </c>
      <c r="D30" s="12" t="n">
        <v>85</v>
      </c>
      <c r="E30" s="12" t="n">
        <v>53</v>
      </c>
      <c r="F30" s="12" t="n">
        <v>87</v>
      </c>
      <c r="G30" s="12" t="n">
        <v>113</v>
      </c>
      <c r="H30" s="12" t="n">
        <v>101</v>
      </c>
      <c r="I30" s="12" t="n">
        <v>131</v>
      </c>
      <c r="J30" s="12" t="n">
        <v>30</v>
      </c>
      <c r="K30" s="12" t="n">
        <v>45</v>
      </c>
      <c r="L30" s="12" t="n">
        <v>78</v>
      </c>
      <c r="M30" s="12" t="n">
        <v>127</v>
      </c>
      <c r="N30" s="12" t="n">
        <v>84</v>
      </c>
      <c r="O30" s="12" t="n">
        <v>91</v>
      </c>
      <c r="P30" s="12" t="n">
        <v>90</v>
      </c>
      <c r="Q30" s="12" t="n">
        <v>134</v>
      </c>
      <c r="R30" s="12" t="n">
        <v>34</v>
      </c>
      <c r="S30" s="12" t="n">
        <v>23</v>
      </c>
      <c r="T30" s="12" t="n">
        <v>32</v>
      </c>
      <c r="U30" s="12" t="n">
        <v>24</v>
      </c>
      <c r="V30" s="12" t="n">
        <v>109</v>
      </c>
      <c r="W30" s="12" t="n">
        <v>40</v>
      </c>
      <c r="X30" s="12" t="n">
        <v>147</v>
      </c>
      <c r="Y30" s="12" t="n">
        <v>135</v>
      </c>
      <c r="Z30" s="12" t="n">
        <v>83</v>
      </c>
      <c r="AA30" s="12" t="n">
        <v>51</v>
      </c>
      <c r="AB30" s="12" t="n">
        <v>92</v>
      </c>
      <c r="AC30" s="12" t="n">
        <v>64</v>
      </c>
      <c r="AD30" s="12" t="n">
        <v>74</v>
      </c>
      <c r="AE30" s="12" t="n">
        <v>99</v>
      </c>
      <c r="AF30" s="12" t="n">
        <v>153</v>
      </c>
    </row>
    <row r="31">
      <c r="A31" s="20" t="n"/>
      <c r="B31" s="13" t="inlineStr">
        <is>
          <t>The EU helps (OUR COUNTRY) to tackle climate change</t>
        </is>
      </c>
      <c r="C31" s="14" t="n">
        <v>0.11</v>
      </c>
      <c r="D31" s="14" t="n">
        <v>0.09</v>
      </c>
      <c r="E31" s="14" t="n">
        <v>0.06</v>
      </c>
      <c r="F31" s="14" t="n">
        <v>0.09</v>
      </c>
      <c r="G31" s="14" t="n">
        <v>0.12</v>
      </c>
      <c r="H31" s="14" t="n">
        <v>0.09</v>
      </c>
      <c r="I31" s="14" t="n">
        <v>0.09</v>
      </c>
      <c r="J31" s="14" t="n">
        <v>0.11</v>
      </c>
      <c r="K31" s="14" t="n">
        <v>0.05</v>
      </c>
      <c r="L31" s="14" t="n">
        <v>0.08</v>
      </c>
      <c r="M31" s="14" t="n">
        <v>0.14</v>
      </c>
      <c r="N31" s="14" t="n">
        <v>0.09</v>
      </c>
      <c r="O31" s="14" t="n">
        <v>0.11</v>
      </c>
      <c r="P31" s="14" t="n">
        <v>0.1</v>
      </c>
      <c r="Q31" s="14" t="n">
        <v>0.14</v>
      </c>
      <c r="R31" s="14" t="n">
        <v>0.07000000000000001</v>
      </c>
      <c r="S31" s="14" t="n">
        <v>0.02</v>
      </c>
      <c r="T31" s="14" t="n">
        <v>0.03</v>
      </c>
      <c r="U31" s="14" t="n">
        <v>0.05</v>
      </c>
      <c r="V31" s="14" t="n">
        <v>0.12</v>
      </c>
      <c r="W31" s="14" t="n">
        <v>0.08</v>
      </c>
      <c r="X31" s="14" t="n">
        <v>0.15</v>
      </c>
      <c r="Y31" s="14" t="n">
        <v>0.15</v>
      </c>
      <c r="Z31" s="14" t="n">
        <v>0.09</v>
      </c>
      <c r="AA31" s="14" t="n">
        <v>0.05</v>
      </c>
      <c r="AB31" s="14" t="n">
        <v>0.1</v>
      </c>
      <c r="AC31" s="14" t="n">
        <v>0.07000000000000001</v>
      </c>
      <c r="AD31" s="14" t="n">
        <v>0.08</v>
      </c>
      <c r="AE31" s="14" t="n">
        <v>0.1</v>
      </c>
      <c r="AF31" s="14" t="n">
        <v>0.16</v>
      </c>
    </row>
    <row r="32">
      <c r="A32" s="20" t="n"/>
      <c r="B32" s="11" t="inlineStr">
        <is>
          <t>L'Union européenne donne aux  (NATIONALITÉ) de nouvelles opportunités de travail</t>
        </is>
      </c>
      <c r="C32" s="12" t="n">
        <v>3891</v>
      </c>
      <c r="D32" s="12" t="n">
        <v>132</v>
      </c>
      <c r="E32" s="12" t="n">
        <v>221</v>
      </c>
      <c r="F32" s="12" t="n">
        <v>214</v>
      </c>
      <c r="G32" s="12" t="n">
        <v>99</v>
      </c>
      <c r="H32" s="12" t="n">
        <v>146</v>
      </c>
      <c r="I32" s="12" t="n">
        <v>176</v>
      </c>
      <c r="J32" s="12" t="n">
        <v>30</v>
      </c>
      <c r="K32" s="12" t="n">
        <v>227</v>
      </c>
      <c r="L32" s="12" t="n">
        <v>265</v>
      </c>
      <c r="M32" s="12" t="n">
        <v>129</v>
      </c>
      <c r="N32" s="12" t="n">
        <v>167</v>
      </c>
      <c r="O32" s="12" t="n">
        <v>91</v>
      </c>
      <c r="P32" s="12" t="n">
        <v>231</v>
      </c>
      <c r="Q32" s="12" t="n">
        <v>135</v>
      </c>
      <c r="R32" s="12" t="n">
        <v>117</v>
      </c>
      <c r="S32" s="12" t="n">
        <v>178</v>
      </c>
      <c r="T32" s="12" t="n">
        <v>235</v>
      </c>
      <c r="U32" s="12" t="n">
        <v>98</v>
      </c>
      <c r="V32" s="12" t="n">
        <v>240</v>
      </c>
      <c r="W32" s="12" t="n">
        <v>127</v>
      </c>
      <c r="X32" s="12" t="n">
        <v>69</v>
      </c>
      <c r="Y32" s="12" t="n">
        <v>209</v>
      </c>
      <c r="Z32" s="12" t="n">
        <v>205</v>
      </c>
      <c r="AA32" s="12" t="n">
        <v>198</v>
      </c>
      <c r="AB32" s="12" t="n">
        <v>196</v>
      </c>
      <c r="AC32" s="12" t="n">
        <v>226</v>
      </c>
      <c r="AD32" s="12" t="n">
        <v>250</v>
      </c>
      <c r="AE32" s="12" t="n">
        <v>215</v>
      </c>
      <c r="AF32" s="12" t="n">
        <v>195</v>
      </c>
    </row>
    <row r="33">
      <c r="A33" s="20" t="n"/>
      <c r="B33" s="13" t="inlineStr">
        <is>
          <t>The EU brings (NATIONALITY) people new work opportunities</t>
        </is>
      </c>
      <c r="C33" s="14" t="n">
        <v>0.17</v>
      </c>
      <c r="D33" s="14" t="n">
        <v>0.14</v>
      </c>
      <c r="E33" s="14" t="n">
        <v>0.35</v>
      </c>
      <c r="F33" s="14" t="n">
        <v>0.26</v>
      </c>
      <c r="G33" s="14" t="n">
        <v>0.1</v>
      </c>
      <c r="H33" s="14" t="n">
        <v>0.13</v>
      </c>
      <c r="I33" s="14" t="n">
        <v>0.13</v>
      </c>
      <c r="J33" s="14" t="n">
        <v>0.11</v>
      </c>
      <c r="K33" s="14" t="n">
        <v>0.29</v>
      </c>
      <c r="L33" s="14" t="n">
        <v>0.32</v>
      </c>
      <c r="M33" s="14" t="n">
        <v>0.14</v>
      </c>
      <c r="N33" s="14" t="n">
        <v>0.2</v>
      </c>
      <c r="O33" s="14" t="n">
        <v>0.11</v>
      </c>
      <c r="P33" s="14" t="n">
        <v>0.31</v>
      </c>
      <c r="Q33" s="14" t="n">
        <v>0.15</v>
      </c>
      <c r="R33" s="14" t="n">
        <v>0.29</v>
      </c>
      <c r="S33" s="14" t="n">
        <v>0.22</v>
      </c>
      <c r="T33" s="14" t="n">
        <v>0.3</v>
      </c>
      <c r="U33" s="14" t="n">
        <v>0.22</v>
      </c>
      <c r="V33" s="14" t="n">
        <v>0.3</v>
      </c>
      <c r="W33" s="14" t="n">
        <v>0.3</v>
      </c>
      <c r="X33" s="14" t="n">
        <v>0.07000000000000001</v>
      </c>
      <c r="Y33" s="14" t="n">
        <v>0.24</v>
      </c>
      <c r="Z33" s="14" t="n">
        <v>0.25</v>
      </c>
      <c r="AA33" s="14" t="n">
        <v>0.23</v>
      </c>
      <c r="AB33" s="14" t="n">
        <v>0.24</v>
      </c>
      <c r="AC33" s="14" t="n">
        <v>0.26</v>
      </c>
      <c r="AD33" s="14" t="n">
        <v>0.34</v>
      </c>
      <c r="AE33" s="14" t="n">
        <v>0.24</v>
      </c>
      <c r="AF33" s="14" t="n">
        <v>0.2</v>
      </c>
    </row>
    <row r="34">
      <c r="A34" s="20" t="n"/>
      <c r="B34" s="11" t="inlineStr">
        <is>
          <t>D’une manière générale, vous êtes favorable à l’Union européenne (SPONTANÉ)</t>
        </is>
      </c>
      <c r="C34" s="12" t="n">
        <v>121</v>
      </c>
      <c r="D34" s="12" t="n">
        <v>5</v>
      </c>
      <c r="E34" s="12" t="n">
        <v>4</v>
      </c>
      <c r="F34" s="12" t="n">
        <v>0</v>
      </c>
      <c r="G34" s="12" t="n">
        <v>4</v>
      </c>
      <c r="H34" s="12" t="n">
        <v>13</v>
      </c>
      <c r="I34" s="12" t="n">
        <v>14</v>
      </c>
      <c r="J34" s="12" t="n">
        <v>2</v>
      </c>
      <c r="K34" s="12" t="n">
        <v>11</v>
      </c>
      <c r="L34" s="12" t="n">
        <v>2</v>
      </c>
      <c r="M34" s="12" t="n">
        <v>1</v>
      </c>
      <c r="N34" s="12" t="n">
        <v>3</v>
      </c>
      <c r="O34" s="12" t="n">
        <v>5</v>
      </c>
      <c r="P34" s="12" t="n">
        <v>0</v>
      </c>
      <c r="Q34" s="12" t="n">
        <v>3</v>
      </c>
      <c r="R34" s="12" t="n">
        <v>1</v>
      </c>
      <c r="S34" s="12" t="n">
        <v>5</v>
      </c>
      <c r="T34" s="12" t="n">
        <v>0</v>
      </c>
      <c r="U34" s="12" t="n">
        <v>1</v>
      </c>
      <c r="V34" s="12" t="n">
        <v>1</v>
      </c>
      <c r="W34" s="12" t="n">
        <v>1</v>
      </c>
      <c r="X34" s="12" t="n">
        <v>1</v>
      </c>
      <c r="Y34" s="12" t="n">
        <v>5</v>
      </c>
      <c r="Z34" s="12" t="n">
        <v>3</v>
      </c>
      <c r="AA34" s="12" t="n">
        <v>6</v>
      </c>
      <c r="AB34" s="12" t="n">
        <v>5</v>
      </c>
      <c r="AC34" s="12" t="n">
        <v>1</v>
      </c>
      <c r="AD34" s="12" t="n">
        <v>3</v>
      </c>
      <c r="AE34" s="12" t="n">
        <v>0</v>
      </c>
      <c r="AF34" s="12" t="n">
        <v>1</v>
      </c>
    </row>
    <row r="35">
      <c r="A35" s="20" t="n"/>
      <c r="B35" s="13" t="inlineStr">
        <is>
          <t>You are generally in favour of the EU (SPONTANEOUS)</t>
        </is>
      </c>
      <c r="C35" s="15" t="inlineStr">
        <is>
          <t>-</t>
        </is>
      </c>
      <c r="D35" s="14" t="n">
        <v>0.01</v>
      </c>
      <c r="E35" s="15" t="inlineStr">
        <is>
          <t>-</t>
        </is>
      </c>
      <c r="F35" s="15" t="inlineStr">
        <is>
          <t>-</t>
        </is>
      </c>
      <c r="G35" s="15" t="inlineStr">
        <is>
          <t>-</t>
        </is>
      </c>
      <c r="H35" s="14" t="n">
        <v>0.01</v>
      </c>
      <c r="I35" s="14" t="n">
        <v>0.01</v>
      </c>
      <c r="J35" s="14" t="n">
        <v>0.01</v>
      </c>
      <c r="K35" s="14" t="n">
        <v>0.01</v>
      </c>
      <c r="L35" s="15" t="inlineStr">
        <is>
          <t>-</t>
        </is>
      </c>
      <c r="M35" s="15" t="inlineStr">
        <is>
          <t>-</t>
        </is>
      </c>
      <c r="N35" s="15" t="inlineStr">
        <is>
          <t>-</t>
        </is>
      </c>
      <c r="O35" s="14" t="n">
        <v>0.01</v>
      </c>
      <c r="P35" s="15" t="inlineStr">
        <is>
          <t>-</t>
        </is>
      </c>
      <c r="Q35" s="15" t="inlineStr">
        <is>
          <t>-</t>
        </is>
      </c>
      <c r="R35" s="15" t="inlineStr">
        <is>
          <t>-</t>
        </is>
      </c>
      <c r="S35" s="14" t="n">
        <v>0.01</v>
      </c>
      <c r="T35" s="15" t="inlineStr">
        <is>
          <t>-</t>
        </is>
      </c>
      <c r="U35" s="15" t="inlineStr">
        <is>
          <t>-</t>
        </is>
      </c>
      <c r="V35" s="15" t="inlineStr">
        <is>
          <t>-</t>
        </is>
      </c>
      <c r="W35" s="15" t="inlineStr">
        <is>
          <t>-</t>
        </is>
      </c>
      <c r="X35" s="15" t="inlineStr">
        <is>
          <t>-</t>
        </is>
      </c>
      <c r="Y35" s="14" t="n">
        <v>0.01</v>
      </c>
      <c r="Z35" s="15" t="inlineStr">
        <is>
          <t>-</t>
        </is>
      </c>
      <c r="AA35" s="14" t="n">
        <v>0.01</v>
      </c>
      <c r="AB35" s="14" t="n">
        <v>0.01</v>
      </c>
      <c r="AC35" s="15" t="inlineStr">
        <is>
          <t>-</t>
        </is>
      </c>
      <c r="AD35" s="15" t="inlineStr">
        <is>
          <t>-</t>
        </is>
      </c>
      <c r="AE35" s="15" t="inlineStr">
        <is>
          <t>-</t>
        </is>
      </c>
      <c r="AF35" s="15" t="inlineStr">
        <is>
          <t>-</t>
        </is>
      </c>
    </row>
    <row r="36">
      <c r="A36" s="20" t="n"/>
      <c r="B36" s="11" t="inlineStr">
        <is>
          <t>Autre (SPONTANÉ)</t>
        </is>
      </c>
      <c r="C36" s="12" t="n">
        <v>655</v>
      </c>
      <c r="D36" s="12" t="n">
        <v>13</v>
      </c>
      <c r="E36" s="12" t="n">
        <v>29</v>
      </c>
      <c r="F36" s="12" t="n">
        <v>10</v>
      </c>
      <c r="G36" s="12" t="n">
        <v>17</v>
      </c>
      <c r="H36" s="12" t="n">
        <v>39</v>
      </c>
      <c r="I36" s="12" t="n">
        <v>50</v>
      </c>
      <c r="J36" s="12" t="n">
        <v>11</v>
      </c>
      <c r="K36" s="12" t="n">
        <v>44</v>
      </c>
      <c r="L36" s="12" t="n">
        <v>9</v>
      </c>
      <c r="M36" s="12" t="n">
        <v>33</v>
      </c>
      <c r="N36" s="12" t="n">
        <v>33</v>
      </c>
      <c r="O36" s="12" t="n">
        <v>34</v>
      </c>
      <c r="P36" s="12" t="n">
        <v>3</v>
      </c>
      <c r="Q36" s="12" t="n">
        <v>27</v>
      </c>
      <c r="R36" s="12" t="n">
        <v>5</v>
      </c>
      <c r="S36" s="12" t="n">
        <v>44</v>
      </c>
      <c r="T36" s="12" t="n">
        <v>27</v>
      </c>
      <c r="U36" s="12" t="n">
        <v>10</v>
      </c>
      <c r="V36" s="12" t="n">
        <v>13</v>
      </c>
      <c r="W36" s="12" t="n">
        <v>6</v>
      </c>
      <c r="X36" s="12" t="n">
        <v>8</v>
      </c>
      <c r="Y36" s="12" t="n">
        <v>25</v>
      </c>
      <c r="Z36" s="12" t="n">
        <v>4</v>
      </c>
      <c r="AA36" s="12" t="n">
        <v>10</v>
      </c>
      <c r="AB36" s="12" t="n">
        <v>31</v>
      </c>
      <c r="AC36" s="12" t="n">
        <v>54</v>
      </c>
      <c r="AD36" s="12" t="n">
        <v>26</v>
      </c>
      <c r="AE36" s="12" t="n">
        <v>12</v>
      </c>
      <c r="AF36" s="12" t="n">
        <v>7</v>
      </c>
    </row>
    <row r="37">
      <c r="A37" s="20" t="n"/>
      <c r="B37" s="13" t="inlineStr">
        <is>
          <t>Other (SPONTANEOUS)</t>
        </is>
      </c>
      <c r="C37" s="14" t="n">
        <v>0.03</v>
      </c>
      <c r="D37" s="14" t="n">
        <v>0.01</v>
      </c>
      <c r="E37" s="14" t="n">
        <v>0.03</v>
      </c>
      <c r="F37" s="14" t="n">
        <v>0.01</v>
      </c>
      <c r="G37" s="14" t="n">
        <v>0.02</v>
      </c>
      <c r="H37" s="14" t="n">
        <v>0.03</v>
      </c>
      <c r="I37" s="14" t="n">
        <v>0.03</v>
      </c>
      <c r="J37" s="14" t="n">
        <v>0.04</v>
      </c>
      <c r="K37" s="14" t="n">
        <v>0.05</v>
      </c>
      <c r="L37" s="14" t="n">
        <v>0.01</v>
      </c>
      <c r="M37" s="14" t="n">
        <v>0.03</v>
      </c>
      <c r="N37" s="14" t="n">
        <v>0.04</v>
      </c>
      <c r="O37" s="14" t="n">
        <v>0.04</v>
      </c>
      <c r="P37" s="15" t="inlineStr">
        <is>
          <t>-</t>
        </is>
      </c>
      <c r="Q37" s="14" t="n">
        <v>0.03</v>
      </c>
      <c r="R37" s="14" t="n">
        <v>0.01</v>
      </c>
      <c r="S37" s="14" t="n">
        <v>0.05</v>
      </c>
      <c r="T37" s="14" t="n">
        <v>0.03</v>
      </c>
      <c r="U37" s="14" t="n">
        <v>0.02</v>
      </c>
      <c r="V37" s="14" t="n">
        <v>0.01</v>
      </c>
      <c r="W37" s="14" t="n">
        <v>0.01</v>
      </c>
      <c r="X37" s="14" t="n">
        <v>0.01</v>
      </c>
      <c r="Y37" s="14" t="n">
        <v>0.03</v>
      </c>
      <c r="Z37" s="15" t="inlineStr">
        <is>
          <t>-</t>
        </is>
      </c>
      <c r="AA37" s="14" t="n">
        <v>0.01</v>
      </c>
      <c r="AB37" s="14" t="n">
        <v>0.03</v>
      </c>
      <c r="AC37" s="14" t="n">
        <v>0.06</v>
      </c>
      <c r="AD37" s="14" t="n">
        <v>0.03</v>
      </c>
      <c r="AE37" s="14" t="n">
        <v>0.01</v>
      </c>
      <c r="AF37" s="14" t="n">
        <v>0.01</v>
      </c>
    </row>
    <row r="38">
      <c r="A38" s="20" t="n"/>
      <c r="B38" s="11" t="inlineStr">
        <is>
          <t>Ne sait pas</t>
        </is>
      </c>
      <c r="C38" s="12" t="n">
        <v>1112</v>
      </c>
      <c r="D38" s="12" t="n">
        <v>19</v>
      </c>
      <c r="E38" s="12" t="n">
        <v>65</v>
      </c>
      <c r="F38" s="12" t="n">
        <v>47</v>
      </c>
      <c r="G38" s="12" t="n">
        <v>22</v>
      </c>
      <c r="H38" s="12" t="n">
        <v>35</v>
      </c>
      <c r="I38" s="12" t="n">
        <v>42</v>
      </c>
      <c r="J38" s="12" t="n">
        <v>7</v>
      </c>
      <c r="K38" s="12" t="n">
        <v>58</v>
      </c>
      <c r="L38" s="12" t="n">
        <v>24</v>
      </c>
      <c r="M38" s="12" t="n">
        <v>44</v>
      </c>
      <c r="N38" s="12" t="n">
        <v>55</v>
      </c>
      <c r="O38" s="12" t="n">
        <v>104</v>
      </c>
      <c r="P38" s="12" t="n">
        <v>23</v>
      </c>
      <c r="Q38" s="12" t="n">
        <v>31</v>
      </c>
      <c r="R38" s="12" t="n">
        <v>15</v>
      </c>
      <c r="S38" s="12" t="n">
        <v>71</v>
      </c>
      <c r="T38" s="12" t="n">
        <v>26</v>
      </c>
      <c r="U38" s="12" t="n">
        <v>18</v>
      </c>
      <c r="V38" s="12" t="n">
        <v>25</v>
      </c>
      <c r="W38" s="12" t="n">
        <v>15</v>
      </c>
      <c r="X38" s="12" t="n">
        <v>15</v>
      </c>
      <c r="Y38" s="12" t="n">
        <v>30</v>
      </c>
      <c r="Z38" s="12" t="n">
        <v>31</v>
      </c>
      <c r="AA38" s="12" t="n">
        <v>20</v>
      </c>
      <c r="AB38" s="12" t="n">
        <v>21</v>
      </c>
      <c r="AC38" s="12" t="n">
        <v>25</v>
      </c>
      <c r="AD38" s="12" t="n">
        <v>12</v>
      </c>
      <c r="AE38" s="12" t="n">
        <v>29</v>
      </c>
      <c r="AF38" s="12" t="n">
        <v>18</v>
      </c>
    </row>
    <row r="39">
      <c r="A39" s="23" t="n"/>
      <c r="B39" s="13" t="inlineStr">
        <is>
          <t>Don’t know</t>
        </is>
      </c>
      <c r="C39" s="14" t="n">
        <v>0.04</v>
      </c>
      <c r="D39" s="14" t="n">
        <v>0.02</v>
      </c>
      <c r="E39" s="14" t="n">
        <v>0.07000000000000001</v>
      </c>
      <c r="F39" s="14" t="n">
        <v>0.05</v>
      </c>
      <c r="G39" s="14" t="n">
        <v>0.02</v>
      </c>
      <c r="H39" s="14" t="n">
        <v>0.03</v>
      </c>
      <c r="I39" s="14" t="n">
        <v>0.03</v>
      </c>
      <c r="J39" s="14" t="n">
        <v>0.02</v>
      </c>
      <c r="K39" s="14" t="n">
        <v>0.06</v>
      </c>
      <c r="L39" s="14" t="n">
        <v>0.03</v>
      </c>
      <c r="M39" s="14" t="n">
        <v>0.05</v>
      </c>
      <c r="N39" s="14" t="n">
        <v>0.06</v>
      </c>
      <c r="O39" s="14" t="n">
        <v>0.12</v>
      </c>
      <c r="P39" s="14" t="n">
        <v>0.02</v>
      </c>
      <c r="Q39" s="14" t="n">
        <v>0.03</v>
      </c>
      <c r="R39" s="14" t="n">
        <v>0.03</v>
      </c>
      <c r="S39" s="14" t="n">
        <v>0.08</v>
      </c>
      <c r="T39" s="14" t="n">
        <v>0.03</v>
      </c>
      <c r="U39" s="14" t="n">
        <v>0.04</v>
      </c>
      <c r="V39" s="14" t="n">
        <v>0.03</v>
      </c>
      <c r="W39" s="14" t="n">
        <v>0.03</v>
      </c>
      <c r="X39" s="14" t="n">
        <v>0.01</v>
      </c>
      <c r="Y39" s="14" t="n">
        <v>0.03</v>
      </c>
      <c r="Z39" s="14" t="n">
        <v>0.03</v>
      </c>
      <c r="AA39" s="14" t="n">
        <v>0.02</v>
      </c>
      <c r="AB39" s="14" t="n">
        <v>0.02</v>
      </c>
      <c r="AC39" s="14" t="n">
        <v>0.03</v>
      </c>
      <c r="AD39" s="14" t="n">
        <v>0.01</v>
      </c>
      <c r="AE39" s="14" t="n">
        <v>0.03</v>
      </c>
      <c r="AF39" s="14" t="n">
        <v>0.02</v>
      </c>
    </row>
  </sheetData>
  <mergeCells count="9">
    <mergeCell ref="B4:F4"/>
    <mergeCell ref="H3:L3"/>
    <mergeCell ref="C8:AF8"/>
    <mergeCell ref="B3:F3"/>
    <mergeCell ref="B5:F5"/>
    <mergeCell ref="H5:L5"/>
    <mergeCell ref="B10:B11"/>
    <mergeCell ref="A10:A39"/>
    <mergeCell ref="H4:L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48" customHeight="1" s="18">
      <c r="B3" s="21" t="inlineStr">
        <is>
          <t>QA5ab. Que (NOTRE PAYS) ait bénéficié ou non selon vous de son appartenance à l'UE, parmi les raisons suivantes, quelles sont les principales raisons pour lesquelles les gens pensent que (NOTRE PAYS) a bénéficié de son appartenance à l'UE ? En premier ? Et ensuite ? (3 RÉPONSES MAX.)</t>
        </is>
      </c>
      <c r="H3" s="21" t="inlineStr">
        <is>
          <t>QA5ab. Regardless of whether you think (OUR COUNTRY) has benefited or not from being a member of the EU, which of the following are the main reasons why people think (OUR COUNTRY) has benefited from being a member of the EU? Firstly? And then? (MAX. 3 ANSWERS)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HYPERLINK("#Content!A14","&lt;&lt;Back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L’Union européenne contribue au maintien de la démocratie en (NOTRE PAYS)</t>
        </is>
      </c>
      <c r="C12" s="12" t="n">
        <v>3992</v>
      </c>
      <c r="D12" s="12" t="n">
        <v>152</v>
      </c>
      <c r="E12" s="12" t="n">
        <v>180</v>
      </c>
      <c r="F12" s="12" t="n">
        <v>177</v>
      </c>
      <c r="G12" s="12" t="n">
        <v>77</v>
      </c>
      <c r="H12" s="12" t="n">
        <v>202</v>
      </c>
      <c r="I12" s="12" t="n">
        <v>261</v>
      </c>
      <c r="J12" s="12" t="n">
        <v>59</v>
      </c>
      <c r="K12" s="12" t="n">
        <v>115</v>
      </c>
      <c r="L12" s="12" t="n">
        <v>95</v>
      </c>
      <c r="M12" s="12" t="n">
        <v>188</v>
      </c>
      <c r="N12" s="12" t="n">
        <v>155</v>
      </c>
      <c r="O12" s="12" t="n">
        <v>136</v>
      </c>
      <c r="P12" s="12" t="n">
        <v>176</v>
      </c>
      <c r="Q12" s="12" t="n">
        <v>144</v>
      </c>
      <c r="R12" s="12" t="n">
        <v>109</v>
      </c>
      <c r="S12" s="12" t="n">
        <v>133</v>
      </c>
      <c r="T12" s="12" t="n">
        <v>152</v>
      </c>
      <c r="U12" s="12" t="n">
        <v>91</v>
      </c>
      <c r="V12" s="12" t="n">
        <v>249</v>
      </c>
      <c r="W12" s="12" t="n">
        <v>106</v>
      </c>
      <c r="X12" s="12" t="n">
        <v>90</v>
      </c>
      <c r="Y12" s="12" t="n">
        <v>197</v>
      </c>
      <c r="Z12" s="12" t="n">
        <v>143</v>
      </c>
      <c r="AA12" s="12" t="n">
        <v>158</v>
      </c>
      <c r="AB12" s="12" t="n">
        <v>201</v>
      </c>
      <c r="AC12" s="12" t="n">
        <v>129</v>
      </c>
      <c r="AD12" s="12" t="n">
        <v>214</v>
      </c>
      <c r="AE12" s="12" t="n">
        <v>113</v>
      </c>
      <c r="AF12" s="12" t="n">
        <v>67</v>
      </c>
    </row>
    <row r="13">
      <c r="A13" s="20" t="n"/>
      <c r="B13" s="13" t="inlineStr">
        <is>
          <t>The EU contributes to maintaining democracy in (OUR COUNTRY)</t>
        </is>
      </c>
      <c r="C13" s="14" t="n">
        <v>0.15</v>
      </c>
      <c r="D13" s="14" t="n">
        <v>0.15</v>
      </c>
      <c r="E13" s="14" t="n">
        <v>0.18</v>
      </c>
      <c r="F13" s="14" t="n">
        <v>0.17</v>
      </c>
      <c r="G13" s="14" t="n">
        <v>0.08</v>
      </c>
      <c r="H13" s="14" t="n">
        <v>0.17</v>
      </c>
      <c r="I13" s="14" t="n">
        <v>0.17</v>
      </c>
      <c r="J13" s="14" t="n">
        <v>0.2</v>
      </c>
      <c r="K13" s="14" t="n">
        <v>0.11</v>
      </c>
      <c r="L13" s="14" t="n">
        <v>0.09</v>
      </c>
      <c r="M13" s="14" t="n">
        <v>0.19</v>
      </c>
      <c r="N13" s="14" t="n">
        <v>0.15</v>
      </c>
      <c r="O13" s="14" t="n">
        <v>0.13</v>
      </c>
      <c r="P13" s="14" t="n">
        <v>0.17</v>
      </c>
      <c r="Q13" s="14" t="n">
        <v>0.14</v>
      </c>
      <c r="R13" s="14" t="n">
        <v>0.22</v>
      </c>
      <c r="S13" s="14" t="n">
        <v>0.13</v>
      </c>
      <c r="T13" s="14" t="n">
        <v>0.15</v>
      </c>
      <c r="U13" s="14" t="n">
        <v>0.18</v>
      </c>
      <c r="V13" s="14" t="n">
        <v>0.24</v>
      </c>
      <c r="W13" s="14" t="n">
        <v>0.21</v>
      </c>
      <c r="X13" s="14" t="n">
        <v>0.09</v>
      </c>
      <c r="Y13" s="14" t="n">
        <v>0.2</v>
      </c>
      <c r="Z13" s="14" t="n">
        <v>0.14</v>
      </c>
      <c r="AA13" s="14" t="n">
        <v>0.15</v>
      </c>
      <c r="AB13" s="14" t="n">
        <v>0.19</v>
      </c>
      <c r="AC13" s="14" t="n">
        <v>0.13</v>
      </c>
      <c r="AD13" s="14" t="n">
        <v>0.21</v>
      </c>
      <c r="AE13" s="14" t="n">
        <v>0.11</v>
      </c>
      <c r="AF13" s="14" t="n">
        <v>0.06</v>
      </c>
    </row>
    <row r="14">
      <c r="A14" s="20" t="n"/>
      <c r="B14" s="11" t="inlineStr">
        <is>
          <t>L’Union européenne contribue à préserver la paix et à renforcer la sécurité</t>
        </is>
      </c>
      <c r="C14" s="12" t="n">
        <v>10467</v>
      </c>
      <c r="D14" s="12" t="n">
        <v>393</v>
      </c>
      <c r="E14" s="12" t="n">
        <v>299</v>
      </c>
      <c r="F14" s="12" t="n">
        <v>394</v>
      </c>
      <c r="G14" s="12" t="n">
        <v>473</v>
      </c>
      <c r="H14" s="12" t="n">
        <v>595</v>
      </c>
      <c r="I14" s="12" t="n">
        <v>747</v>
      </c>
      <c r="J14" s="12" t="n">
        <v>152</v>
      </c>
      <c r="K14" s="12" t="n">
        <v>357</v>
      </c>
      <c r="L14" s="12" t="n">
        <v>171</v>
      </c>
      <c r="M14" s="12" t="n">
        <v>443</v>
      </c>
      <c r="N14" s="12" t="n">
        <v>297</v>
      </c>
      <c r="O14" s="12" t="n">
        <v>406</v>
      </c>
      <c r="P14" s="12" t="n">
        <v>393</v>
      </c>
      <c r="Q14" s="12" t="n">
        <v>440</v>
      </c>
      <c r="R14" s="12" t="n">
        <v>248</v>
      </c>
      <c r="S14" s="12" t="n">
        <v>442</v>
      </c>
      <c r="T14" s="12" t="n">
        <v>378</v>
      </c>
      <c r="U14" s="12" t="n">
        <v>184</v>
      </c>
      <c r="V14" s="12" t="n">
        <v>279</v>
      </c>
      <c r="W14" s="12" t="n">
        <v>106</v>
      </c>
      <c r="X14" s="12" t="n">
        <v>541</v>
      </c>
      <c r="Y14" s="12" t="n">
        <v>382</v>
      </c>
      <c r="Z14" s="12" t="n">
        <v>336</v>
      </c>
      <c r="AA14" s="12" t="n">
        <v>246</v>
      </c>
      <c r="AB14" s="12" t="n">
        <v>288</v>
      </c>
      <c r="AC14" s="12" t="n">
        <v>340</v>
      </c>
      <c r="AD14" s="12" t="n">
        <v>309</v>
      </c>
      <c r="AE14" s="12" t="n">
        <v>451</v>
      </c>
      <c r="AF14" s="12" t="n">
        <v>569</v>
      </c>
    </row>
    <row r="15">
      <c r="A15" s="20" t="n"/>
      <c r="B15" s="13" t="inlineStr">
        <is>
          <t>The EU contributes to protecting peace and strengthening security</t>
        </is>
      </c>
      <c r="C15" s="14" t="n">
        <v>0.4</v>
      </c>
      <c r="D15" s="14" t="n">
        <v>0.38</v>
      </c>
      <c r="E15" s="14" t="n">
        <v>0.29</v>
      </c>
      <c r="F15" s="14" t="n">
        <v>0.38</v>
      </c>
      <c r="G15" s="14" t="n">
        <v>0.47</v>
      </c>
      <c r="H15" s="14" t="n">
        <v>0.49</v>
      </c>
      <c r="I15" s="14" t="n">
        <v>0.5</v>
      </c>
      <c r="J15" s="14" t="n">
        <v>0.52</v>
      </c>
      <c r="K15" s="14" t="n">
        <v>0.35</v>
      </c>
      <c r="L15" s="14" t="n">
        <v>0.17</v>
      </c>
      <c r="M15" s="14" t="n">
        <v>0.44</v>
      </c>
      <c r="N15" s="14" t="n">
        <v>0.3</v>
      </c>
      <c r="O15" s="14" t="n">
        <v>0.4</v>
      </c>
      <c r="P15" s="14" t="n">
        <v>0.39</v>
      </c>
      <c r="Q15" s="14" t="n">
        <v>0.43</v>
      </c>
      <c r="R15" s="14" t="n">
        <v>0.49</v>
      </c>
      <c r="S15" s="14" t="n">
        <v>0.44</v>
      </c>
      <c r="T15" s="14" t="n">
        <v>0.37</v>
      </c>
      <c r="U15" s="14" t="n">
        <v>0.36</v>
      </c>
      <c r="V15" s="14" t="n">
        <v>0.27</v>
      </c>
      <c r="W15" s="14" t="n">
        <v>0.21</v>
      </c>
      <c r="X15" s="14" t="n">
        <v>0.53</v>
      </c>
      <c r="Y15" s="14" t="n">
        <v>0.38</v>
      </c>
      <c r="Z15" s="14" t="n">
        <v>0.33</v>
      </c>
      <c r="AA15" s="14" t="n">
        <v>0.24</v>
      </c>
      <c r="AB15" s="14" t="n">
        <v>0.28</v>
      </c>
      <c r="AC15" s="14" t="n">
        <v>0.34</v>
      </c>
      <c r="AD15" s="14" t="n">
        <v>0.31</v>
      </c>
      <c r="AE15" s="14" t="n">
        <v>0.44</v>
      </c>
      <c r="AF15" s="14" t="n">
        <v>0.55</v>
      </c>
    </row>
    <row r="16">
      <c r="A16" s="20" t="n"/>
      <c r="B16" s="11" t="inlineStr">
        <is>
          <t>L'Union européenne contribue à la croissance économique en (NOTRE PAYS)</t>
        </is>
      </c>
      <c r="C16" s="12" t="n">
        <v>7470</v>
      </c>
      <c r="D16" s="12" t="n">
        <v>313</v>
      </c>
      <c r="E16" s="12" t="n">
        <v>200</v>
      </c>
      <c r="F16" s="12" t="n">
        <v>245</v>
      </c>
      <c r="G16" s="12" t="n">
        <v>335</v>
      </c>
      <c r="H16" s="12" t="n">
        <v>314</v>
      </c>
      <c r="I16" s="12" t="n">
        <v>380</v>
      </c>
      <c r="J16" s="12" t="n">
        <v>66</v>
      </c>
      <c r="K16" s="12" t="n">
        <v>258</v>
      </c>
      <c r="L16" s="12" t="n">
        <v>554</v>
      </c>
      <c r="M16" s="12" t="n">
        <v>302</v>
      </c>
      <c r="N16" s="12" t="n">
        <v>385</v>
      </c>
      <c r="O16" s="12" t="n">
        <v>191</v>
      </c>
      <c r="P16" s="12" t="n">
        <v>295</v>
      </c>
      <c r="Q16" s="12" t="n">
        <v>228</v>
      </c>
      <c r="R16" s="12" t="n">
        <v>173</v>
      </c>
      <c r="S16" s="12" t="n">
        <v>288</v>
      </c>
      <c r="T16" s="12" t="n">
        <v>498</v>
      </c>
      <c r="U16" s="12" t="n">
        <v>211</v>
      </c>
      <c r="V16" s="12" t="n">
        <v>377</v>
      </c>
      <c r="W16" s="12" t="n">
        <v>271</v>
      </c>
      <c r="X16" s="12" t="n">
        <v>467</v>
      </c>
      <c r="Y16" s="12" t="n">
        <v>335</v>
      </c>
      <c r="Z16" s="12" t="n">
        <v>302</v>
      </c>
      <c r="AA16" s="12" t="n">
        <v>414</v>
      </c>
      <c r="AB16" s="12" t="n">
        <v>258</v>
      </c>
      <c r="AC16" s="12" t="n">
        <v>414</v>
      </c>
      <c r="AD16" s="12" t="n">
        <v>341</v>
      </c>
      <c r="AE16" s="12" t="n">
        <v>212</v>
      </c>
      <c r="AF16" s="12" t="n">
        <v>307</v>
      </c>
    </row>
    <row r="17">
      <c r="A17" s="20" t="n"/>
      <c r="B17" s="13" t="inlineStr">
        <is>
          <t>The EU contributes to economic growth in (OUR COUNTRY)</t>
        </is>
      </c>
      <c r="C17" s="14" t="n">
        <v>0.28</v>
      </c>
      <c r="D17" s="14" t="n">
        <v>0.31</v>
      </c>
      <c r="E17" s="14" t="n">
        <v>0.2</v>
      </c>
      <c r="F17" s="14" t="n">
        <v>0.23</v>
      </c>
      <c r="G17" s="14" t="n">
        <v>0.33</v>
      </c>
      <c r="H17" s="14" t="n">
        <v>0.26</v>
      </c>
      <c r="I17" s="14" t="n">
        <v>0.25</v>
      </c>
      <c r="J17" s="14" t="n">
        <v>0.23</v>
      </c>
      <c r="K17" s="14" t="n">
        <v>0.26</v>
      </c>
      <c r="L17" s="14" t="n">
        <v>0.55</v>
      </c>
      <c r="M17" s="14" t="n">
        <v>0.3</v>
      </c>
      <c r="N17" s="14" t="n">
        <v>0.38</v>
      </c>
      <c r="O17" s="14" t="n">
        <v>0.19</v>
      </c>
      <c r="P17" s="14" t="n">
        <v>0.29</v>
      </c>
      <c r="Q17" s="14" t="n">
        <v>0.22</v>
      </c>
      <c r="R17" s="14" t="n">
        <v>0.34</v>
      </c>
      <c r="S17" s="14" t="n">
        <v>0.29</v>
      </c>
      <c r="T17" s="14" t="n">
        <v>0.49</v>
      </c>
      <c r="U17" s="14" t="n">
        <v>0.41</v>
      </c>
      <c r="V17" s="14" t="n">
        <v>0.37</v>
      </c>
      <c r="W17" s="14" t="n">
        <v>0.54</v>
      </c>
      <c r="X17" s="14" t="n">
        <v>0.46</v>
      </c>
      <c r="Y17" s="14" t="n">
        <v>0.33</v>
      </c>
      <c r="Z17" s="14" t="n">
        <v>0.3</v>
      </c>
      <c r="AA17" s="14" t="n">
        <v>0.4</v>
      </c>
      <c r="AB17" s="14" t="n">
        <v>0.25</v>
      </c>
      <c r="AC17" s="14" t="n">
        <v>0.41</v>
      </c>
      <c r="AD17" s="14" t="n">
        <v>0.34</v>
      </c>
      <c r="AE17" s="14" t="n">
        <v>0.21</v>
      </c>
      <c r="AF17" s="14" t="n">
        <v>0.3</v>
      </c>
    </row>
    <row r="18">
      <c r="A18" s="20" t="n"/>
      <c r="B18" s="11" t="inlineStr">
        <is>
          <t>L'appartenance à l'Union européenne améliore la coopération entre (NOTRE PAYS) et les autres pays de l'Union européenne</t>
        </is>
      </c>
      <c r="C18" s="12" t="n">
        <v>9004</v>
      </c>
      <c r="D18" s="12" t="n">
        <v>409</v>
      </c>
      <c r="E18" s="12" t="n">
        <v>275</v>
      </c>
      <c r="F18" s="12" t="n">
        <v>262</v>
      </c>
      <c r="G18" s="12" t="n">
        <v>604</v>
      </c>
      <c r="H18" s="12" t="n">
        <v>536</v>
      </c>
      <c r="I18" s="12" t="n">
        <v>668</v>
      </c>
      <c r="J18" s="12" t="n">
        <v>132</v>
      </c>
      <c r="K18" s="12" t="n">
        <v>269</v>
      </c>
      <c r="L18" s="12" t="n">
        <v>219</v>
      </c>
      <c r="M18" s="12" t="n">
        <v>305</v>
      </c>
      <c r="N18" s="12" t="n">
        <v>290</v>
      </c>
      <c r="O18" s="12" t="n">
        <v>271</v>
      </c>
      <c r="P18" s="12" t="n">
        <v>239</v>
      </c>
      <c r="Q18" s="12" t="n">
        <v>344</v>
      </c>
      <c r="R18" s="12" t="n">
        <v>154</v>
      </c>
      <c r="S18" s="12" t="n">
        <v>294</v>
      </c>
      <c r="T18" s="12" t="n">
        <v>188</v>
      </c>
      <c r="U18" s="12" t="n">
        <v>177</v>
      </c>
      <c r="V18" s="12" t="n">
        <v>267</v>
      </c>
      <c r="W18" s="12" t="n">
        <v>136</v>
      </c>
      <c r="X18" s="12" t="n">
        <v>591</v>
      </c>
      <c r="Y18" s="12" t="n">
        <v>268</v>
      </c>
      <c r="Z18" s="12" t="n">
        <v>233</v>
      </c>
      <c r="AA18" s="12" t="n">
        <v>240</v>
      </c>
      <c r="AB18" s="12" t="n">
        <v>242</v>
      </c>
      <c r="AC18" s="12" t="n">
        <v>365</v>
      </c>
      <c r="AD18" s="12" t="n">
        <v>324</v>
      </c>
      <c r="AE18" s="12" t="n">
        <v>604</v>
      </c>
      <c r="AF18" s="12" t="n">
        <v>736</v>
      </c>
    </row>
    <row r="19">
      <c r="A19" s="20" t="n"/>
      <c r="B19" s="13" t="inlineStr">
        <is>
          <t>Membership of the EU improves cooperation between (OUR COUNTRY) and the other countries of the EU</t>
        </is>
      </c>
      <c r="C19" s="14" t="n">
        <v>0.34</v>
      </c>
      <c r="D19" s="14" t="n">
        <v>0.4</v>
      </c>
      <c r="E19" s="14" t="n">
        <v>0.27</v>
      </c>
      <c r="F19" s="14" t="n">
        <v>0.25</v>
      </c>
      <c r="G19" s="14" t="n">
        <v>0.6</v>
      </c>
      <c r="H19" s="14" t="n">
        <v>0.44</v>
      </c>
      <c r="I19" s="14" t="n">
        <v>0.44</v>
      </c>
      <c r="J19" s="14" t="n">
        <v>0.45</v>
      </c>
      <c r="K19" s="14" t="n">
        <v>0.27</v>
      </c>
      <c r="L19" s="14" t="n">
        <v>0.22</v>
      </c>
      <c r="M19" s="14" t="n">
        <v>0.3</v>
      </c>
      <c r="N19" s="14" t="n">
        <v>0.29</v>
      </c>
      <c r="O19" s="14" t="n">
        <v>0.27</v>
      </c>
      <c r="P19" s="14" t="n">
        <v>0.24</v>
      </c>
      <c r="Q19" s="14" t="n">
        <v>0.33</v>
      </c>
      <c r="R19" s="14" t="n">
        <v>0.31</v>
      </c>
      <c r="S19" s="14" t="n">
        <v>0.29</v>
      </c>
      <c r="T19" s="14" t="n">
        <v>0.18</v>
      </c>
      <c r="U19" s="14" t="n">
        <v>0.35</v>
      </c>
      <c r="V19" s="14" t="n">
        <v>0.26</v>
      </c>
      <c r="W19" s="14" t="n">
        <v>0.27</v>
      </c>
      <c r="X19" s="14" t="n">
        <v>0.58</v>
      </c>
      <c r="Y19" s="14" t="n">
        <v>0.27</v>
      </c>
      <c r="Z19" s="14" t="n">
        <v>0.23</v>
      </c>
      <c r="AA19" s="14" t="n">
        <v>0.23</v>
      </c>
      <c r="AB19" s="14" t="n">
        <v>0.23</v>
      </c>
      <c r="AC19" s="14" t="n">
        <v>0.36</v>
      </c>
      <c r="AD19" s="14" t="n">
        <v>0.32</v>
      </c>
      <c r="AE19" s="14" t="n">
        <v>0.59</v>
      </c>
      <c r="AF19" s="14" t="n">
        <v>0.71</v>
      </c>
    </row>
    <row r="20">
      <c r="A20" s="20" t="n"/>
      <c r="B20" s="11" t="inlineStr">
        <is>
          <t>L'appartenance à l'Union européenne améliore la coopération entre (NOTRE PAYS) et les pays en dehors de l'Union européenne</t>
        </is>
      </c>
      <c r="C20" s="12" t="n">
        <v>5456</v>
      </c>
      <c r="D20" s="12" t="n">
        <v>250</v>
      </c>
      <c r="E20" s="12" t="n">
        <v>142</v>
      </c>
      <c r="F20" s="12" t="n">
        <v>154</v>
      </c>
      <c r="G20" s="12" t="n">
        <v>279</v>
      </c>
      <c r="H20" s="12" t="n">
        <v>309</v>
      </c>
      <c r="I20" s="12" t="n">
        <v>380</v>
      </c>
      <c r="J20" s="12" t="n">
        <v>72</v>
      </c>
      <c r="K20" s="12" t="n">
        <v>164</v>
      </c>
      <c r="L20" s="12" t="n">
        <v>133</v>
      </c>
      <c r="M20" s="12" t="n">
        <v>220</v>
      </c>
      <c r="N20" s="12" t="n">
        <v>206</v>
      </c>
      <c r="O20" s="12" t="n">
        <v>176</v>
      </c>
      <c r="P20" s="12" t="n">
        <v>179</v>
      </c>
      <c r="Q20" s="12" t="n">
        <v>215</v>
      </c>
      <c r="R20" s="12" t="n">
        <v>46</v>
      </c>
      <c r="S20" s="12" t="n">
        <v>148</v>
      </c>
      <c r="T20" s="12" t="n">
        <v>96</v>
      </c>
      <c r="U20" s="12" t="n">
        <v>92</v>
      </c>
      <c r="V20" s="12" t="n">
        <v>155</v>
      </c>
      <c r="W20" s="12" t="n">
        <v>83</v>
      </c>
      <c r="X20" s="12" t="n">
        <v>315</v>
      </c>
      <c r="Y20" s="12" t="n">
        <v>202</v>
      </c>
      <c r="Z20" s="12" t="n">
        <v>182</v>
      </c>
      <c r="AA20" s="12" t="n">
        <v>119</v>
      </c>
      <c r="AB20" s="12" t="n">
        <v>208</v>
      </c>
      <c r="AC20" s="12" t="n">
        <v>187</v>
      </c>
      <c r="AD20" s="12" t="n">
        <v>150</v>
      </c>
      <c r="AE20" s="12" t="n">
        <v>328</v>
      </c>
      <c r="AF20" s="12" t="n">
        <v>234</v>
      </c>
    </row>
    <row r="21">
      <c r="A21" s="20" t="n"/>
      <c r="B21" s="13" t="inlineStr">
        <is>
          <t>Membership of the EU improves cooperation between (OUR COUNTRY) and countries outside the EU</t>
        </is>
      </c>
      <c r="C21" s="14" t="n">
        <v>0.21</v>
      </c>
      <c r="D21" s="14" t="n">
        <v>0.24</v>
      </c>
      <c r="E21" s="14" t="n">
        <v>0.14</v>
      </c>
      <c r="F21" s="14" t="n">
        <v>0.15</v>
      </c>
      <c r="G21" s="14" t="n">
        <v>0.28</v>
      </c>
      <c r="H21" s="14" t="n">
        <v>0.25</v>
      </c>
      <c r="I21" s="14" t="n">
        <v>0.25</v>
      </c>
      <c r="J21" s="14" t="n">
        <v>0.24</v>
      </c>
      <c r="K21" s="14" t="n">
        <v>0.16</v>
      </c>
      <c r="L21" s="14" t="n">
        <v>0.13</v>
      </c>
      <c r="M21" s="14" t="n">
        <v>0.22</v>
      </c>
      <c r="N21" s="14" t="n">
        <v>0.2</v>
      </c>
      <c r="O21" s="14" t="n">
        <v>0.17</v>
      </c>
      <c r="P21" s="14" t="n">
        <v>0.18</v>
      </c>
      <c r="Q21" s="14" t="n">
        <v>0.21</v>
      </c>
      <c r="R21" s="14" t="n">
        <v>0.09</v>
      </c>
      <c r="S21" s="14" t="n">
        <v>0.15</v>
      </c>
      <c r="T21" s="14" t="n">
        <v>0.09</v>
      </c>
      <c r="U21" s="14" t="n">
        <v>0.18</v>
      </c>
      <c r="V21" s="14" t="n">
        <v>0.15</v>
      </c>
      <c r="W21" s="14" t="n">
        <v>0.16</v>
      </c>
      <c r="X21" s="14" t="n">
        <v>0.31</v>
      </c>
      <c r="Y21" s="14" t="n">
        <v>0.2</v>
      </c>
      <c r="Z21" s="14" t="n">
        <v>0.18</v>
      </c>
      <c r="AA21" s="14" t="n">
        <v>0.12</v>
      </c>
      <c r="AB21" s="14" t="n">
        <v>0.2</v>
      </c>
      <c r="AC21" s="14" t="n">
        <v>0.19</v>
      </c>
      <c r="AD21" s="14" t="n">
        <v>0.15</v>
      </c>
      <c r="AE21" s="14" t="n">
        <v>0.32</v>
      </c>
      <c r="AF21" s="14" t="n">
        <v>0.23</v>
      </c>
    </row>
    <row r="22">
      <c r="A22" s="20" t="n"/>
      <c r="B22" s="11" t="inlineStr">
        <is>
          <t>Les  (NATIONALITÉ) ont une influence significative sur les décisions prises au sein de l'Union européenne</t>
        </is>
      </c>
      <c r="C22" s="12" t="n">
        <v>3191</v>
      </c>
      <c r="D22" s="12" t="n">
        <v>127</v>
      </c>
      <c r="E22" s="12" t="n">
        <v>98</v>
      </c>
      <c r="F22" s="12" t="n">
        <v>109</v>
      </c>
      <c r="G22" s="12" t="n">
        <v>103</v>
      </c>
      <c r="H22" s="12" t="n">
        <v>121</v>
      </c>
      <c r="I22" s="12" t="n">
        <v>149</v>
      </c>
      <c r="J22" s="12" t="n">
        <v>28</v>
      </c>
      <c r="K22" s="12" t="n">
        <v>78</v>
      </c>
      <c r="L22" s="12" t="n">
        <v>77</v>
      </c>
      <c r="M22" s="12" t="n">
        <v>161</v>
      </c>
      <c r="N22" s="12" t="n">
        <v>120</v>
      </c>
      <c r="O22" s="12" t="n">
        <v>134</v>
      </c>
      <c r="P22" s="12" t="n">
        <v>119</v>
      </c>
      <c r="Q22" s="12" t="n">
        <v>168</v>
      </c>
      <c r="R22" s="12" t="n">
        <v>40</v>
      </c>
      <c r="S22" s="12" t="n">
        <v>48</v>
      </c>
      <c r="T22" s="12" t="n">
        <v>70</v>
      </c>
      <c r="U22" s="12" t="n">
        <v>49</v>
      </c>
      <c r="V22" s="12" t="n">
        <v>146</v>
      </c>
      <c r="W22" s="12" t="n">
        <v>72</v>
      </c>
      <c r="X22" s="12" t="n">
        <v>64</v>
      </c>
      <c r="Y22" s="12" t="n">
        <v>140</v>
      </c>
      <c r="Z22" s="12" t="n">
        <v>140</v>
      </c>
      <c r="AA22" s="12" t="n">
        <v>116</v>
      </c>
      <c r="AB22" s="12" t="n">
        <v>133</v>
      </c>
      <c r="AC22" s="12" t="n">
        <v>82</v>
      </c>
      <c r="AD22" s="12" t="n">
        <v>90</v>
      </c>
      <c r="AE22" s="12" t="n">
        <v>62</v>
      </c>
      <c r="AF22" s="12" t="n">
        <v>112</v>
      </c>
    </row>
    <row r="23">
      <c r="A23" s="20" t="n"/>
      <c r="B23" s="13" t="inlineStr">
        <is>
          <t>(NATIONALITY) people have a significant influence on decisions made at EU level</t>
        </is>
      </c>
      <c r="C23" s="14" t="n">
        <v>0.12</v>
      </c>
      <c r="D23" s="14" t="n">
        <v>0.12</v>
      </c>
      <c r="E23" s="14" t="n">
        <v>0.1</v>
      </c>
      <c r="F23" s="14" t="n">
        <v>0.1</v>
      </c>
      <c r="G23" s="14" t="n">
        <v>0.1</v>
      </c>
      <c r="H23" s="14" t="n">
        <v>0.1</v>
      </c>
      <c r="I23" s="14" t="n">
        <v>0.1</v>
      </c>
      <c r="J23" s="14" t="n">
        <v>0.1</v>
      </c>
      <c r="K23" s="14" t="n">
        <v>0.08</v>
      </c>
      <c r="L23" s="14" t="n">
        <v>0.08</v>
      </c>
      <c r="M23" s="14" t="n">
        <v>0.16</v>
      </c>
      <c r="N23" s="14" t="n">
        <v>0.12</v>
      </c>
      <c r="O23" s="14" t="n">
        <v>0.13</v>
      </c>
      <c r="P23" s="14" t="n">
        <v>0.12</v>
      </c>
      <c r="Q23" s="14" t="n">
        <v>0.16</v>
      </c>
      <c r="R23" s="14" t="n">
        <v>0.08</v>
      </c>
      <c r="S23" s="14" t="n">
        <v>0.05</v>
      </c>
      <c r="T23" s="14" t="n">
        <v>0.07000000000000001</v>
      </c>
      <c r="U23" s="14" t="n">
        <v>0.1</v>
      </c>
      <c r="V23" s="14" t="n">
        <v>0.14</v>
      </c>
      <c r="W23" s="14" t="n">
        <v>0.14</v>
      </c>
      <c r="X23" s="14" t="n">
        <v>0.06</v>
      </c>
      <c r="Y23" s="14" t="n">
        <v>0.14</v>
      </c>
      <c r="Z23" s="14" t="n">
        <v>0.14</v>
      </c>
      <c r="AA23" s="14" t="n">
        <v>0.11</v>
      </c>
      <c r="AB23" s="14" t="n">
        <v>0.13</v>
      </c>
      <c r="AC23" s="14" t="n">
        <v>0.08</v>
      </c>
      <c r="AD23" s="14" t="n">
        <v>0.09</v>
      </c>
      <c r="AE23" s="14" t="n">
        <v>0.06</v>
      </c>
      <c r="AF23" s="14" t="n">
        <v>0.11</v>
      </c>
    </row>
    <row r="24">
      <c r="A24" s="20" t="n"/>
      <c r="B24" s="11" t="inlineStr">
        <is>
          <t>L'Union européenne donne aux  (NATIONALITÉ) un poids plus important dans le monde</t>
        </is>
      </c>
      <c r="C24" s="12" t="n">
        <v>5838</v>
      </c>
      <c r="D24" s="12" t="n">
        <v>258</v>
      </c>
      <c r="E24" s="12" t="n">
        <v>189</v>
      </c>
      <c r="F24" s="12" t="n">
        <v>220</v>
      </c>
      <c r="G24" s="12" t="n">
        <v>347</v>
      </c>
      <c r="H24" s="12" t="n">
        <v>229</v>
      </c>
      <c r="I24" s="12" t="n">
        <v>269</v>
      </c>
      <c r="J24" s="12" t="n">
        <v>40</v>
      </c>
      <c r="K24" s="12" t="n">
        <v>203</v>
      </c>
      <c r="L24" s="12" t="n">
        <v>268</v>
      </c>
      <c r="M24" s="12" t="n">
        <v>266</v>
      </c>
      <c r="N24" s="12" t="n">
        <v>174</v>
      </c>
      <c r="O24" s="12" t="n">
        <v>242</v>
      </c>
      <c r="P24" s="12" t="n">
        <v>259</v>
      </c>
      <c r="Q24" s="12" t="n">
        <v>333</v>
      </c>
      <c r="R24" s="12" t="n">
        <v>114</v>
      </c>
      <c r="S24" s="12" t="n">
        <v>106</v>
      </c>
      <c r="T24" s="12" t="n">
        <v>163</v>
      </c>
      <c r="U24" s="12" t="n">
        <v>153</v>
      </c>
      <c r="V24" s="12" t="n">
        <v>191</v>
      </c>
      <c r="W24" s="12" t="n">
        <v>121</v>
      </c>
      <c r="X24" s="12" t="n">
        <v>108</v>
      </c>
      <c r="Y24" s="12" t="n">
        <v>252</v>
      </c>
      <c r="Z24" s="12" t="n">
        <v>190</v>
      </c>
      <c r="AA24" s="12" t="n">
        <v>447</v>
      </c>
      <c r="AB24" s="12" t="n">
        <v>198</v>
      </c>
      <c r="AC24" s="12" t="n">
        <v>129</v>
      </c>
      <c r="AD24" s="12" t="n">
        <v>208</v>
      </c>
      <c r="AE24" s="12" t="n">
        <v>207</v>
      </c>
      <c r="AF24" s="12" t="n">
        <v>161</v>
      </c>
    </row>
    <row r="25">
      <c r="A25" s="20" t="n"/>
      <c r="B25" s="13" t="inlineStr">
        <is>
          <t>The EU gives (NATIONALITY) people a stronger say in the world</t>
        </is>
      </c>
      <c r="C25" s="14" t="n">
        <v>0.22</v>
      </c>
      <c r="D25" s="14" t="n">
        <v>0.25</v>
      </c>
      <c r="E25" s="14" t="n">
        <v>0.19</v>
      </c>
      <c r="F25" s="14" t="n">
        <v>0.21</v>
      </c>
      <c r="G25" s="14" t="n">
        <v>0.35</v>
      </c>
      <c r="H25" s="14" t="n">
        <v>0.19</v>
      </c>
      <c r="I25" s="14" t="n">
        <v>0.18</v>
      </c>
      <c r="J25" s="14" t="n">
        <v>0.14</v>
      </c>
      <c r="K25" s="14" t="n">
        <v>0.2</v>
      </c>
      <c r="L25" s="14" t="n">
        <v>0.26</v>
      </c>
      <c r="M25" s="14" t="n">
        <v>0.26</v>
      </c>
      <c r="N25" s="14" t="n">
        <v>0.17</v>
      </c>
      <c r="O25" s="14" t="n">
        <v>0.24</v>
      </c>
      <c r="P25" s="14" t="n">
        <v>0.26</v>
      </c>
      <c r="Q25" s="14" t="n">
        <v>0.32</v>
      </c>
      <c r="R25" s="14" t="n">
        <v>0.23</v>
      </c>
      <c r="S25" s="14" t="n">
        <v>0.11</v>
      </c>
      <c r="T25" s="14" t="n">
        <v>0.16</v>
      </c>
      <c r="U25" s="14" t="n">
        <v>0.3</v>
      </c>
      <c r="V25" s="14" t="n">
        <v>0.19</v>
      </c>
      <c r="W25" s="14" t="n">
        <v>0.24</v>
      </c>
      <c r="X25" s="14" t="n">
        <v>0.11</v>
      </c>
      <c r="Y25" s="14" t="n">
        <v>0.25</v>
      </c>
      <c r="Z25" s="14" t="n">
        <v>0.19</v>
      </c>
      <c r="AA25" s="14" t="n">
        <v>0.43</v>
      </c>
      <c r="AB25" s="14" t="n">
        <v>0.19</v>
      </c>
      <c r="AC25" s="14" t="n">
        <v>0.13</v>
      </c>
      <c r="AD25" s="14" t="n">
        <v>0.21</v>
      </c>
      <c r="AE25" s="14" t="n">
        <v>0.2</v>
      </c>
      <c r="AF25" s="14" t="n">
        <v>0.16</v>
      </c>
    </row>
    <row r="26">
      <c r="A26" s="20" t="n"/>
      <c r="B26" s="11" t="inlineStr">
        <is>
          <t>L'Union européenne améliore le niveau de vie des  (NATIONALITÉ)</t>
        </is>
      </c>
      <c r="C26" s="12" t="n">
        <v>4474</v>
      </c>
      <c r="D26" s="12" t="n">
        <v>156</v>
      </c>
      <c r="E26" s="12" t="n">
        <v>200</v>
      </c>
      <c r="F26" s="12" t="n">
        <v>212</v>
      </c>
      <c r="G26" s="12" t="n">
        <v>94</v>
      </c>
      <c r="H26" s="12" t="n">
        <v>155</v>
      </c>
      <c r="I26" s="12" t="n">
        <v>188</v>
      </c>
      <c r="J26" s="12" t="n">
        <v>33</v>
      </c>
      <c r="K26" s="12" t="n">
        <v>246</v>
      </c>
      <c r="L26" s="12" t="n">
        <v>403</v>
      </c>
      <c r="M26" s="12" t="n">
        <v>243</v>
      </c>
      <c r="N26" s="12" t="n">
        <v>230</v>
      </c>
      <c r="O26" s="12" t="n">
        <v>103</v>
      </c>
      <c r="P26" s="12" t="n">
        <v>307</v>
      </c>
      <c r="Q26" s="12" t="n">
        <v>119</v>
      </c>
      <c r="R26" s="12" t="n">
        <v>106</v>
      </c>
      <c r="S26" s="12" t="n">
        <v>273</v>
      </c>
      <c r="T26" s="12" t="n">
        <v>372</v>
      </c>
      <c r="U26" s="12" t="n">
        <v>94</v>
      </c>
      <c r="V26" s="12" t="n">
        <v>270</v>
      </c>
      <c r="W26" s="12" t="n">
        <v>121</v>
      </c>
      <c r="X26" s="12" t="n">
        <v>106</v>
      </c>
      <c r="Y26" s="12" t="n">
        <v>201</v>
      </c>
      <c r="Z26" s="12" t="n">
        <v>279</v>
      </c>
      <c r="AA26" s="12" t="n">
        <v>265</v>
      </c>
      <c r="AB26" s="12" t="n">
        <v>261</v>
      </c>
      <c r="AC26" s="12" t="n">
        <v>243</v>
      </c>
      <c r="AD26" s="12" t="n">
        <v>233</v>
      </c>
      <c r="AE26" s="12" t="n">
        <v>99</v>
      </c>
      <c r="AF26" s="12" t="n">
        <v>62</v>
      </c>
    </row>
    <row r="27">
      <c r="A27" s="20" t="n"/>
      <c r="B27" s="13" t="inlineStr">
        <is>
          <t>The EU improves (NATIONALITY) people's standard of living</t>
        </is>
      </c>
      <c r="C27" s="14" t="n">
        <v>0.17</v>
      </c>
      <c r="D27" s="14" t="n">
        <v>0.15</v>
      </c>
      <c r="E27" s="14" t="n">
        <v>0.2</v>
      </c>
      <c r="F27" s="14" t="n">
        <v>0.2</v>
      </c>
      <c r="G27" s="14" t="n">
        <v>0.09</v>
      </c>
      <c r="H27" s="14" t="n">
        <v>0.13</v>
      </c>
      <c r="I27" s="14" t="n">
        <v>0.12</v>
      </c>
      <c r="J27" s="14" t="n">
        <v>0.11</v>
      </c>
      <c r="K27" s="14" t="n">
        <v>0.24</v>
      </c>
      <c r="L27" s="14" t="n">
        <v>0.4</v>
      </c>
      <c r="M27" s="14" t="n">
        <v>0.24</v>
      </c>
      <c r="N27" s="14" t="n">
        <v>0.23</v>
      </c>
      <c r="O27" s="14" t="n">
        <v>0.1</v>
      </c>
      <c r="P27" s="14" t="n">
        <v>0.3</v>
      </c>
      <c r="Q27" s="14" t="n">
        <v>0.12</v>
      </c>
      <c r="R27" s="14" t="n">
        <v>0.21</v>
      </c>
      <c r="S27" s="14" t="n">
        <v>0.27</v>
      </c>
      <c r="T27" s="14" t="n">
        <v>0.37</v>
      </c>
      <c r="U27" s="14" t="n">
        <v>0.18</v>
      </c>
      <c r="V27" s="14" t="n">
        <v>0.26</v>
      </c>
      <c r="W27" s="14" t="n">
        <v>0.24</v>
      </c>
      <c r="X27" s="14" t="n">
        <v>0.1</v>
      </c>
      <c r="Y27" s="14" t="n">
        <v>0.2</v>
      </c>
      <c r="Z27" s="14" t="n">
        <v>0.27</v>
      </c>
      <c r="AA27" s="14" t="n">
        <v>0.26</v>
      </c>
      <c r="AB27" s="14" t="n">
        <v>0.25</v>
      </c>
      <c r="AC27" s="14" t="n">
        <v>0.24</v>
      </c>
      <c r="AD27" s="14" t="n">
        <v>0.23</v>
      </c>
      <c r="AE27" s="14" t="n">
        <v>0.1</v>
      </c>
      <c r="AF27" s="14" t="n">
        <v>0.06</v>
      </c>
    </row>
    <row r="28">
      <c r="A28" s="20" t="n"/>
      <c r="B28" s="11" t="inlineStr">
        <is>
          <t>L'Union européenne aide (NOTRE PAYS) à lutter contre le terrorisme</t>
        </is>
      </c>
      <c r="C28" s="12" t="n">
        <v>3408</v>
      </c>
      <c r="D28" s="12" t="n">
        <v>178</v>
      </c>
      <c r="E28" s="12" t="n">
        <v>99</v>
      </c>
      <c r="F28" s="12" t="n">
        <v>152</v>
      </c>
      <c r="G28" s="12" t="n">
        <v>124</v>
      </c>
      <c r="H28" s="12" t="n">
        <v>143</v>
      </c>
      <c r="I28" s="12" t="n">
        <v>184</v>
      </c>
      <c r="J28" s="12" t="n">
        <v>41</v>
      </c>
      <c r="K28" s="12" t="n">
        <v>79</v>
      </c>
      <c r="L28" s="12" t="n">
        <v>68</v>
      </c>
      <c r="M28" s="12" t="n">
        <v>122</v>
      </c>
      <c r="N28" s="12" t="n">
        <v>90</v>
      </c>
      <c r="O28" s="12" t="n">
        <v>180</v>
      </c>
      <c r="P28" s="12" t="n">
        <v>138</v>
      </c>
      <c r="Q28" s="12" t="n">
        <v>150</v>
      </c>
      <c r="R28" s="12" t="n">
        <v>43</v>
      </c>
      <c r="S28" s="12" t="n">
        <v>53</v>
      </c>
      <c r="T28" s="12" t="n">
        <v>36</v>
      </c>
      <c r="U28" s="12" t="n">
        <v>32</v>
      </c>
      <c r="V28" s="12" t="n">
        <v>113</v>
      </c>
      <c r="W28" s="12" t="n">
        <v>46</v>
      </c>
      <c r="X28" s="12" t="n">
        <v>149</v>
      </c>
      <c r="Y28" s="12" t="n">
        <v>171</v>
      </c>
      <c r="Z28" s="12" t="n">
        <v>118</v>
      </c>
      <c r="AA28" s="12" t="n">
        <v>84</v>
      </c>
      <c r="AB28" s="12" t="n">
        <v>141</v>
      </c>
      <c r="AC28" s="12" t="n">
        <v>70</v>
      </c>
      <c r="AD28" s="12" t="n">
        <v>81</v>
      </c>
      <c r="AE28" s="12" t="n">
        <v>62</v>
      </c>
      <c r="AF28" s="12" t="n">
        <v>125</v>
      </c>
    </row>
    <row r="29">
      <c r="A29" s="20" t="n"/>
      <c r="B29" s="13" t="inlineStr">
        <is>
          <t>The EU helps (OUR COUNTRY) in the fight against terrorism</t>
        </is>
      </c>
      <c r="C29" s="14" t="n">
        <v>0.13</v>
      </c>
      <c r="D29" s="14" t="n">
        <v>0.17</v>
      </c>
      <c r="E29" s="14" t="n">
        <v>0.1</v>
      </c>
      <c r="F29" s="14" t="n">
        <v>0.14</v>
      </c>
      <c r="G29" s="14" t="n">
        <v>0.12</v>
      </c>
      <c r="H29" s="14" t="n">
        <v>0.12</v>
      </c>
      <c r="I29" s="14" t="n">
        <v>0.12</v>
      </c>
      <c r="J29" s="14" t="n">
        <v>0.14</v>
      </c>
      <c r="K29" s="14" t="n">
        <v>0.08</v>
      </c>
      <c r="L29" s="14" t="n">
        <v>0.07000000000000001</v>
      </c>
      <c r="M29" s="14" t="n">
        <v>0.12</v>
      </c>
      <c r="N29" s="14" t="n">
        <v>0.09</v>
      </c>
      <c r="O29" s="14" t="n">
        <v>0.18</v>
      </c>
      <c r="P29" s="14" t="n">
        <v>0.14</v>
      </c>
      <c r="Q29" s="14" t="n">
        <v>0.15</v>
      </c>
      <c r="R29" s="14" t="n">
        <v>0.09</v>
      </c>
      <c r="S29" s="14" t="n">
        <v>0.05</v>
      </c>
      <c r="T29" s="14" t="n">
        <v>0.04</v>
      </c>
      <c r="U29" s="14" t="n">
        <v>0.06</v>
      </c>
      <c r="V29" s="14" t="n">
        <v>0.11</v>
      </c>
      <c r="W29" s="14" t="n">
        <v>0.09</v>
      </c>
      <c r="X29" s="14" t="n">
        <v>0.15</v>
      </c>
      <c r="Y29" s="14" t="n">
        <v>0.17</v>
      </c>
      <c r="Z29" s="14" t="n">
        <v>0.12</v>
      </c>
      <c r="AA29" s="14" t="n">
        <v>0.08</v>
      </c>
      <c r="AB29" s="14" t="n">
        <v>0.14</v>
      </c>
      <c r="AC29" s="14" t="n">
        <v>0.07000000000000001</v>
      </c>
      <c r="AD29" s="14" t="n">
        <v>0.08</v>
      </c>
      <c r="AE29" s="14" t="n">
        <v>0.06</v>
      </c>
      <c r="AF29" s="14" t="n">
        <v>0.12</v>
      </c>
    </row>
    <row r="30">
      <c r="A30" s="20" t="n"/>
      <c r="B30" s="11" t="inlineStr">
        <is>
          <t>L'Union européenne aide (NOTRE PAYS) à faire face au changement climatique</t>
        </is>
      </c>
      <c r="C30" s="12" t="n">
        <v>3442</v>
      </c>
      <c r="D30" s="12" t="n">
        <v>122</v>
      </c>
      <c r="E30" s="12" t="n">
        <v>71</v>
      </c>
      <c r="F30" s="12" t="n">
        <v>126</v>
      </c>
      <c r="G30" s="12" t="n">
        <v>146</v>
      </c>
      <c r="H30" s="12" t="n">
        <v>140</v>
      </c>
      <c r="I30" s="12" t="n">
        <v>179</v>
      </c>
      <c r="J30" s="12" t="n">
        <v>39</v>
      </c>
      <c r="K30" s="12" t="n">
        <v>66</v>
      </c>
      <c r="L30" s="12" t="n">
        <v>117</v>
      </c>
      <c r="M30" s="12" t="n">
        <v>172</v>
      </c>
      <c r="N30" s="12" t="n">
        <v>101</v>
      </c>
      <c r="O30" s="12" t="n">
        <v>130</v>
      </c>
      <c r="P30" s="12" t="n">
        <v>130</v>
      </c>
      <c r="Q30" s="12" t="n">
        <v>179</v>
      </c>
      <c r="R30" s="12" t="n">
        <v>38</v>
      </c>
      <c r="S30" s="12" t="n">
        <v>32</v>
      </c>
      <c r="T30" s="12" t="n">
        <v>43</v>
      </c>
      <c r="U30" s="12" t="n">
        <v>32</v>
      </c>
      <c r="V30" s="12" t="n">
        <v>149</v>
      </c>
      <c r="W30" s="12" t="n">
        <v>57</v>
      </c>
      <c r="X30" s="12" t="n">
        <v>180</v>
      </c>
      <c r="Y30" s="12" t="n">
        <v>196</v>
      </c>
      <c r="Z30" s="12" t="n">
        <v>115</v>
      </c>
      <c r="AA30" s="12" t="n">
        <v>74</v>
      </c>
      <c r="AB30" s="12" t="n">
        <v>141</v>
      </c>
      <c r="AC30" s="12" t="n">
        <v>82</v>
      </c>
      <c r="AD30" s="12" t="n">
        <v>100</v>
      </c>
      <c r="AE30" s="12" t="n">
        <v>120</v>
      </c>
      <c r="AF30" s="12" t="n">
        <v>208</v>
      </c>
    </row>
    <row r="31">
      <c r="A31" s="20" t="n"/>
      <c r="B31" s="13" t="inlineStr">
        <is>
          <t>The EU helps (OUR COUNTRY) to tackle climate change</t>
        </is>
      </c>
      <c r="C31" s="14" t="n">
        <v>0.13</v>
      </c>
      <c r="D31" s="14" t="n">
        <v>0.12</v>
      </c>
      <c r="E31" s="14" t="n">
        <v>0.07000000000000001</v>
      </c>
      <c r="F31" s="14" t="n">
        <v>0.12</v>
      </c>
      <c r="G31" s="14" t="n">
        <v>0.14</v>
      </c>
      <c r="H31" s="14" t="n">
        <v>0.12</v>
      </c>
      <c r="I31" s="14" t="n">
        <v>0.12</v>
      </c>
      <c r="J31" s="14" t="n">
        <v>0.13</v>
      </c>
      <c r="K31" s="14" t="n">
        <v>0.07000000000000001</v>
      </c>
      <c r="L31" s="14" t="n">
        <v>0.12</v>
      </c>
      <c r="M31" s="14" t="n">
        <v>0.17</v>
      </c>
      <c r="N31" s="14" t="n">
        <v>0.1</v>
      </c>
      <c r="O31" s="14" t="n">
        <v>0.13</v>
      </c>
      <c r="P31" s="14" t="n">
        <v>0.13</v>
      </c>
      <c r="Q31" s="14" t="n">
        <v>0.17</v>
      </c>
      <c r="R31" s="14" t="n">
        <v>0.08</v>
      </c>
      <c r="S31" s="14" t="n">
        <v>0.03</v>
      </c>
      <c r="T31" s="14" t="n">
        <v>0.04</v>
      </c>
      <c r="U31" s="14" t="n">
        <v>0.06</v>
      </c>
      <c r="V31" s="14" t="n">
        <v>0.15</v>
      </c>
      <c r="W31" s="14" t="n">
        <v>0.11</v>
      </c>
      <c r="X31" s="14" t="n">
        <v>0.18</v>
      </c>
      <c r="Y31" s="14" t="n">
        <v>0.2</v>
      </c>
      <c r="Z31" s="14" t="n">
        <v>0.11</v>
      </c>
      <c r="AA31" s="14" t="n">
        <v>0.07000000000000001</v>
      </c>
      <c r="AB31" s="14" t="n">
        <v>0.14</v>
      </c>
      <c r="AC31" s="14" t="n">
        <v>0.08</v>
      </c>
      <c r="AD31" s="14" t="n">
        <v>0.1</v>
      </c>
      <c r="AE31" s="14" t="n">
        <v>0.12</v>
      </c>
      <c r="AF31" s="14" t="n">
        <v>0.2</v>
      </c>
    </row>
    <row r="32">
      <c r="A32" s="20" t="n"/>
      <c r="B32" s="11" t="inlineStr">
        <is>
          <t>L'Union européenne donne aux  (NATIONALITÉ) de nouvelles opportunités de travail</t>
        </is>
      </c>
      <c r="C32" s="12" t="n">
        <v>6230</v>
      </c>
      <c r="D32" s="12" t="n">
        <v>199</v>
      </c>
      <c r="E32" s="12" t="n">
        <v>494</v>
      </c>
      <c r="F32" s="12" t="n">
        <v>396</v>
      </c>
      <c r="G32" s="12" t="n">
        <v>117</v>
      </c>
      <c r="H32" s="12" t="n">
        <v>183</v>
      </c>
      <c r="I32" s="12" t="n">
        <v>234</v>
      </c>
      <c r="J32" s="12" t="n">
        <v>51</v>
      </c>
      <c r="K32" s="12" t="n">
        <v>369</v>
      </c>
      <c r="L32" s="12" t="n">
        <v>408</v>
      </c>
      <c r="M32" s="12" t="n">
        <v>189</v>
      </c>
      <c r="N32" s="12" t="n">
        <v>267</v>
      </c>
      <c r="O32" s="12" t="n">
        <v>123</v>
      </c>
      <c r="P32" s="12" t="n">
        <v>464</v>
      </c>
      <c r="Q32" s="12" t="n">
        <v>229</v>
      </c>
      <c r="R32" s="12" t="n">
        <v>188</v>
      </c>
      <c r="S32" s="12" t="n">
        <v>296</v>
      </c>
      <c r="T32" s="12" t="n">
        <v>406</v>
      </c>
      <c r="U32" s="12" t="n">
        <v>149</v>
      </c>
      <c r="V32" s="12" t="n">
        <v>418</v>
      </c>
      <c r="W32" s="12" t="n">
        <v>196</v>
      </c>
      <c r="X32" s="12" t="n">
        <v>95</v>
      </c>
      <c r="Y32" s="12" t="n">
        <v>302</v>
      </c>
      <c r="Z32" s="12" t="n">
        <v>371</v>
      </c>
      <c r="AA32" s="12" t="n">
        <v>317</v>
      </c>
      <c r="AB32" s="12" t="n">
        <v>383</v>
      </c>
      <c r="AC32" s="12" t="n">
        <v>346</v>
      </c>
      <c r="AD32" s="12" t="n">
        <v>490</v>
      </c>
      <c r="AE32" s="12" t="n">
        <v>287</v>
      </c>
      <c r="AF32" s="12" t="n">
        <v>254</v>
      </c>
    </row>
    <row r="33">
      <c r="A33" s="20" t="n"/>
      <c r="B33" s="13" t="inlineStr">
        <is>
          <t>The EU brings (NATIONALITY) people new work opportunities</t>
        </is>
      </c>
      <c r="C33" s="14" t="n">
        <v>0.24</v>
      </c>
      <c r="D33" s="14" t="n">
        <v>0.19</v>
      </c>
      <c r="E33" s="14" t="n">
        <v>0.49</v>
      </c>
      <c r="F33" s="14" t="n">
        <v>0.38</v>
      </c>
      <c r="G33" s="14" t="n">
        <v>0.12</v>
      </c>
      <c r="H33" s="14" t="n">
        <v>0.15</v>
      </c>
      <c r="I33" s="14" t="n">
        <v>0.16</v>
      </c>
      <c r="J33" s="14" t="n">
        <v>0.17</v>
      </c>
      <c r="K33" s="14" t="n">
        <v>0.37</v>
      </c>
      <c r="L33" s="14" t="n">
        <v>0.4</v>
      </c>
      <c r="M33" s="14" t="n">
        <v>0.19</v>
      </c>
      <c r="N33" s="14" t="n">
        <v>0.27</v>
      </c>
      <c r="O33" s="14" t="n">
        <v>0.12</v>
      </c>
      <c r="P33" s="14" t="n">
        <v>0.46</v>
      </c>
      <c r="Q33" s="14" t="n">
        <v>0.22</v>
      </c>
      <c r="R33" s="14" t="n">
        <v>0.37</v>
      </c>
      <c r="S33" s="14" t="n">
        <v>0.29</v>
      </c>
      <c r="T33" s="14" t="n">
        <v>0.4</v>
      </c>
      <c r="U33" s="14" t="n">
        <v>0.29</v>
      </c>
      <c r="V33" s="14" t="n">
        <v>0.41</v>
      </c>
      <c r="W33" s="14" t="n">
        <v>0.39</v>
      </c>
      <c r="X33" s="14" t="n">
        <v>0.09</v>
      </c>
      <c r="Y33" s="14" t="n">
        <v>0.3</v>
      </c>
      <c r="Z33" s="14" t="n">
        <v>0.36</v>
      </c>
      <c r="AA33" s="14" t="n">
        <v>0.31</v>
      </c>
      <c r="AB33" s="14" t="n">
        <v>0.37</v>
      </c>
      <c r="AC33" s="14" t="n">
        <v>0.34</v>
      </c>
      <c r="AD33" s="14" t="n">
        <v>0.49</v>
      </c>
      <c r="AE33" s="14" t="n">
        <v>0.28</v>
      </c>
      <c r="AF33" s="14" t="n">
        <v>0.24</v>
      </c>
    </row>
    <row r="34">
      <c r="A34" s="20" t="n"/>
      <c r="B34" s="11" t="inlineStr">
        <is>
          <t>D’une manière générale, vous êtes favorable à l’Union européenne (SPONTANÉ)</t>
        </is>
      </c>
      <c r="C34" s="12" t="n">
        <v>431</v>
      </c>
      <c r="D34" s="12" t="n">
        <v>7</v>
      </c>
      <c r="E34" s="12" t="n">
        <v>9</v>
      </c>
      <c r="F34" s="12" t="n">
        <v>6</v>
      </c>
      <c r="G34" s="12" t="n">
        <v>9</v>
      </c>
      <c r="H34" s="12" t="n">
        <v>43</v>
      </c>
      <c r="I34" s="12" t="n">
        <v>45</v>
      </c>
      <c r="J34" s="12" t="n">
        <v>3</v>
      </c>
      <c r="K34" s="12" t="n">
        <v>33</v>
      </c>
      <c r="L34" s="12" t="n">
        <v>6</v>
      </c>
      <c r="M34" s="12" t="n">
        <v>3</v>
      </c>
      <c r="N34" s="12" t="n">
        <v>11</v>
      </c>
      <c r="O34" s="12" t="n">
        <v>29</v>
      </c>
      <c r="P34" s="12" t="n">
        <v>1</v>
      </c>
      <c r="Q34" s="12" t="n">
        <v>14</v>
      </c>
      <c r="R34" s="12" t="n">
        <v>2</v>
      </c>
      <c r="S34" s="12" t="n">
        <v>13</v>
      </c>
      <c r="T34" s="12" t="n">
        <v>5</v>
      </c>
      <c r="U34" s="12" t="n">
        <v>4</v>
      </c>
      <c r="V34" s="12" t="n">
        <v>4</v>
      </c>
      <c r="W34" s="12" t="n">
        <v>3</v>
      </c>
      <c r="X34" s="12" t="n">
        <v>2</v>
      </c>
      <c r="Y34" s="12" t="n">
        <v>32</v>
      </c>
      <c r="Z34" s="12" t="n">
        <v>9</v>
      </c>
      <c r="AA34" s="12" t="n">
        <v>23</v>
      </c>
      <c r="AB34" s="12" t="n">
        <v>7</v>
      </c>
      <c r="AC34" s="12" t="n">
        <v>3</v>
      </c>
      <c r="AD34" s="12" t="n">
        <v>3</v>
      </c>
      <c r="AE34" s="12" t="n">
        <v>2</v>
      </c>
      <c r="AF34" s="12" t="n">
        <v>1</v>
      </c>
    </row>
    <row r="35">
      <c r="A35" s="20" t="n"/>
      <c r="B35" s="13" t="inlineStr">
        <is>
          <t>You are generally in favour of the EU (SPONTANEOUS)</t>
        </is>
      </c>
      <c r="C35" s="14" t="n">
        <v>0.02</v>
      </c>
      <c r="D35" s="14" t="n">
        <v>0.01</v>
      </c>
      <c r="E35" s="14" t="n">
        <v>0.01</v>
      </c>
      <c r="F35" s="14" t="n">
        <v>0.01</v>
      </c>
      <c r="G35" s="14" t="n">
        <v>0.01</v>
      </c>
      <c r="H35" s="14" t="n">
        <v>0.04</v>
      </c>
      <c r="I35" s="14" t="n">
        <v>0.03</v>
      </c>
      <c r="J35" s="14" t="n">
        <v>0.01</v>
      </c>
      <c r="K35" s="14" t="n">
        <v>0.03</v>
      </c>
      <c r="L35" s="14" t="n">
        <v>0.01</v>
      </c>
      <c r="M35" s="15" t="inlineStr">
        <is>
          <t>-</t>
        </is>
      </c>
      <c r="N35" s="14" t="n">
        <v>0.01</v>
      </c>
      <c r="O35" s="14" t="n">
        <v>0.03</v>
      </c>
      <c r="P35" s="15" t="inlineStr">
        <is>
          <t>-</t>
        </is>
      </c>
      <c r="Q35" s="14" t="n">
        <v>0.01</v>
      </c>
      <c r="R35" s="15" t="inlineStr">
        <is>
          <t>-</t>
        </is>
      </c>
      <c r="S35" s="14" t="n">
        <v>0.01</v>
      </c>
      <c r="T35" s="15" t="inlineStr">
        <is>
          <t>-</t>
        </is>
      </c>
      <c r="U35" s="14" t="n">
        <v>0.01</v>
      </c>
      <c r="V35" s="15" t="inlineStr">
        <is>
          <t>-</t>
        </is>
      </c>
      <c r="W35" s="14" t="n">
        <v>0.01</v>
      </c>
      <c r="X35" s="15" t="inlineStr">
        <is>
          <t>-</t>
        </is>
      </c>
      <c r="Y35" s="14" t="n">
        <v>0.03</v>
      </c>
      <c r="Z35" s="14" t="n">
        <v>0.01</v>
      </c>
      <c r="AA35" s="14" t="n">
        <v>0.02</v>
      </c>
      <c r="AB35" s="14" t="n">
        <v>0.01</v>
      </c>
      <c r="AC35" s="15" t="inlineStr">
        <is>
          <t>-</t>
        </is>
      </c>
      <c r="AD35" s="15" t="inlineStr">
        <is>
          <t>-</t>
        </is>
      </c>
      <c r="AE35" s="15" t="inlineStr">
        <is>
          <t>-</t>
        </is>
      </c>
      <c r="AF35" s="15" t="inlineStr">
        <is>
          <t>-</t>
        </is>
      </c>
    </row>
    <row r="36">
      <c r="A36" s="20" t="n"/>
      <c r="B36" s="11" t="inlineStr">
        <is>
          <t>Autre (SPONTANÉ)</t>
        </is>
      </c>
      <c r="C36" s="12" t="n">
        <v>888</v>
      </c>
      <c r="D36" s="12" t="n">
        <v>17</v>
      </c>
      <c r="E36" s="12" t="n">
        <v>36</v>
      </c>
      <c r="F36" s="12" t="n">
        <v>13</v>
      </c>
      <c r="G36" s="12" t="n">
        <v>23</v>
      </c>
      <c r="H36" s="12" t="n">
        <v>46</v>
      </c>
      <c r="I36" s="12" t="n">
        <v>61</v>
      </c>
      <c r="J36" s="12" t="n">
        <v>15</v>
      </c>
      <c r="K36" s="12" t="n">
        <v>63</v>
      </c>
      <c r="L36" s="12" t="n">
        <v>15</v>
      </c>
      <c r="M36" s="12" t="n">
        <v>44</v>
      </c>
      <c r="N36" s="12" t="n">
        <v>49</v>
      </c>
      <c r="O36" s="12" t="n">
        <v>50</v>
      </c>
      <c r="P36" s="12" t="n">
        <v>5</v>
      </c>
      <c r="Q36" s="12" t="n">
        <v>36</v>
      </c>
      <c r="R36" s="12" t="n">
        <v>5</v>
      </c>
      <c r="S36" s="12" t="n">
        <v>59</v>
      </c>
      <c r="T36" s="12" t="n">
        <v>29</v>
      </c>
      <c r="U36" s="12" t="n">
        <v>12</v>
      </c>
      <c r="V36" s="12" t="n">
        <v>23</v>
      </c>
      <c r="W36" s="12" t="n">
        <v>7</v>
      </c>
      <c r="X36" s="12" t="n">
        <v>11</v>
      </c>
      <c r="Y36" s="12" t="n">
        <v>34</v>
      </c>
      <c r="Z36" s="12" t="n">
        <v>7</v>
      </c>
      <c r="AA36" s="12" t="n">
        <v>17</v>
      </c>
      <c r="AB36" s="12" t="n">
        <v>44</v>
      </c>
      <c r="AC36" s="12" t="n">
        <v>59</v>
      </c>
      <c r="AD36" s="12" t="n">
        <v>30</v>
      </c>
      <c r="AE36" s="12" t="n">
        <v>19</v>
      </c>
      <c r="AF36" s="12" t="n">
        <v>8</v>
      </c>
    </row>
    <row r="37">
      <c r="A37" s="20" t="n"/>
      <c r="B37" s="13" t="inlineStr">
        <is>
          <t>Other (SPONTANEOUS)</t>
        </is>
      </c>
      <c r="C37" s="14" t="n">
        <v>0.03</v>
      </c>
      <c r="D37" s="14" t="n">
        <v>0.02</v>
      </c>
      <c r="E37" s="14" t="n">
        <v>0.04</v>
      </c>
      <c r="F37" s="14" t="n">
        <v>0.01</v>
      </c>
      <c r="G37" s="14" t="n">
        <v>0.02</v>
      </c>
      <c r="H37" s="14" t="n">
        <v>0.04</v>
      </c>
      <c r="I37" s="14" t="n">
        <v>0.04</v>
      </c>
      <c r="J37" s="14" t="n">
        <v>0.05</v>
      </c>
      <c r="K37" s="14" t="n">
        <v>0.06</v>
      </c>
      <c r="L37" s="14" t="n">
        <v>0.01</v>
      </c>
      <c r="M37" s="14" t="n">
        <v>0.04</v>
      </c>
      <c r="N37" s="14" t="n">
        <v>0.05</v>
      </c>
      <c r="O37" s="14" t="n">
        <v>0.05</v>
      </c>
      <c r="P37" s="14" t="n">
        <v>0.01</v>
      </c>
      <c r="Q37" s="14" t="n">
        <v>0.03</v>
      </c>
      <c r="R37" s="14" t="n">
        <v>0.01</v>
      </c>
      <c r="S37" s="14" t="n">
        <v>0.06</v>
      </c>
      <c r="T37" s="14" t="n">
        <v>0.03</v>
      </c>
      <c r="U37" s="14" t="n">
        <v>0.02</v>
      </c>
      <c r="V37" s="14" t="n">
        <v>0.02</v>
      </c>
      <c r="W37" s="14" t="n">
        <v>0.01</v>
      </c>
      <c r="X37" s="14" t="n">
        <v>0.01</v>
      </c>
      <c r="Y37" s="14" t="n">
        <v>0.03</v>
      </c>
      <c r="Z37" s="14" t="n">
        <v>0.01</v>
      </c>
      <c r="AA37" s="14" t="n">
        <v>0.02</v>
      </c>
      <c r="AB37" s="14" t="n">
        <v>0.04</v>
      </c>
      <c r="AC37" s="14" t="n">
        <v>0.06</v>
      </c>
      <c r="AD37" s="14" t="n">
        <v>0.03</v>
      </c>
      <c r="AE37" s="14" t="n">
        <v>0.02</v>
      </c>
      <c r="AF37" s="14" t="n">
        <v>0.01</v>
      </c>
    </row>
    <row r="38">
      <c r="A38" s="20" t="n"/>
      <c r="B38" s="11" t="inlineStr">
        <is>
          <t>Ne sait pas</t>
        </is>
      </c>
      <c r="C38" s="12" t="n">
        <v>1381</v>
      </c>
      <c r="D38" s="12" t="n">
        <v>22</v>
      </c>
      <c r="E38" s="12" t="n">
        <v>111</v>
      </c>
      <c r="F38" s="12" t="n">
        <v>51</v>
      </c>
      <c r="G38" s="12" t="n">
        <v>10</v>
      </c>
      <c r="H38" s="12" t="n">
        <v>45</v>
      </c>
      <c r="I38" s="12" t="n">
        <v>56</v>
      </c>
      <c r="J38" s="12" t="n">
        <v>11</v>
      </c>
      <c r="K38" s="12" t="n">
        <v>70</v>
      </c>
      <c r="L38" s="12" t="n">
        <v>33</v>
      </c>
      <c r="M38" s="12" t="n">
        <v>29</v>
      </c>
      <c r="N38" s="12" t="n">
        <v>62</v>
      </c>
      <c r="O38" s="12" t="n">
        <v>125</v>
      </c>
      <c r="P38" s="12" t="n">
        <v>19</v>
      </c>
      <c r="Q38" s="12" t="n">
        <v>41</v>
      </c>
      <c r="R38" s="12" t="n">
        <v>30</v>
      </c>
      <c r="S38" s="12" t="n">
        <v>75</v>
      </c>
      <c r="T38" s="12" t="n">
        <v>61</v>
      </c>
      <c r="U38" s="12" t="n">
        <v>11</v>
      </c>
      <c r="V38" s="12" t="n">
        <v>34</v>
      </c>
      <c r="W38" s="12" t="n">
        <v>12</v>
      </c>
      <c r="X38" s="12" t="n">
        <v>17</v>
      </c>
      <c r="Y38" s="12" t="n">
        <v>24</v>
      </c>
      <c r="Z38" s="12" t="n">
        <v>38</v>
      </c>
      <c r="AA38" s="12" t="n">
        <v>52</v>
      </c>
      <c r="AB38" s="12" t="n">
        <v>55</v>
      </c>
      <c r="AC38" s="12" t="n">
        <v>29</v>
      </c>
      <c r="AD38" s="12" t="n">
        <v>16</v>
      </c>
      <c r="AE38" s="12" t="n">
        <v>39</v>
      </c>
      <c r="AF38" s="12" t="n">
        <v>5</v>
      </c>
    </row>
    <row r="39">
      <c r="A39" s="23" t="n"/>
      <c r="B39" s="13" t="inlineStr">
        <is>
          <t>Don’t know</t>
        </is>
      </c>
      <c r="C39" s="14" t="n">
        <v>0.05</v>
      </c>
      <c r="D39" s="14" t="n">
        <v>0.02</v>
      </c>
      <c r="E39" s="14" t="n">
        <v>0.11</v>
      </c>
      <c r="F39" s="14" t="n">
        <v>0.05</v>
      </c>
      <c r="G39" s="14" t="n">
        <v>0.01</v>
      </c>
      <c r="H39" s="14" t="n">
        <v>0.04</v>
      </c>
      <c r="I39" s="14" t="n">
        <v>0.04</v>
      </c>
      <c r="J39" s="14" t="n">
        <v>0.04</v>
      </c>
      <c r="K39" s="14" t="n">
        <v>0.07000000000000001</v>
      </c>
      <c r="L39" s="14" t="n">
        <v>0.03</v>
      </c>
      <c r="M39" s="14" t="n">
        <v>0.03</v>
      </c>
      <c r="N39" s="14" t="n">
        <v>0.06</v>
      </c>
      <c r="O39" s="14" t="n">
        <v>0.12</v>
      </c>
      <c r="P39" s="14" t="n">
        <v>0.02</v>
      </c>
      <c r="Q39" s="14" t="n">
        <v>0.04</v>
      </c>
      <c r="R39" s="14" t="n">
        <v>0.06</v>
      </c>
      <c r="S39" s="14" t="n">
        <v>0.07000000000000001</v>
      </c>
      <c r="T39" s="14" t="n">
        <v>0.06</v>
      </c>
      <c r="U39" s="14" t="n">
        <v>0.02</v>
      </c>
      <c r="V39" s="14" t="n">
        <v>0.03</v>
      </c>
      <c r="W39" s="14" t="n">
        <v>0.02</v>
      </c>
      <c r="X39" s="14" t="n">
        <v>0.02</v>
      </c>
      <c r="Y39" s="14" t="n">
        <v>0.02</v>
      </c>
      <c r="Z39" s="14" t="n">
        <v>0.04</v>
      </c>
      <c r="AA39" s="14" t="n">
        <v>0.05</v>
      </c>
      <c r="AB39" s="14" t="n">
        <v>0.05</v>
      </c>
      <c r="AC39" s="14" t="n">
        <v>0.03</v>
      </c>
      <c r="AD39" s="14" t="n">
        <v>0.02</v>
      </c>
      <c r="AE39" s="14" t="n">
        <v>0.04</v>
      </c>
      <c r="AF39" s="15" t="inlineStr">
        <is>
          <t>-</t>
        </is>
      </c>
    </row>
  </sheetData>
  <mergeCells count="9">
    <mergeCell ref="B4:F4"/>
    <mergeCell ref="H3:L3"/>
    <mergeCell ref="C8:AF8"/>
    <mergeCell ref="B3:F3"/>
    <mergeCell ref="B5:F5"/>
    <mergeCell ref="H5:L5"/>
    <mergeCell ref="B10:B11"/>
    <mergeCell ref="A10:A39"/>
    <mergeCell ref="H4:L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24" customHeight="1" s="18">
      <c r="B3" s="21" t="inlineStr">
        <is>
          <t>QA6a. Quels sentiments décrivent le mieux votre état émotionnel actuel ? En premier ?</t>
        </is>
      </c>
      <c r="H3" s="21" t="inlineStr">
        <is>
          <t>QA6a. What feelings best describe your current emotional state? Firstly?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HYPERLINK("#Content!A15","&lt;&lt;Back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Espoir</t>
        </is>
      </c>
      <c r="C12" s="12" t="n">
        <v>3863</v>
      </c>
      <c r="D12" s="12" t="n">
        <v>126</v>
      </c>
      <c r="E12" s="12" t="n">
        <v>259</v>
      </c>
      <c r="F12" s="12" t="n">
        <v>150</v>
      </c>
      <c r="G12" s="12" t="n">
        <v>151</v>
      </c>
      <c r="H12" s="12" t="n">
        <v>172</v>
      </c>
      <c r="I12" s="12" t="n">
        <v>200</v>
      </c>
      <c r="J12" s="12" t="n">
        <v>27</v>
      </c>
      <c r="K12" s="12" t="n">
        <v>124</v>
      </c>
      <c r="L12" s="12" t="n">
        <v>163</v>
      </c>
      <c r="M12" s="12" t="n">
        <v>148</v>
      </c>
      <c r="N12" s="12" t="n">
        <v>131</v>
      </c>
      <c r="O12" s="12" t="n">
        <v>125</v>
      </c>
      <c r="P12" s="12" t="n">
        <v>165</v>
      </c>
      <c r="Q12" s="12" t="n">
        <v>164</v>
      </c>
      <c r="R12" s="12" t="n">
        <v>75</v>
      </c>
      <c r="S12" s="12" t="n">
        <v>141</v>
      </c>
      <c r="T12" s="12" t="n">
        <v>125</v>
      </c>
      <c r="U12" s="12" t="n">
        <v>60</v>
      </c>
      <c r="V12" s="12" t="n">
        <v>268</v>
      </c>
      <c r="W12" s="12" t="n">
        <v>69</v>
      </c>
      <c r="X12" s="12" t="n">
        <v>90</v>
      </c>
      <c r="Y12" s="12" t="n">
        <v>104</v>
      </c>
      <c r="Z12" s="12" t="n">
        <v>186</v>
      </c>
      <c r="AA12" s="12" t="n">
        <v>169</v>
      </c>
      <c r="AB12" s="12" t="n">
        <v>212</v>
      </c>
      <c r="AC12" s="12" t="n">
        <v>178</v>
      </c>
      <c r="AD12" s="12" t="n">
        <v>186</v>
      </c>
      <c r="AE12" s="12" t="n">
        <v>166</v>
      </c>
      <c r="AF12" s="12" t="n">
        <v>115</v>
      </c>
    </row>
    <row r="13">
      <c r="A13" s="20" t="n"/>
      <c r="B13" s="13" t="inlineStr">
        <is>
          <t>Hope</t>
        </is>
      </c>
      <c r="C13" s="14" t="n">
        <v>0.15</v>
      </c>
      <c r="D13" s="14" t="n">
        <v>0.12</v>
      </c>
      <c r="E13" s="14" t="n">
        <v>0.26</v>
      </c>
      <c r="F13" s="14" t="n">
        <v>0.14</v>
      </c>
      <c r="G13" s="14" t="n">
        <v>0.15</v>
      </c>
      <c r="H13" s="14" t="n">
        <v>0.14</v>
      </c>
      <c r="I13" s="14" t="n">
        <v>0.13</v>
      </c>
      <c r="J13" s="14" t="n">
        <v>0.09</v>
      </c>
      <c r="K13" s="14" t="n">
        <v>0.12</v>
      </c>
      <c r="L13" s="14" t="n">
        <v>0.16</v>
      </c>
      <c r="M13" s="14" t="n">
        <v>0.15</v>
      </c>
      <c r="N13" s="14" t="n">
        <v>0.13</v>
      </c>
      <c r="O13" s="14" t="n">
        <v>0.12</v>
      </c>
      <c r="P13" s="14" t="n">
        <v>0.16</v>
      </c>
      <c r="Q13" s="14" t="n">
        <v>0.16</v>
      </c>
      <c r="R13" s="14" t="n">
        <v>0.15</v>
      </c>
      <c r="S13" s="14" t="n">
        <v>0.14</v>
      </c>
      <c r="T13" s="14" t="n">
        <v>0.12</v>
      </c>
      <c r="U13" s="14" t="n">
        <v>0.12</v>
      </c>
      <c r="V13" s="14" t="n">
        <v>0.26</v>
      </c>
      <c r="W13" s="14" t="n">
        <v>0.14</v>
      </c>
      <c r="X13" s="14" t="n">
        <v>0.09</v>
      </c>
      <c r="Y13" s="14" t="n">
        <v>0.1</v>
      </c>
      <c r="Z13" s="14" t="n">
        <v>0.18</v>
      </c>
      <c r="AA13" s="14" t="n">
        <v>0.16</v>
      </c>
      <c r="AB13" s="14" t="n">
        <v>0.2</v>
      </c>
      <c r="AC13" s="14" t="n">
        <v>0.18</v>
      </c>
      <c r="AD13" s="14" t="n">
        <v>0.19</v>
      </c>
      <c r="AE13" s="14" t="n">
        <v>0.16</v>
      </c>
      <c r="AF13" s="14" t="n">
        <v>0.11</v>
      </c>
    </row>
    <row r="14">
      <c r="A14" s="20" t="n"/>
      <c r="B14" s="11" t="inlineStr">
        <is>
          <t>Anxiété</t>
        </is>
      </c>
      <c r="C14" s="12" t="n">
        <v>1877</v>
      </c>
      <c r="D14" s="12" t="n">
        <v>69</v>
      </c>
      <c r="E14" s="12" t="n">
        <v>109</v>
      </c>
      <c r="F14" s="12" t="n">
        <v>38</v>
      </c>
      <c r="G14" s="12" t="n">
        <v>9</v>
      </c>
      <c r="H14" s="12" t="n">
        <v>51</v>
      </c>
      <c r="I14" s="12" t="n">
        <v>62</v>
      </c>
      <c r="J14" s="12" t="n">
        <v>11</v>
      </c>
      <c r="K14" s="12" t="n">
        <v>106</v>
      </c>
      <c r="L14" s="12" t="n">
        <v>57</v>
      </c>
      <c r="M14" s="12" t="n">
        <v>163</v>
      </c>
      <c r="N14" s="12" t="n">
        <v>32</v>
      </c>
      <c r="O14" s="12" t="n">
        <v>103</v>
      </c>
      <c r="P14" s="12" t="n">
        <v>50</v>
      </c>
      <c r="Q14" s="12" t="n">
        <v>119</v>
      </c>
      <c r="R14" s="12" t="n">
        <v>59</v>
      </c>
      <c r="S14" s="12" t="n">
        <v>101</v>
      </c>
      <c r="T14" s="12" t="n">
        <v>108</v>
      </c>
      <c r="U14" s="12" t="n">
        <v>34</v>
      </c>
      <c r="V14" s="12" t="n">
        <v>38</v>
      </c>
      <c r="W14" s="12" t="n">
        <v>68</v>
      </c>
      <c r="X14" s="12" t="n">
        <v>18</v>
      </c>
      <c r="Y14" s="12" t="n">
        <v>60</v>
      </c>
      <c r="Z14" s="12" t="n">
        <v>116</v>
      </c>
      <c r="AA14" s="12" t="n">
        <v>125</v>
      </c>
      <c r="AB14" s="12" t="n">
        <v>54</v>
      </c>
      <c r="AC14" s="12" t="n">
        <v>35</v>
      </c>
      <c r="AD14" s="12" t="n">
        <v>17</v>
      </c>
      <c r="AE14" s="12" t="n">
        <v>17</v>
      </c>
      <c r="AF14" s="12" t="n">
        <v>23</v>
      </c>
    </row>
    <row r="15">
      <c r="A15" s="20" t="n"/>
      <c r="B15" s="13" t="inlineStr">
        <is>
          <t>Anxiety</t>
        </is>
      </c>
      <c r="C15" s="14" t="n">
        <v>0.07000000000000001</v>
      </c>
      <c r="D15" s="14" t="n">
        <v>0.07000000000000001</v>
      </c>
      <c r="E15" s="14" t="n">
        <v>0.11</v>
      </c>
      <c r="F15" s="14" t="n">
        <v>0.04</v>
      </c>
      <c r="G15" s="14" t="n">
        <v>0.01</v>
      </c>
      <c r="H15" s="14" t="n">
        <v>0.04</v>
      </c>
      <c r="I15" s="14" t="n">
        <v>0.04</v>
      </c>
      <c r="J15" s="14" t="n">
        <v>0.04</v>
      </c>
      <c r="K15" s="14" t="n">
        <v>0.11</v>
      </c>
      <c r="L15" s="14" t="n">
        <v>0.05</v>
      </c>
      <c r="M15" s="14" t="n">
        <v>0.16</v>
      </c>
      <c r="N15" s="14" t="n">
        <v>0.03</v>
      </c>
      <c r="O15" s="14" t="n">
        <v>0.1</v>
      </c>
      <c r="P15" s="14" t="n">
        <v>0.05</v>
      </c>
      <c r="Q15" s="14" t="n">
        <v>0.12</v>
      </c>
      <c r="R15" s="14" t="n">
        <v>0.12</v>
      </c>
      <c r="S15" s="14" t="n">
        <v>0.1</v>
      </c>
      <c r="T15" s="14" t="n">
        <v>0.11</v>
      </c>
      <c r="U15" s="14" t="n">
        <v>0.07000000000000001</v>
      </c>
      <c r="V15" s="14" t="n">
        <v>0.04</v>
      </c>
      <c r="W15" s="14" t="n">
        <v>0.13</v>
      </c>
      <c r="X15" s="14" t="n">
        <v>0.02</v>
      </c>
      <c r="Y15" s="14" t="n">
        <v>0.06</v>
      </c>
      <c r="Z15" s="14" t="n">
        <v>0.11</v>
      </c>
      <c r="AA15" s="14" t="n">
        <v>0.12</v>
      </c>
      <c r="AB15" s="14" t="n">
        <v>0.05</v>
      </c>
      <c r="AC15" s="14" t="n">
        <v>0.04</v>
      </c>
      <c r="AD15" s="14" t="n">
        <v>0.02</v>
      </c>
      <c r="AE15" s="14" t="n">
        <v>0.02</v>
      </c>
      <c r="AF15" s="14" t="n">
        <v>0.02</v>
      </c>
    </row>
    <row r="16">
      <c r="A16" s="20" t="n"/>
      <c r="B16" s="11" t="inlineStr">
        <is>
          <t>Incertitude</t>
        </is>
      </c>
      <c r="C16" s="12" t="n">
        <v>5594</v>
      </c>
      <c r="D16" s="12" t="n">
        <v>273</v>
      </c>
      <c r="E16" s="12" t="n">
        <v>167</v>
      </c>
      <c r="F16" s="12" t="n">
        <v>212</v>
      </c>
      <c r="G16" s="12" t="n">
        <v>165</v>
      </c>
      <c r="H16" s="12" t="n">
        <v>244</v>
      </c>
      <c r="I16" s="12" t="n">
        <v>314</v>
      </c>
      <c r="J16" s="12" t="n">
        <v>69</v>
      </c>
      <c r="K16" s="12" t="n">
        <v>193</v>
      </c>
      <c r="L16" s="12" t="n">
        <v>211</v>
      </c>
      <c r="M16" s="12" t="n">
        <v>218</v>
      </c>
      <c r="N16" s="12" t="n">
        <v>211</v>
      </c>
      <c r="O16" s="12" t="n">
        <v>258</v>
      </c>
      <c r="P16" s="12" t="n">
        <v>138</v>
      </c>
      <c r="Q16" s="12" t="n">
        <v>278</v>
      </c>
      <c r="R16" s="12" t="n">
        <v>143</v>
      </c>
      <c r="S16" s="12" t="n">
        <v>180</v>
      </c>
      <c r="T16" s="12" t="n">
        <v>176</v>
      </c>
      <c r="U16" s="12" t="n">
        <v>109</v>
      </c>
      <c r="V16" s="12" t="n">
        <v>123</v>
      </c>
      <c r="W16" s="12" t="n">
        <v>58</v>
      </c>
      <c r="X16" s="12" t="n">
        <v>165</v>
      </c>
      <c r="Y16" s="12" t="n">
        <v>195</v>
      </c>
      <c r="Z16" s="12" t="n">
        <v>142</v>
      </c>
      <c r="AA16" s="12" t="n">
        <v>287</v>
      </c>
      <c r="AB16" s="12" t="n">
        <v>168</v>
      </c>
      <c r="AC16" s="12" t="n">
        <v>147</v>
      </c>
      <c r="AD16" s="12" t="n">
        <v>214</v>
      </c>
      <c r="AE16" s="12" t="n">
        <v>223</v>
      </c>
      <c r="AF16" s="12" t="n">
        <v>160</v>
      </c>
    </row>
    <row r="17">
      <c r="A17" s="20" t="n"/>
      <c r="B17" s="13" t="inlineStr">
        <is>
          <t>Uncertainty</t>
        </is>
      </c>
      <c r="C17" s="14" t="n">
        <v>0.21</v>
      </c>
      <c r="D17" s="14" t="n">
        <v>0.27</v>
      </c>
      <c r="E17" s="14" t="n">
        <v>0.16</v>
      </c>
      <c r="F17" s="14" t="n">
        <v>0.2</v>
      </c>
      <c r="G17" s="14" t="n">
        <v>0.16</v>
      </c>
      <c r="H17" s="14" t="n">
        <v>0.2</v>
      </c>
      <c r="I17" s="14" t="n">
        <v>0.21</v>
      </c>
      <c r="J17" s="14" t="n">
        <v>0.24</v>
      </c>
      <c r="K17" s="14" t="n">
        <v>0.19</v>
      </c>
      <c r="L17" s="14" t="n">
        <v>0.21</v>
      </c>
      <c r="M17" s="14" t="n">
        <v>0.22</v>
      </c>
      <c r="N17" s="14" t="n">
        <v>0.21</v>
      </c>
      <c r="O17" s="14" t="n">
        <v>0.25</v>
      </c>
      <c r="P17" s="14" t="n">
        <v>0.14</v>
      </c>
      <c r="Q17" s="14" t="n">
        <v>0.27</v>
      </c>
      <c r="R17" s="14" t="n">
        <v>0.28</v>
      </c>
      <c r="S17" s="14" t="n">
        <v>0.18</v>
      </c>
      <c r="T17" s="14" t="n">
        <v>0.17</v>
      </c>
      <c r="U17" s="14" t="n">
        <v>0.21</v>
      </c>
      <c r="V17" s="14" t="n">
        <v>0.12</v>
      </c>
      <c r="W17" s="14" t="n">
        <v>0.12</v>
      </c>
      <c r="X17" s="14" t="n">
        <v>0.16</v>
      </c>
      <c r="Y17" s="14" t="n">
        <v>0.2</v>
      </c>
      <c r="Z17" s="14" t="n">
        <v>0.14</v>
      </c>
      <c r="AA17" s="14" t="n">
        <v>0.28</v>
      </c>
      <c r="AB17" s="14" t="n">
        <v>0.16</v>
      </c>
      <c r="AC17" s="14" t="n">
        <v>0.15</v>
      </c>
      <c r="AD17" s="14" t="n">
        <v>0.21</v>
      </c>
      <c r="AE17" s="14" t="n">
        <v>0.22</v>
      </c>
      <c r="AF17" s="14" t="n">
        <v>0.15</v>
      </c>
    </row>
    <row r="18">
      <c r="A18" s="20" t="n"/>
      <c r="B18" s="11" t="inlineStr">
        <is>
          <t>Colère</t>
        </is>
      </c>
      <c r="C18" s="12" t="n">
        <v>1234</v>
      </c>
      <c r="D18" s="12" t="n">
        <v>47</v>
      </c>
      <c r="E18" s="12" t="n">
        <v>31</v>
      </c>
      <c r="F18" s="12" t="n">
        <v>39</v>
      </c>
      <c r="G18" s="12" t="n">
        <v>10</v>
      </c>
      <c r="H18" s="12" t="n">
        <v>58</v>
      </c>
      <c r="I18" s="12" t="n">
        <v>79</v>
      </c>
      <c r="J18" s="12" t="n">
        <v>21</v>
      </c>
      <c r="K18" s="12" t="n">
        <v>22</v>
      </c>
      <c r="L18" s="12" t="n">
        <v>33</v>
      </c>
      <c r="M18" s="12" t="n">
        <v>91</v>
      </c>
      <c r="N18" s="12" t="n">
        <v>52</v>
      </c>
      <c r="O18" s="12" t="n">
        <v>71</v>
      </c>
      <c r="P18" s="12" t="n">
        <v>41</v>
      </c>
      <c r="Q18" s="12" t="n">
        <v>45</v>
      </c>
      <c r="R18" s="12" t="n">
        <v>31</v>
      </c>
      <c r="S18" s="12" t="n">
        <v>34</v>
      </c>
      <c r="T18" s="12" t="n">
        <v>38</v>
      </c>
      <c r="U18" s="12" t="n">
        <v>7</v>
      </c>
      <c r="V18" s="12" t="n">
        <v>18</v>
      </c>
      <c r="W18" s="12" t="n">
        <v>18</v>
      </c>
      <c r="X18" s="12" t="n">
        <v>13</v>
      </c>
      <c r="Y18" s="12" t="n">
        <v>90</v>
      </c>
      <c r="Z18" s="12" t="n">
        <v>21</v>
      </c>
      <c r="AA18" s="12" t="n">
        <v>8</v>
      </c>
      <c r="AB18" s="12" t="n">
        <v>74</v>
      </c>
      <c r="AC18" s="12" t="n">
        <v>54</v>
      </c>
      <c r="AD18" s="12" t="n">
        <v>62</v>
      </c>
      <c r="AE18" s="12" t="n">
        <v>5</v>
      </c>
      <c r="AF18" s="12" t="n">
        <v>8</v>
      </c>
    </row>
    <row r="19">
      <c r="A19" s="20" t="n"/>
      <c r="B19" s="13" t="inlineStr">
        <is>
          <t>Anger</t>
        </is>
      </c>
      <c r="C19" s="14" t="n">
        <v>0.05</v>
      </c>
      <c r="D19" s="14" t="n">
        <v>0.05</v>
      </c>
      <c r="E19" s="14" t="n">
        <v>0.03</v>
      </c>
      <c r="F19" s="14" t="n">
        <v>0.04</v>
      </c>
      <c r="G19" s="14" t="n">
        <v>0.01</v>
      </c>
      <c r="H19" s="14" t="n">
        <v>0.05</v>
      </c>
      <c r="I19" s="14" t="n">
        <v>0.05</v>
      </c>
      <c r="J19" s="14" t="n">
        <v>0.07000000000000001</v>
      </c>
      <c r="K19" s="14" t="n">
        <v>0.02</v>
      </c>
      <c r="L19" s="14" t="n">
        <v>0.03</v>
      </c>
      <c r="M19" s="14" t="n">
        <v>0.09</v>
      </c>
      <c r="N19" s="14" t="n">
        <v>0.05</v>
      </c>
      <c r="O19" s="14" t="n">
        <v>0.07000000000000001</v>
      </c>
      <c r="P19" s="14" t="n">
        <v>0.04</v>
      </c>
      <c r="Q19" s="14" t="n">
        <v>0.04</v>
      </c>
      <c r="R19" s="14" t="n">
        <v>0.06</v>
      </c>
      <c r="S19" s="14" t="n">
        <v>0.03</v>
      </c>
      <c r="T19" s="14" t="n">
        <v>0.04</v>
      </c>
      <c r="U19" s="14" t="n">
        <v>0.01</v>
      </c>
      <c r="V19" s="14" t="n">
        <v>0.02</v>
      </c>
      <c r="W19" s="14" t="n">
        <v>0.03</v>
      </c>
      <c r="X19" s="14" t="n">
        <v>0.01</v>
      </c>
      <c r="Y19" s="14" t="n">
        <v>0.09</v>
      </c>
      <c r="Z19" s="14" t="n">
        <v>0.02</v>
      </c>
      <c r="AA19" s="14" t="n">
        <v>0.01</v>
      </c>
      <c r="AB19" s="14" t="n">
        <v>0.07000000000000001</v>
      </c>
      <c r="AC19" s="14" t="n">
        <v>0.05</v>
      </c>
      <c r="AD19" s="14" t="n">
        <v>0.06</v>
      </c>
      <c r="AE19" s="14" t="n">
        <v>0.01</v>
      </c>
      <c r="AF19" s="14" t="n">
        <v>0.01</v>
      </c>
    </row>
    <row r="20">
      <c r="A20" s="20" t="n"/>
      <c r="B20" s="11" t="inlineStr">
        <is>
          <t>Frustration</t>
        </is>
      </c>
      <c r="C20" s="12" t="n">
        <v>1884</v>
      </c>
      <c r="D20" s="12" t="n">
        <v>79</v>
      </c>
      <c r="E20" s="12" t="n">
        <v>77</v>
      </c>
      <c r="F20" s="12" t="n">
        <v>50</v>
      </c>
      <c r="G20" s="12" t="n">
        <v>80</v>
      </c>
      <c r="H20" s="12" t="n">
        <v>135</v>
      </c>
      <c r="I20" s="12" t="n">
        <v>173</v>
      </c>
      <c r="J20" s="12" t="n">
        <v>38</v>
      </c>
      <c r="K20" s="12" t="n">
        <v>60</v>
      </c>
      <c r="L20" s="12" t="n">
        <v>110</v>
      </c>
      <c r="M20" s="12" t="n">
        <v>152</v>
      </c>
      <c r="N20" s="12" t="n">
        <v>56</v>
      </c>
      <c r="O20" s="12" t="n">
        <v>63</v>
      </c>
      <c r="P20" s="12" t="n">
        <v>51</v>
      </c>
      <c r="Q20" s="12" t="n">
        <v>45</v>
      </c>
      <c r="R20" s="12" t="n">
        <v>68</v>
      </c>
      <c r="S20" s="12" t="n">
        <v>55</v>
      </c>
      <c r="T20" s="12" t="n">
        <v>79</v>
      </c>
      <c r="U20" s="12" t="n">
        <v>29</v>
      </c>
      <c r="V20" s="12" t="n">
        <v>83</v>
      </c>
      <c r="W20" s="12" t="n">
        <v>40</v>
      </c>
      <c r="X20" s="12" t="n">
        <v>68</v>
      </c>
      <c r="Y20" s="12" t="n">
        <v>83</v>
      </c>
      <c r="Z20" s="12" t="n">
        <v>28</v>
      </c>
      <c r="AA20" s="12" t="n">
        <v>37</v>
      </c>
      <c r="AB20" s="12" t="n">
        <v>72</v>
      </c>
      <c r="AC20" s="12" t="n">
        <v>21</v>
      </c>
      <c r="AD20" s="12" t="n">
        <v>60</v>
      </c>
      <c r="AE20" s="12" t="n">
        <v>116</v>
      </c>
      <c r="AF20" s="12" t="n">
        <v>109</v>
      </c>
    </row>
    <row r="21">
      <c r="A21" s="20" t="n"/>
      <c r="B21" s="13" t="inlineStr">
        <is>
          <t>Frustration</t>
        </is>
      </c>
      <c r="C21" s="14" t="n">
        <v>0.07000000000000001</v>
      </c>
      <c r="D21" s="14" t="n">
        <v>0.08</v>
      </c>
      <c r="E21" s="14" t="n">
        <v>0.08</v>
      </c>
      <c r="F21" s="14" t="n">
        <v>0.05</v>
      </c>
      <c r="G21" s="14" t="n">
        <v>0.08</v>
      </c>
      <c r="H21" s="14" t="n">
        <v>0.11</v>
      </c>
      <c r="I21" s="14" t="n">
        <v>0.12</v>
      </c>
      <c r="J21" s="14" t="n">
        <v>0.13</v>
      </c>
      <c r="K21" s="14" t="n">
        <v>0.06</v>
      </c>
      <c r="L21" s="14" t="n">
        <v>0.11</v>
      </c>
      <c r="M21" s="14" t="n">
        <v>0.15</v>
      </c>
      <c r="N21" s="14" t="n">
        <v>0.06</v>
      </c>
      <c r="O21" s="14" t="n">
        <v>0.06</v>
      </c>
      <c r="P21" s="14" t="n">
        <v>0.05</v>
      </c>
      <c r="Q21" s="14" t="n">
        <v>0.04</v>
      </c>
      <c r="R21" s="14" t="n">
        <v>0.13</v>
      </c>
      <c r="S21" s="14" t="n">
        <v>0.06</v>
      </c>
      <c r="T21" s="14" t="n">
        <v>0.08</v>
      </c>
      <c r="U21" s="14" t="n">
        <v>0.06</v>
      </c>
      <c r="V21" s="14" t="n">
        <v>0.08</v>
      </c>
      <c r="W21" s="14" t="n">
        <v>0.08</v>
      </c>
      <c r="X21" s="14" t="n">
        <v>0.06</v>
      </c>
      <c r="Y21" s="14" t="n">
        <v>0.08</v>
      </c>
      <c r="Z21" s="14" t="n">
        <v>0.03</v>
      </c>
      <c r="AA21" s="14" t="n">
        <v>0.03</v>
      </c>
      <c r="AB21" s="14" t="n">
        <v>0.07000000000000001</v>
      </c>
      <c r="AC21" s="14" t="n">
        <v>0.02</v>
      </c>
      <c r="AD21" s="14" t="n">
        <v>0.06</v>
      </c>
      <c r="AE21" s="14" t="n">
        <v>0.11</v>
      </c>
      <c r="AF21" s="14" t="n">
        <v>0.1</v>
      </c>
    </row>
    <row r="22">
      <c r="A22" s="20" t="n"/>
      <c r="B22" s="11" t="inlineStr">
        <is>
          <t>Impuissance</t>
        </is>
      </c>
      <c r="C22" s="12" t="n">
        <v>1600</v>
      </c>
      <c r="D22" s="12" t="n">
        <v>55</v>
      </c>
      <c r="E22" s="12" t="n">
        <v>32</v>
      </c>
      <c r="F22" s="12" t="n">
        <v>66</v>
      </c>
      <c r="G22" s="12" t="n">
        <v>17</v>
      </c>
      <c r="H22" s="12" t="n">
        <v>59</v>
      </c>
      <c r="I22" s="12" t="n">
        <v>75</v>
      </c>
      <c r="J22" s="12" t="n">
        <v>16</v>
      </c>
      <c r="K22" s="12" t="n">
        <v>32</v>
      </c>
      <c r="L22" s="12" t="n">
        <v>20</v>
      </c>
      <c r="M22" s="12" t="n">
        <v>35</v>
      </c>
      <c r="N22" s="12" t="n">
        <v>54</v>
      </c>
      <c r="O22" s="12" t="n">
        <v>96</v>
      </c>
      <c r="P22" s="12" t="n">
        <v>72</v>
      </c>
      <c r="Q22" s="12" t="n">
        <v>110</v>
      </c>
      <c r="R22" s="12" t="n">
        <v>9</v>
      </c>
      <c r="S22" s="12" t="n">
        <v>24</v>
      </c>
      <c r="T22" s="12" t="n">
        <v>22</v>
      </c>
      <c r="U22" s="12" t="n">
        <v>27</v>
      </c>
      <c r="V22" s="12" t="n">
        <v>25</v>
      </c>
      <c r="W22" s="12" t="n">
        <v>3</v>
      </c>
      <c r="X22" s="12" t="n">
        <v>8</v>
      </c>
      <c r="Y22" s="12" t="n">
        <v>43</v>
      </c>
      <c r="Z22" s="12" t="n">
        <v>45</v>
      </c>
      <c r="AA22" s="12" t="n">
        <v>22</v>
      </c>
      <c r="AB22" s="12" t="n">
        <v>101</v>
      </c>
      <c r="AC22" s="12" t="n">
        <v>46</v>
      </c>
      <c r="AD22" s="12" t="n">
        <v>57</v>
      </c>
      <c r="AE22" s="12" t="n">
        <v>7</v>
      </c>
      <c r="AF22" s="12" t="n">
        <v>14</v>
      </c>
    </row>
    <row r="23">
      <c r="A23" s="20" t="n"/>
      <c r="B23" s="13" t="inlineStr">
        <is>
          <t>Helplessness</t>
        </is>
      </c>
      <c r="C23" s="14" t="n">
        <v>0.06</v>
      </c>
      <c r="D23" s="14" t="n">
        <v>0.05</v>
      </c>
      <c r="E23" s="14" t="n">
        <v>0.03</v>
      </c>
      <c r="F23" s="14" t="n">
        <v>0.06</v>
      </c>
      <c r="G23" s="14" t="n">
        <v>0.02</v>
      </c>
      <c r="H23" s="14" t="n">
        <v>0.05</v>
      </c>
      <c r="I23" s="14" t="n">
        <v>0.05</v>
      </c>
      <c r="J23" s="14" t="n">
        <v>0.05</v>
      </c>
      <c r="K23" s="14" t="n">
        <v>0.03</v>
      </c>
      <c r="L23" s="14" t="n">
        <v>0.02</v>
      </c>
      <c r="M23" s="14" t="n">
        <v>0.03</v>
      </c>
      <c r="N23" s="14" t="n">
        <v>0.05</v>
      </c>
      <c r="O23" s="14" t="n">
        <v>0.1</v>
      </c>
      <c r="P23" s="14" t="n">
        <v>0.07000000000000001</v>
      </c>
      <c r="Q23" s="14" t="n">
        <v>0.11</v>
      </c>
      <c r="R23" s="14" t="n">
        <v>0.02</v>
      </c>
      <c r="S23" s="14" t="n">
        <v>0.02</v>
      </c>
      <c r="T23" s="14" t="n">
        <v>0.02</v>
      </c>
      <c r="U23" s="14" t="n">
        <v>0.05</v>
      </c>
      <c r="V23" s="14" t="n">
        <v>0.03</v>
      </c>
      <c r="W23" s="14" t="n">
        <v>0.01</v>
      </c>
      <c r="X23" s="14" t="n">
        <v>0.01</v>
      </c>
      <c r="Y23" s="14" t="n">
        <v>0.04</v>
      </c>
      <c r="Z23" s="14" t="n">
        <v>0.04</v>
      </c>
      <c r="AA23" s="14" t="n">
        <v>0.02</v>
      </c>
      <c r="AB23" s="14" t="n">
        <v>0.1</v>
      </c>
      <c r="AC23" s="14" t="n">
        <v>0.05</v>
      </c>
      <c r="AD23" s="14" t="n">
        <v>0.06</v>
      </c>
      <c r="AE23" s="14" t="n">
        <v>0.01</v>
      </c>
      <c r="AF23" s="14" t="n">
        <v>0.01</v>
      </c>
    </row>
    <row r="24">
      <c r="A24" s="20" t="n"/>
      <c r="B24" s="11" t="inlineStr">
        <is>
          <t>Confiance</t>
        </is>
      </c>
      <c r="C24" s="12" t="n">
        <v>2954</v>
      </c>
      <c r="D24" s="12" t="n">
        <v>99</v>
      </c>
      <c r="E24" s="12" t="n">
        <v>110</v>
      </c>
      <c r="F24" s="12" t="n">
        <v>93</v>
      </c>
      <c r="G24" s="12" t="n">
        <v>151</v>
      </c>
      <c r="H24" s="12" t="n">
        <v>145</v>
      </c>
      <c r="I24" s="12" t="n">
        <v>176</v>
      </c>
      <c r="J24" s="12" t="n">
        <v>31</v>
      </c>
      <c r="K24" s="12" t="n">
        <v>84</v>
      </c>
      <c r="L24" s="12" t="n">
        <v>106</v>
      </c>
      <c r="M24" s="12" t="n">
        <v>36</v>
      </c>
      <c r="N24" s="12" t="n">
        <v>149</v>
      </c>
      <c r="O24" s="12" t="n">
        <v>82</v>
      </c>
      <c r="P24" s="12" t="n">
        <v>130</v>
      </c>
      <c r="Q24" s="12" t="n">
        <v>104</v>
      </c>
      <c r="R24" s="12" t="n">
        <v>14</v>
      </c>
      <c r="S24" s="12" t="n">
        <v>62</v>
      </c>
      <c r="T24" s="12" t="n">
        <v>127</v>
      </c>
      <c r="U24" s="12" t="n">
        <v>92</v>
      </c>
      <c r="V24" s="12" t="n">
        <v>137</v>
      </c>
      <c r="W24" s="12" t="n">
        <v>59</v>
      </c>
      <c r="X24" s="12" t="n">
        <v>111</v>
      </c>
      <c r="Y24" s="12" t="n">
        <v>128</v>
      </c>
      <c r="Z24" s="12" t="n">
        <v>137</v>
      </c>
      <c r="AA24" s="12" t="n">
        <v>171</v>
      </c>
      <c r="AB24" s="12" t="n">
        <v>161</v>
      </c>
      <c r="AC24" s="12" t="n">
        <v>91</v>
      </c>
      <c r="AD24" s="12" t="n">
        <v>80</v>
      </c>
      <c r="AE24" s="12" t="n">
        <v>114</v>
      </c>
      <c r="AF24" s="12" t="n">
        <v>48</v>
      </c>
    </row>
    <row r="25">
      <c r="A25" s="20" t="n"/>
      <c r="B25" s="13" t="inlineStr">
        <is>
          <t>Confidence</t>
        </is>
      </c>
      <c r="C25" s="14" t="n">
        <v>0.11</v>
      </c>
      <c r="D25" s="14" t="n">
        <v>0.1</v>
      </c>
      <c r="E25" s="14" t="n">
        <v>0.11</v>
      </c>
      <c r="F25" s="14" t="n">
        <v>0.09</v>
      </c>
      <c r="G25" s="14" t="n">
        <v>0.15</v>
      </c>
      <c r="H25" s="14" t="n">
        <v>0.12</v>
      </c>
      <c r="I25" s="14" t="n">
        <v>0.12</v>
      </c>
      <c r="J25" s="14" t="n">
        <v>0.1</v>
      </c>
      <c r="K25" s="14" t="n">
        <v>0.08</v>
      </c>
      <c r="L25" s="14" t="n">
        <v>0.1</v>
      </c>
      <c r="M25" s="14" t="n">
        <v>0.03</v>
      </c>
      <c r="N25" s="14" t="n">
        <v>0.15</v>
      </c>
      <c r="O25" s="14" t="n">
        <v>0.08</v>
      </c>
      <c r="P25" s="14" t="n">
        <v>0.13</v>
      </c>
      <c r="Q25" s="14" t="n">
        <v>0.1</v>
      </c>
      <c r="R25" s="14" t="n">
        <v>0.03</v>
      </c>
      <c r="S25" s="14" t="n">
        <v>0.06</v>
      </c>
      <c r="T25" s="14" t="n">
        <v>0.12</v>
      </c>
      <c r="U25" s="14" t="n">
        <v>0.18</v>
      </c>
      <c r="V25" s="14" t="n">
        <v>0.13</v>
      </c>
      <c r="W25" s="14" t="n">
        <v>0.12</v>
      </c>
      <c r="X25" s="14" t="n">
        <v>0.11</v>
      </c>
      <c r="Y25" s="14" t="n">
        <v>0.13</v>
      </c>
      <c r="Z25" s="14" t="n">
        <v>0.14</v>
      </c>
      <c r="AA25" s="14" t="n">
        <v>0.17</v>
      </c>
      <c r="AB25" s="14" t="n">
        <v>0.15</v>
      </c>
      <c r="AC25" s="14" t="n">
        <v>0.09</v>
      </c>
      <c r="AD25" s="14" t="n">
        <v>0.08</v>
      </c>
      <c r="AE25" s="14" t="n">
        <v>0.11</v>
      </c>
      <c r="AF25" s="14" t="n">
        <v>0.05</v>
      </c>
    </row>
    <row r="26">
      <c r="A26" s="20" t="n"/>
      <c r="B26" s="11" t="inlineStr">
        <is>
          <t>Sérénité</t>
        </is>
      </c>
      <c r="C26" s="12" t="n">
        <v>3190</v>
      </c>
      <c r="D26" s="12" t="n">
        <v>123</v>
      </c>
      <c r="E26" s="12" t="n">
        <v>102</v>
      </c>
      <c r="F26" s="12" t="n">
        <v>197</v>
      </c>
      <c r="G26" s="12" t="n">
        <v>183</v>
      </c>
      <c r="H26" s="12" t="n">
        <v>147</v>
      </c>
      <c r="I26" s="12" t="n">
        <v>184</v>
      </c>
      <c r="J26" s="12" t="n">
        <v>37</v>
      </c>
      <c r="K26" s="12" t="n">
        <v>167</v>
      </c>
      <c r="L26" s="12" t="n">
        <v>28</v>
      </c>
      <c r="M26" s="12" t="n">
        <v>89</v>
      </c>
      <c r="N26" s="12" t="n">
        <v>137</v>
      </c>
      <c r="O26" s="12" t="n">
        <v>83</v>
      </c>
      <c r="P26" s="12" t="n">
        <v>65</v>
      </c>
      <c r="Q26" s="12" t="n">
        <v>66</v>
      </c>
      <c r="R26" s="12" t="n">
        <v>54</v>
      </c>
      <c r="S26" s="12" t="n">
        <v>272</v>
      </c>
      <c r="T26" s="12" t="n">
        <v>219</v>
      </c>
      <c r="U26" s="12" t="n">
        <v>62</v>
      </c>
      <c r="V26" s="12" t="n">
        <v>157</v>
      </c>
      <c r="W26" s="12" t="n">
        <v>73</v>
      </c>
      <c r="X26" s="12" t="n">
        <v>294</v>
      </c>
      <c r="Y26" s="12" t="n">
        <v>105</v>
      </c>
      <c r="Z26" s="12" t="n">
        <v>136</v>
      </c>
      <c r="AA26" s="12" t="n">
        <v>86</v>
      </c>
      <c r="AB26" s="12" t="n">
        <v>56</v>
      </c>
      <c r="AC26" s="12" t="n">
        <v>114</v>
      </c>
      <c r="AD26" s="12" t="n">
        <v>146</v>
      </c>
      <c r="AE26" s="12" t="n">
        <v>195</v>
      </c>
      <c r="AF26" s="12" t="n">
        <v>349</v>
      </c>
    </row>
    <row r="27">
      <c r="A27" s="20" t="n"/>
      <c r="B27" s="13" t="inlineStr">
        <is>
          <t>Serenity</t>
        </is>
      </c>
      <c r="C27" s="14" t="n">
        <v>0.12</v>
      </c>
      <c r="D27" s="14" t="n">
        <v>0.12</v>
      </c>
      <c r="E27" s="14" t="n">
        <v>0.1</v>
      </c>
      <c r="F27" s="14" t="n">
        <v>0.19</v>
      </c>
      <c r="G27" s="14" t="n">
        <v>0.18</v>
      </c>
      <c r="H27" s="14" t="n">
        <v>0.12</v>
      </c>
      <c r="I27" s="14" t="n">
        <v>0.12</v>
      </c>
      <c r="J27" s="14" t="n">
        <v>0.13</v>
      </c>
      <c r="K27" s="14" t="n">
        <v>0.17</v>
      </c>
      <c r="L27" s="14" t="n">
        <v>0.03</v>
      </c>
      <c r="M27" s="14" t="n">
        <v>0.09</v>
      </c>
      <c r="N27" s="14" t="n">
        <v>0.14</v>
      </c>
      <c r="O27" s="14" t="n">
        <v>0.08</v>
      </c>
      <c r="P27" s="14" t="n">
        <v>0.07000000000000001</v>
      </c>
      <c r="Q27" s="14" t="n">
        <v>0.06</v>
      </c>
      <c r="R27" s="14" t="n">
        <v>0.11</v>
      </c>
      <c r="S27" s="14" t="n">
        <v>0.27</v>
      </c>
      <c r="T27" s="14" t="n">
        <v>0.22</v>
      </c>
      <c r="U27" s="14" t="n">
        <v>0.12</v>
      </c>
      <c r="V27" s="14" t="n">
        <v>0.15</v>
      </c>
      <c r="W27" s="14" t="n">
        <v>0.14</v>
      </c>
      <c r="X27" s="14" t="n">
        <v>0.29</v>
      </c>
      <c r="Y27" s="14" t="n">
        <v>0.1</v>
      </c>
      <c r="Z27" s="14" t="n">
        <v>0.13</v>
      </c>
      <c r="AA27" s="14" t="n">
        <v>0.08</v>
      </c>
      <c r="AB27" s="14" t="n">
        <v>0.06</v>
      </c>
      <c r="AC27" s="14" t="n">
        <v>0.11</v>
      </c>
      <c r="AD27" s="14" t="n">
        <v>0.15</v>
      </c>
      <c r="AE27" s="14" t="n">
        <v>0.19</v>
      </c>
      <c r="AF27" s="14" t="n">
        <v>0.34</v>
      </c>
    </row>
    <row r="28">
      <c r="A28" s="20" t="n"/>
      <c r="B28" s="11" t="inlineStr">
        <is>
          <t>Détermination</t>
        </is>
      </c>
      <c r="C28" s="12" t="n">
        <v>1389</v>
      </c>
      <c r="D28" s="12" t="n">
        <v>46</v>
      </c>
      <c r="E28" s="12" t="n">
        <v>74</v>
      </c>
      <c r="F28" s="12" t="n">
        <v>97</v>
      </c>
      <c r="G28" s="12" t="n">
        <v>68</v>
      </c>
      <c r="H28" s="12" t="n">
        <v>32</v>
      </c>
      <c r="I28" s="12" t="n">
        <v>43</v>
      </c>
      <c r="J28" s="12" t="n">
        <v>10</v>
      </c>
      <c r="K28" s="12" t="n">
        <v>115</v>
      </c>
      <c r="L28" s="12" t="n">
        <v>57</v>
      </c>
      <c r="M28" s="12" t="n">
        <v>47</v>
      </c>
      <c r="N28" s="12" t="n">
        <v>26</v>
      </c>
      <c r="O28" s="12" t="n">
        <v>54</v>
      </c>
      <c r="P28" s="12" t="n">
        <v>149</v>
      </c>
      <c r="Q28" s="12" t="n">
        <v>63</v>
      </c>
      <c r="R28" s="12" t="n">
        <v>27</v>
      </c>
      <c r="S28" s="12" t="n">
        <v>90</v>
      </c>
      <c r="T28" s="12" t="n">
        <v>53</v>
      </c>
      <c r="U28" s="12" t="n">
        <v>28</v>
      </c>
      <c r="V28" s="12" t="n">
        <v>65</v>
      </c>
      <c r="W28" s="12" t="n">
        <v>48</v>
      </c>
      <c r="X28" s="12" t="n">
        <v>80</v>
      </c>
      <c r="Y28" s="12" t="n">
        <v>55</v>
      </c>
      <c r="Z28" s="12" t="n">
        <v>59</v>
      </c>
      <c r="AA28" s="12" t="n">
        <v>47</v>
      </c>
      <c r="AB28" s="12" t="n">
        <v>75</v>
      </c>
      <c r="AC28" s="12" t="n">
        <v>134</v>
      </c>
      <c r="AD28" s="12" t="n">
        <v>102</v>
      </c>
      <c r="AE28" s="12" t="n">
        <v>34</v>
      </c>
      <c r="AF28" s="12" t="n">
        <v>89</v>
      </c>
    </row>
    <row r="29">
      <c r="A29" s="20" t="n"/>
      <c r="B29" s="13" t="inlineStr">
        <is>
          <t>Determination</t>
        </is>
      </c>
      <c r="C29" s="14" t="n">
        <v>0.05</v>
      </c>
      <c r="D29" s="14" t="n">
        <v>0.05</v>
      </c>
      <c r="E29" s="14" t="n">
        <v>0.07000000000000001</v>
      </c>
      <c r="F29" s="14" t="n">
        <v>0.09</v>
      </c>
      <c r="G29" s="14" t="n">
        <v>0.07000000000000001</v>
      </c>
      <c r="H29" s="14" t="n">
        <v>0.03</v>
      </c>
      <c r="I29" s="14" t="n">
        <v>0.03</v>
      </c>
      <c r="J29" s="14" t="n">
        <v>0.04</v>
      </c>
      <c r="K29" s="14" t="n">
        <v>0.12</v>
      </c>
      <c r="L29" s="14" t="n">
        <v>0.06</v>
      </c>
      <c r="M29" s="14" t="n">
        <v>0.05</v>
      </c>
      <c r="N29" s="14" t="n">
        <v>0.03</v>
      </c>
      <c r="O29" s="14" t="n">
        <v>0.05</v>
      </c>
      <c r="P29" s="14" t="n">
        <v>0.15</v>
      </c>
      <c r="Q29" s="14" t="n">
        <v>0.06</v>
      </c>
      <c r="R29" s="14" t="n">
        <v>0.05</v>
      </c>
      <c r="S29" s="14" t="n">
        <v>0.09</v>
      </c>
      <c r="T29" s="14" t="n">
        <v>0.05</v>
      </c>
      <c r="U29" s="14" t="n">
        <v>0.06</v>
      </c>
      <c r="V29" s="14" t="n">
        <v>0.06</v>
      </c>
      <c r="W29" s="14" t="n">
        <v>0.09</v>
      </c>
      <c r="X29" s="14" t="n">
        <v>0.08</v>
      </c>
      <c r="Y29" s="14" t="n">
        <v>0.06</v>
      </c>
      <c r="Z29" s="14" t="n">
        <v>0.06</v>
      </c>
      <c r="AA29" s="14" t="n">
        <v>0.04</v>
      </c>
      <c r="AB29" s="14" t="n">
        <v>0.07000000000000001</v>
      </c>
      <c r="AC29" s="14" t="n">
        <v>0.13</v>
      </c>
      <c r="AD29" s="14" t="n">
        <v>0.1</v>
      </c>
      <c r="AE29" s="14" t="n">
        <v>0.03</v>
      </c>
      <c r="AF29" s="14" t="n">
        <v>0.09</v>
      </c>
    </row>
    <row r="30">
      <c r="A30" s="20" t="n"/>
      <c r="B30" s="11" t="inlineStr">
        <is>
          <t>Bonheur</t>
        </is>
      </c>
      <c r="C30" s="12" t="n">
        <v>2412</v>
      </c>
      <c r="D30" s="12" t="n">
        <v>97</v>
      </c>
      <c r="E30" s="12" t="n">
        <v>37</v>
      </c>
      <c r="F30" s="12" t="n">
        <v>70</v>
      </c>
      <c r="G30" s="12" t="n">
        <v>141</v>
      </c>
      <c r="H30" s="12" t="n">
        <v>148</v>
      </c>
      <c r="I30" s="12" t="n">
        <v>176</v>
      </c>
      <c r="J30" s="12" t="n">
        <v>28</v>
      </c>
      <c r="K30" s="12" t="n">
        <v>42</v>
      </c>
      <c r="L30" s="12" t="n">
        <v>201</v>
      </c>
      <c r="M30" s="12" t="n">
        <v>28</v>
      </c>
      <c r="N30" s="12" t="n">
        <v>143</v>
      </c>
      <c r="O30" s="12" t="n">
        <v>70</v>
      </c>
      <c r="P30" s="12" t="n">
        <v>142</v>
      </c>
      <c r="Q30" s="12" t="n">
        <v>26</v>
      </c>
      <c r="R30" s="12" t="n">
        <v>14</v>
      </c>
      <c r="S30" s="12" t="n">
        <v>36</v>
      </c>
      <c r="T30" s="12" t="n">
        <v>57</v>
      </c>
      <c r="U30" s="12" t="n">
        <v>56</v>
      </c>
      <c r="V30" s="12" t="n">
        <v>99</v>
      </c>
      <c r="W30" s="12" t="n">
        <v>55</v>
      </c>
      <c r="X30" s="12" t="n">
        <v>167</v>
      </c>
      <c r="Y30" s="12" t="n">
        <v>109</v>
      </c>
      <c r="Z30" s="12" t="n">
        <v>103</v>
      </c>
      <c r="AA30" s="12" t="n">
        <v>58</v>
      </c>
      <c r="AB30" s="12" t="n">
        <v>69</v>
      </c>
      <c r="AC30" s="12" t="n">
        <v>164</v>
      </c>
      <c r="AD30" s="12" t="n">
        <v>65</v>
      </c>
      <c r="AE30" s="12" t="n">
        <v>131</v>
      </c>
      <c r="AF30" s="12" t="n">
        <v>112</v>
      </c>
    </row>
    <row r="31">
      <c r="A31" s="20" t="n"/>
      <c r="B31" s="13" t="inlineStr">
        <is>
          <t>Happiness</t>
        </is>
      </c>
      <c r="C31" s="14" t="n">
        <v>0.09</v>
      </c>
      <c r="D31" s="14" t="n">
        <v>0.09</v>
      </c>
      <c r="E31" s="14" t="n">
        <v>0.04</v>
      </c>
      <c r="F31" s="14" t="n">
        <v>0.07000000000000001</v>
      </c>
      <c r="G31" s="14" t="n">
        <v>0.14</v>
      </c>
      <c r="H31" s="14" t="n">
        <v>0.12</v>
      </c>
      <c r="I31" s="14" t="n">
        <v>0.12</v>
      </c>
      <c r="J31" s="14" t="n">
        <v>0.09</v>
      </c>
      <c r="K31" s="14" t="n">
        <v>0.04</v>
      </c>
      <c r="L31" s="14" t="n">
        <v>0.2</v>
      </c>
      <c r="M31" s="14" t="n">
        <v>0.03</v>
      </c>
      <c r="N31" s="14" t="n">
        <v>0.14</v>
      </c>
      <c r="O31" s="14" t="n">
        <v>0.07000000000000001</v>
      </c>
      <c r="P31" s="14" t="n">
        <v>0.14</v>
      </c>
      <c r="Q31" s="14" t="n">
        <v>0.03</v>
      </c>
      <c r="R31" s="14" t="n">
        <v>0.03</v>
      </c>
      <c r="S31" s="14" t="n">
        <v>0.04</v>
      </c>
      <c r="T31" s="14" t="n">
        <v>0.06</v>
      </c>
      <c r="U31" s="14" t="n">
        <v>0.11</v>
      </c>
      <c r="V31" s="14" t="n">
        <v>0.1</v>
      </c>
      <c r="W31" s="14" t="n">
        <v>0.11</v>
      </c>
      <c r="X31" s="14" t="n">
        <v>0.16</v>
      </c>
      <c r="Y31" s="14" t="n">
        <v>0.11</v>
      </c>
      <c r="Z31" s="14" t="n">
        <v>0.1</v>
      </c>
      <c r="AA31" s="14" t="n">
        <v>0.06</v>
      </c>
      <c r="AB31" s="14" t="n">
        <v>0.07000000000000001</v>
      </c>
      <c r="AC31" s="14" t="n">
        <v>0.16</v>
      </c>
      <c r="AD31" s="14" t="n">
        <v>0.06</v>
      </c>
      <c r="AE31" s="14" t="n">
        <v>0.13</v>
      </c>
      <c r="AF31" s="14" t="n">
        <v>0.11</v>
      </c>
    </row>
    <row r="32">
      <c r="A32" s="20" t="n"/>
      <c r="B32" s="11" t="inlineStr">
        <is>
          <t>Autre (SPONTANÉ)</t>
        </is>
      </c>
      <c r="C32" s="12" t="n">
        <v>196</v>
      </c>
      <c r="D32" s="12" t="n">
        <v>5</v>
      </c>
      <c r="E32" s="12" t="n">
        <v>1</v>
      </c>
      <c r="F32" s="12" t="n">
        <v>14</v>
      </c>
      <c r="G32" s="12" t="n">
        <v>12</v>
      </c>
      <c r="H32" s="12" t="n">
        <v>19</v>
      </c>
      <c r="I32" s="12" t="n">
        <v>21</v>
      </c>
      <c r="J32" s="12" t="n">
        <v>2</v>
      </c>
      <c r="K32" s="12" t="n">
        <v>38</v>
      </c>
      <c r="L32" s="12" t="n">
        <v>6</v>
      </c>
      <c r="M32" s="12" t="n">
        <v>2</v>
      </c>
      <c r="N32" s="12" t="n">
        <v>10</v>
      </c>
      <c r="O32" s="12" t="n">
        <v>4</v>
      </c>
      <c r="P32" s="12" t="n">
        <v>1</v>
      </c>
      <c r="Q32" s="12" t="n">
        <v>6</v>
      </c>
      <c r="R32" s="12" t="n">
        <v>0</v>
      </c>
      <c r="S32" s="12" t="n">
        <v>3</v>
      </c>
      <c r="T32" s="12" t="n">
        <v>8</v>
      </c>
      <c r="U32" s="12" t="n">
        <v>3</v>
      </c>
      <c r="V32" s="12" t="n">
        <v>2</v>
      </c>
      <c r="W32" s="12" t="n">
        <v>1</v>
      </c>
      <c r="X32" s="12" t="n">
        <v>8</v>
      </c>
      <c r="Y32" s="12" t="n">
        <v>22</v>
      </c>
      <c r="Z32" s="12" t="n">
        <v>2</v>
      </c>
      <c r="AA32" s="12" t="n">
        <v>6</v>
      </c>
      <c r="AB32" s="12" t="n">
        <v>0</v>
      </c>
      <c r="AC32" s="12" t="n">
        <v>19</v>
      </c>
      <c r="AD32" s="12" t="n">
        <v>8</v>
      </c>
      <c r="AE32" s="12" t="n">
        <v>2</v>
      </c>
      <c r="AF32" s="12" t="n">
        <v>2</v>
      </c>
    </row>
    <row r="33">
      <c r="A33" s="20" t="n"/>
      <c r="B33" s="13" t="inlineStr">
        <is>
          <t>Other (SPONTANEOUS)</t>
        </is>
      </c>
      <c r="C33" s="14" t="n">
        <v>0.01</v>
      </c>
      <c r="D33" s="15" t="inlineStr">
        <is>
          <t>-</t>
        </is>
      </c>
      <c r="E33" s="15" t="inlineStr">
        <is>
          <t>-</t>
        </is>
      </c>
      <c r="F33" s="14" t="n">
        <v>0.01</v>
      </c>
      <c r="G33" s="14" t="n">
        <v>0.01</v>
      </c>
      <c r="H33" s="14" t="n">
        <v>0.02</v>
      </c>
      <c r="I33" s="14" t="n">
        <v>0.01</v>
      </c>
      <c r="J33" s="14" t="n">
        <v>0.01</v>
      </c>
      <c r="K33" s="14" t="n">
        <v>0.04</v>
      </c>
      <c r="L33" s="14" t="n">
        <v>0.01</v>
      </c>
      <c r="M33" s="15" t="inlineStr">
        <is>
          <t>-</t>
        </is>
      </c>
      <c r="N33" s="14" t="n">
        <v>0.01</v>
      </c>
      <c r="O33" s="14" t="n">
        <v>0.01</v>
      </c>
      <c r="P33" s="15" t="inlineStr">
        <is>
          <t>-</t>
        </is>
      </c>
      <c r="Q33" s="14" t="n">
        <v>0.01</v>
      </c>
      <c r="R33" s="15" t="inlineStr">
        <is>
          <t>-</t>
        </is>
      </c>
      <c r="S33" s="15" t="inlineStr">
        <is>
          <t>-</t>
        </is>
      </c>
      <c r="T33" s="14" t="n">
        <v>0.01</v>
      </c>
      <c r="U33" s="14" t="n">
        <v>0.01</v>
      </c>
      <c r="V33" s="15" t="inlineStr">
        <is>
          <t>-</t>
        </is>
      </c>
      <c r="W33" s="15" t="inlineStr">
        <is>
          <t>-</t>
        </is>
      </c>
      <c r="X33" s="14" t="n">
        <v>0.01</v>
      </c>
      <c r="Y33" s="14" t="n">
        <v>0.02</v>
      </c>
      <c r="Z33" s="15" t="inlineStr">
        <is>
          <t>-</t>
        </is>
      </c>
      <c r="AA33" s="14" t="n">
        <v>0.01</v>
      </c>
      <c r="AB33" s="15" t="inlineStr">
        <is>
          <t>-</t>
        </is>
      </c>
      <c r="AC33" s="14" t="n">
        <v>0.02</v>
      </c>
      <c r="AD33" s="14" t="n">
        <v>0.01</v>
      </c>
      <c r="AE33" s="15" t="inlineStr">
        <is>
          <t>-</t>
        </is>
      </c>
      <c r="AF33" s="15" t="inlineStr">
        <is>
          <t>-</t>
        </is>
      </c>
    </row>
    <row r="34">
      <c r="A34" s="20" t="n"/>
      <c r="B34" s="11" t="inlineStr">
        <is>
          <t>Ne sait pas</t>
        </is>
      </c>
      <c r="C34" s="12" t="n">
        <v>228</v>
      </c>
      <c r="D34" s="12" t="n">
        <v>1</v>
      </c>
      <c r="E34" s="12" t="n">
        <v>15</v>
      </c>
      <c r="F34" s="12" t="n">
        <v>24</v>
      </c>
      <c r="G34" s="12" t="n">
        <v>20</v>
      </c>
      <c r="H34" s="12" t="n">
        <v>2</v>
      </c>
      <c r="I34" s="12" t="n">
        <v>5</v>
      </c>
      <c r="J34" s="12" t="n">
        <v>2</v>
      </c>
      <c r="K34" s="12" t="n">
        <v>22</v>
      </c>
      <c r="L34" s="12" t="n">
        <v>19</v>
      </c>
      <c r="M34" s="12" t="n">
        <v>0</v>
      </c>
      <c r="N34" s="12" t="n">
        <v>5</v>
      </c>
      <c r="O34" s="12" t="n">
        <v>6</v>
      </c>
      <c r="P34" s="12" t="n">
        <v>2</v>
      </c>
      <c r="Q34" s="12" t="n">
        <v>3</v>
      </c>
      <c r="R34" s="12" t="n">
        <v>10</v>
      </c>
      <c r="S34" s="12" t="n">
        <v>7</v>
      </c>
      <c r="T34" s="12" t="n">
        <v>5</v>
      </c>
      <c r="U34" s="12" t="n">
        <v>1</v>
      </c>
      <c r="V34" s="12" t="n">
        <v>5</v>
      </c>
      <c r="W34" s="12" t="n">
        <v>13</v>
      </c>
      <c r="X34" s="12" t="n">
        <v>1</v>
      </c>
      <c r="Y34" s="12" t="n">
        <v>10</v>
      </c>
      <c r="Z34" s="12" t="n">
        <v>45</v>
      </c>
      <c r="AA34" s="12" t="n">
        <v>16</v>
      </c>
      <c r="AB34" s="12" t="n">
        <v>3</v>
      </c>
      <c r="AC34" s="12" t="n">
        <v>5</v>
      </c>
      <c r="AD34" s="12" t="n">
        <v>3</v>
      </c>
      <c r="AE34" s="12" t="n">
        <v>5</v>
      </c>
      <c r="AF34" s="12" t="n">
        <v>8</v>
      </c>
    </row>
    <row r="35">
      <c r="A35" s="23" t="n"/>
      <c r="B35" s="13" t="inlineStr">
        <is>
          <t>Don’t know</t>
        </is>
      </c>
      <c r="C35" s="14" t="n">
        <v>0.01</v>
      </c>
      <c r="D35" s="15" t="inlineStr">
        <is>
          <t>-</t>
        </is>
      </c>
      <c r="E35" s="14" t="n">
        <v>0.01</v>
      </c>
      <c r="F35" s="14" t="n">
        <v>0.02</v>
      </c>
      <c r="G35" s="14" t="n">
        <v>0.02</v>
      </c>
      <c r="H35" s="15" t="inlineStr">
        <is>
          <t>-</t>
        </is>
      </c>
      <c r="I35" s="15" t="inlineStr">
        <is>
          <t>-</t>
        </is>
      </c>
      <c r="J35" s="14" t="n">
        <v>0.01</v>
      </c>
      <c r="K35" s="14" t="n">
        <v>0.02</v>
      </c>
      <c r="L35" s="14" t="n">
        <v>0.02</v>
      </c>
      <c r="M35" s="15" t="inlineStr">
        <is>
          <t>-</t>
        </is>
      </c>
      <c r="N35" s="15" t="inlineStr">
        <is>
          <t>-</t>
        </is>
      </c>
      <c r="O35" s="14" t="n">
        <v>0.01</v>
      </c>
      <c r="P35" s="15" t="inlineStr">
        <is>
          <t>-</t>
        </is>
      </c>
      <c r="Q35" s="15" t="inlineStr">
        <is>
          <t>-</t>
        </is>
      </c>
      <c r="R35" s="14" t="n">
        <v>0.02</v>
      </c>
      <c r="S35" s="14" t="n">
        <v>0.01</v>
      </c>
      <c r="T35" s="15" t="inlineStr">
        <is>
          <t>-</t>
        </is>
      </c>
      <c r="U35" s="15" t="inlineStr">
        <is>
          <t>-</t>
        </is>
      </c>
      <c r="V35" s="14" t="n">
        <v>0.01</v>
      </c>
      <c r="W35" s="14" t="n">
        <v>0.03</v>
      </c>
      <c r="X35" s="15" t="inlineStr">
        <is>
          <t>-</t>
        </is>
      </c>
      <c r="Y35" s="14" t="n">
        <v>0.01</v>
      </c>
      <c r="Z35" s="14" t="n">
        <v>0.05</v>
      </c>
      <c r="AA35" s="14" t="n">
        <v>0.02</v>
      </c>
      <c r="AB35" s="15" t="inlineStr">
        <is>
          <t>-</t>
        </is>
      </c>
      <c r="AC35" s="15" t="inlineStr">
        <is>
          <t>-</t>
        </is>
      </c>
      <c r="AD35" s="15" t="inlineStr">
        <is>
          <t>-</t>
        </is>
      </c>
      <c r="AE35" s="14" t="n">
        <v>0.01</v>
      </c>
      <c r="AF35" s="14" t="n">
        <v>0.01</v>
      </c>
    </row>
    <row r="36">
      <c r="A36" s="19" t="n"/>
      <c r="B36" s="11" t="inlineStr">
        <is>
          <t>Total 'Sentiments positifs'</t>
        </is>
      </c>
      <c r="C36" s="12" t="n">
        <v>13808</v>
      </c>
      <c r="D36" s="12" t="n">
        <v>491</v>
      </c>
      <c r="E36" s="12" t="n">
        <v>582</v>
      </c>
      <c r="F36" s="12" t="n">
        <v>607</v>
      </c>
      <c r="G36" s="12" t="n">
        <v>694</v>
      </c>
      <c r="H36" s="12" t="n">
        <v>644</v>
      </c>
      <c r="I36" s="12" t="n">
        <v>779</v>
      </c>
      <c r="J36" s="12" t="n">
        <v>133</v>
      </c>
      <c r="K36" s="12" t="n">
        <v>532</v>
      </c>
      <c r="L36" s="12" t="n">
        <v>555</v>
      </c>
      <c r="M36" s="12" t="n">
        <v>348</v>
      </c>
      <c r="N36" s="12" t="n">
        <v>586</v>
      </c>
      <c r="O36" s="12" t="n">
        <v>414</v>
      </c>
      <c r="P36" s="12" t="n">
        <v>651</v>
      </c>
      <c r="Q36" s="12" t="n">
        <v>423</v>
      </c>
      <c r="R36" s="12" t="n">
        <v>184</v>
      </c>
      <c r="S36" s="12" t="n">
        <v>601</v>
      </c>
      <c r="T36" s="12" t="n">
        <v>581</v>
      </c>
      <c r="U36" s="12" t="n">
        <v>298</v>
      </c>
      <c r="V36" s="12" t="n">
        <v>726</v>
      </c>
      <c r="W36" s="12" t="n">
        <v>304</v>
      </c>
      <c r="X36" s="12" t="n">
        <v>742</v>
      </c>
      <c r="Y36" s="12" t="n">
        <v>501</v>
      </c>
      <c r="Z36" s="12" t="n">
        <v>621</v>
      </c>
      <c r="AA36" s="12" t="n">
        <v>531</v>
      </c>
      <c r="AB36" s="12" t="n">
        <v>573</v>
      </c>
      <c r="AC36" s="12" t="n">
        <v>681</v>
      </c>
      <c r="AD36" s="12" t="n">
        <v>579</v>
      </c>
      <c r="AE36" s="12" t="n">
        <v>640</v>
      </c>
      <c r="AF36" s="12" t="n">
        <v>713</v>
      </c>
    </row>
    <row r="37">
      <c r="A37" s="20" t="n"/>
      <c r="B37" s="13" t="inlineStr">
        <is>
          <t>Total 'Positive feelings'</t>
        </is>
      </c>
      <c r="C37" s="14" t="n">
        <v>0.52</v>
      </c>
      <c r="D37" s="14" t="n">
        <v>0.48</v>
      </c>
      <c r="E37" s="14" t="n">
        <v>0.58</v>
      </c>
      <c r="F37" s="14" t="n">
        <v>0.58</v>
      </c>
      <c r="G37" s="14" t="n">
        <v>0.6900000000000001</v>
      </c>
      <c r="H37" s="14" t="n">
        <v>0.53</v>
      </c>
      <c r="I37" s="14" t="n">
        <v>0.52</v>
      </c>
      <c r="J37" s="14" t="n">
        <v>0.45</v>
      </c>
      <c r="K37" s="14" t="n">
        <v>0.53</v>
      </c>
      <c r="L37" s="14" t="n">
        <v>0.55</v>
      </c>
      <c r="M37" s="14" t="n">
        <v>0.35</v>
      </c>
      <c r="N37" s="14" t="n">
        <v>0.59</v>
      </c>
      <c r="O37" s="14" t="n">
        <v>0.4</v>
      </c>
      <c r="P37" s="14" t="n">
        <v>0.65</v>
      </c>
      <c r="Q37" s="14" t="n">
        <v>0.41</v>
      </c>
      <c r="R37" s="14" t="n">
        <v>0.37</v>
      </c>
      <c r="S37" s="14" t="n">
        <v>0.6</v>
      </c>
      <c r="T37" s="14" t="n">
        <v>0.5700000000000001</v>
      </c>
      <c r="U37" s="14" t="n">
        <v>0.59</v>
      </c>
      <c r="V37" s="14" t="n">
        <v>0.7000000000000001</v>
      </c>
      <c r="W37" s="14" t="n">
        <v>0.6</v>
      </c>
      <c r="X37" s="14" t="n">
        <v>0.73</v>
      </c>
      <c r="Y37" s="14" t="n">
        <v>0.5</v>
      </c>
      <c r="Z37" s="14" t="n">
        <v>0.61</v>
      </c>
      <c r="AA37" s="14" t="n">
        <v>0.51</v>
      </c>
      <c r="AB37" s="14" t="n">
        <v>0.55</v>
      </c>
      <c r="AC37" s="14" t="n">
        <v>0.67</v>
      </c>
      <c r="AD37" s="14" t="n">
        <v>0.58</v>
      </c>
      <c r="AE37" s="14" t="n">
        <v>0.62</v>
      </c>
      <c r="AF37" s="14" t="n">
        <v>0.7000000000000001</v>
      </c>
    </row>
    <row r="38">
      <c r="A38" s="20" t="n"/>
      <c r="B38" s="11" t="inlineStr">
        <is>
          <t>Total 'Sentiments negatifs'</t>
        </is>
      </c>
      <c r="C38" s="12" t="n">
        <v>12189</v>
      </c>
      <c r="D38" s="12" t="n">
        <v>523</v>
      </c>
      <c r="E38" s="12" t="n">
        <v>416</v>
      </c>
      <c r="F38" s="12" t="n">
        <v>405</v>
      </c>
      <c r="G38" s="12" t="n">
        <v>281</v>
      </c>
      <c r="H38" s="12" t="n">
        <v>547</v>
      </c>
      <c r="I38" s="12" t="n">
        <v>703</v>
      </c>
      <c r="J38" s="12" t="n">
        <v>155</v>
      </c>
      <c r="K38" s="12" t="n">
        <v>413</v>
      </c>
      <c r="L38" s="12" t="n">
        <v>431</v>
      </c>
      <c r="M38" s="12" t="n">
        <v>659</v>
      </c>
      <c r="N38" s="12" t="n">
        <v>405</v>
      </c>
      <c r="O38" s="12" t="n">
        <v>591</v>
      </c>
      <c r="P38" s="12" t="n">
        <v>352</v>
      </c>
      <c r="Q38" s="12" t="n">
        <v>597</v>
      </c>
      <c r="R38" s="12" t="n">
        <v>310</v>
      </c>
      <c r="S38" s="12" t="n">
        <v>394</v>
      </c>
      <c r="T38" s="12" t="n">
        <v>423</v>
      </c>
      <c r="U38" s="12" t="n">
        <v>206</v>
      </c>
      <c r="V38" s="12" t="n">
        <v>287</v>
      </c>
      <c r="W38" s="12" t="n">
        <v>187</v>
      </c>
      <c r="X38" s="12" t="n">
        <v>272</v>
      </c>
      <c r="Y38" s="12" t="n">
        <v>471</v>
      </c>
      <c r="Z38" s="12" t="n">
        <v>352</v>
      </c>
      <c r="AA38" s="12" t="n">
        <v>479</v>
      </c>
      <c r="AB38" s="12" t="n">
        <v>469</v>
      </c>
      <c r="AC38" s="12" t="n">
        <v>303</v>
      </c>
      <c r="AD38" s="12" t="n">
        <v>410</v>
      </c>
      <c r="AE38" s="12" t="n">
        <v>368</v>
      </c>
      <c r="AF38" s="12" t="n">
        <v>314</v>
      </c>
    </row>
    <row r="39">
      <c r="A39" s="23" t="n"/>
      <c r="B39" s="13" t="inlineStr">
        <is>
          <t>Total 'Negative feelings'</t>
        </is>
      </c>
      <c r="C39" s="14" t="n">
        <v>0.46</v>
      </c>
      <c r="D39" s="14" t="n">
        <v>0.52</v>
      </c>
      <c r="E39" s="14" t="n">
        <v>0.41</v>
      </c>
      <c r="F39" s="14" t="n">
        <v>0.39</v>
      </c>
      <c r="G39" s="14" t="n">
        <v>0.28</v>
      </c>
      <c r="H39" s="14" t="n">
        <v>0.45</v>
      </c>
      <c r="I39" s="14" t="n">
        <v>0.47</v>
      </c>
      <c r="J39" s="14" t="n">
        <v>0.53</v>
      </c>
      <c r="K39" s="14" t="n">
        <v>0.41</v>
      </c>
      <c r="L39" s="14" t="n">
        <v>0.42</v>
      </c>
      <c r="M39" s="14" t="n">
        <v>0.65</v>
      </c>
      <c r="N39" s="14" t="n">
        <v>0.4</v>
      </c>
      <c r="O39" s="14" t="n">
        <v>0.58</v>
      </c>
      <c r="P39" s="14" t="n">
        <v>0.35</v>
      </c>
      <c r="Q39" s="14" t="n">
        <v>0.58</v>
      </c>
      <c r="R39" s="14" t="n">
        <v>0.61</v>
      </c>
      <c r="S39" s="14" t="n">
        <v>0.39</v>
      </c>
      <c r="T39" s="14" t="n">
        <v>0.42</v>
      </c>
      <c r="U39" s="14" t="n">
        <v>0.4</v>
      </c>
      <c r="V39" s="14" t="n">
        <v>0.29</v>
      </c>
      <c r="W39" s="14" t="n">
        <v>0.37</v>
      </c>
      <c r="X39" s="14" t="n">
        <v>0.26</v>
      </c>
      <c r="Y39" s="14" t="n">
        <v>0.47</v>
      </c>
      <c r="Z39" s="14" t="n">
        <v>0.34</v>
      </c>
      <c r="AA39" s="14" t="n">
        <v>0.46</v>
      </c>
      <c r="AB39" s="14" t="n">
        <v>0.45</v>
      </c>
      <c r="AC39" s="14" t="n">
        <v>0.31</v>
      </c>
      <c r="AD39" s="14" t="n">
        <v>0.41</v>
      </c>
      <c r="AE39" s="14" t="n">
        <v>0.37</v>
      </c>
      <c r="AF39" s="14" t="n">
        <v>0.29</v>
      </c>
    </row>
  </sheetData>
  <mergeCells count="10">
    <mergeCell ref="B4:F4"/>
    <mergeCell ref="A36:A39"/>
    <mergeCell ref="H3:L3"/>
    <mergeCell ref="C8:AF8"/>
    <mergeCell ref="B3:F3"/>
    <mergeCell ref="B5:F5"/>
    <mergeCell ref="H5:L5"/>
    <mergeCell ref="B10:B11"/>
    <mergeCell ref="H4:L4"/>
    <mergeCell ref="A10:A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35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12" customHeight="1" s="18">
      <c r="B3" s="21" t="inlineStr">
        <is>
          <t>QA6b. Et ensuite ? (3 RÉPONSES MAX.)</t>
        </is>
      </c>
      <c r="H3" s="21" t="inlineStr">
        <is>
          <t>QA6b. And then? (MAX. 3 ANSWERS)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Not asked to respondents who answered "Don't know" in QA6a</t>
        </is>
      </c>
      <c r="H5" s="21" t="inlineStr">
        <is>
          <t>Base: Pas demandé aux répondants qui ont répondu “Ne sait pas” à la QA6a</t>
        </is>
      </c>
    </row>
    <row r="6" ht="0.95" customHeight="1" s="18"/>
    <row r="7" ht="0.95" customHeight="1" s="18"/>
    <row r="8">
      <c r="C8" s="22" t="n"/>
    </row>
    <row r="9">
      <c r="A9" s="5">
        <f>HYPERLINK("#Content!A16","&lt;&lt;Back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26193</v>
      </c>
      <c r="D10" s="10" t="n">
        <v>1020</v>
      </c>
      <c r="E10" s="10" t="n">
        <v>999</v>
      </c>
      <c r="F10" s="10" t="n">
        <v>1025</v>
      </c>
      <c r="G10" s="10" t="n">
        <v>987</v>
      </c>
      <c r="H10" s="10" t="n">
        <v>1211</v>
      </c>
      <c r="I10" s="10" t="n">
        <v>1502</v>
      </c>
      <c r="J10" s="10" t="n">
        <v>291</v>
      </c>
      <c r="K10" s="10" t="n">
        <v>984</v>
      </c>
      <c r="L10" s="10" t="n">
        <v>991</v>
      </c>
      <c r="M10" s="10" t="n">
        <v>1007</v>
      </c>
      <c r="N10" s="10" t="n">
        <v>1001</v>
      </c>
      <c r="O10" s="10" t="n">
        <v>1010</v>
      </c>
      <c r="P10" s="10" t="n">
        <v>1005</v>
      </c>
      <c r="Q10" s="10" t="n">
        <v>1026</v>
      </c>
      <c r="R10" s="10" t="n">
        <v>494</v>
      </c>
      <c r="S10" s="10" t="n">
        <v>998</v>
      </c>
      <c r="T10" s="10" t="n">
        <v>1012</v>
      </c>
      <c r="U10" s="10" t="n">
        <v>507</v>
      </c>
      <c r="V10" s="10" t="n">
        <v>1015</v>
      </c>
      <c r="W10" s="10" t="n">
        <v>492</v>
      </c>
      <c r="X10" s="10" t="n">
        <v>1022</v>
      </c>
      <c r="Y10" s="10" t="n">
        <v>993</v>
      </c>
      <c r="Z10" s="10" t="n">
        <v>975</v>
      </c>
      <c r="AA10" s="10" t="n">
        <v>1015</v>
      </c>
      <c r="AB10" s="10" t="n">
        <v>1042</v>
      </c>
      <c r="AC10" s="10" t="n">
        <v>1002</v>
      </c>
      <c r="AD10" s="10" t="n">
        <v>998</v>
      </c>
      <c r="AE10" s="10" t="n">
        <v>1011</v>
      </c>
      <c r="AF10" s="10" t="n">
        <v>1029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Espoir</t>
        </is>
      </c>
      <c r="C12" s="12" t="n">
        <v>7629</v>
      </c>
      <c r="D12" s="12" t="n">
        <v>278</v>
      </c>
      <c r="E12" s="12" t="n">
        <v>249</v>
      </c>
      <c r="F12" s="12" t="n">
        <v>278</v>
      </c>
      <c r="G12" s="12" t="n">
        <v>408</v>
      </c>
      <c r="H12" s="12" t="n">
        <v>378</v>
      </c>
      <c r="I12" s="12" t="n">
        <v>464</v>
      </c>
      <c r="J12" s="12" t="n">
        <v>86</v>
      </c>
      <c r="K12" s="12" t="n">
        <v>286</v>
      </c>
      <c r="L12" s="12" t="n">
        <v>302</v>
      </c>
      <c r="M12" s="12" t="n">
        <v>217</v>
      </c>
      <c r="N12" s="12" t="n">
        <v>272</v>
      </c>
      <c r="O12" s="12" t="n">
        <v>260</v>
      </c>
      <c r="P12" s="12" t="n">
        <v>344</v>
      </c>
      <c r="Q12" s="12" t="n">
        <v>332</v>
      </c>
      <c r="R12" s="12" t="n">
        <v>123</v>
      </c>
      <c r="S12" s="12" t="n">
        <v>328</v>
      </c>
      <c r="T12" s="12" t="n">
        <v>286</v>
      </c>
      <c r="U12" s="12" t="n">
        <v>188</v>
      </c>
      <c r="V12" s="12" t="n">
        <v>316</v>
      </c>
      <c r="W12" s="12" t="n">
        <v>143</v>
      </c>
      <c r="X12" s="12" t="n">
        <v>334</v>
      </c>
      <c r="Y12" s="12" t="n">
        <v>266</v>
      </c>
      <c r="Z12" s="12" t="n">
        <v>239</v>
      </c>
      <c r="AA12" s="12" t="n">
        <v>331</v>
      </c>
      <c r="AB12" s="12" t="n">
        <v>295</v>
      </c>
      <c r="AC12" s="12" t="n">
        <v>316</v>
      </c>
      <c r="AD12" s="12" t="n">
        <v>303</v>
      </c>
      <c r="AE12" s="12" t="n">
        <v>352</v>
      </c>
      <c r="AF12" s="12" t="n">
        <v>355</v>
      </c>
    </row>
    <row r="13">
      <c r="A13" s="20" t="n"/>
      <c r="B13" s="13" t="inlineStr">
        <is>
          <t>Hope</t>
        </is>
      </c>
      <c r="C13" s="14" t="n">
        <v>0.34</v>
      </c>
      <c r="D13" s="14" t="n">
        <v>0.31</v>
      </c>
      <c r="E13" s="14" t="n">
        <v>0.34</v>
      </c>
      <c r="F13" s="14" t="n">
        <v>0.32</v>
      </c>
      <c r="G13" s="14" t="n">
        <v>0.49</v>
      </c>
      <c r="H13" s="14" t="n">
        <v>0.36</v>
      </c>
      <c r="I13" s="14" t="n">
        <v>0.36</v>
      </c>
      <c r="J13" s="14" t="n">
        <v>0.33</v>
      </c>
      <c r="K13" s="14" t="n">
        <v>0.33</v>
      </c>
      <c r="L13" s="14" t="n">
        <v>0.36</v>
      </c>
      <c r="M13" s="14" t="n">
        <v>0.25</v>
      </c>
      <c r="N13" s="14" t="n">
        <v>0.31</v>
      </c>
      <c r="O13" s="14" t="n">
        <v>0.29</v>
      </c>
      <c r="P13" s="14" t="n">
        <v>0.41</v>
      </c>
      <c r="Q13" s="14" t="n">
        <v>0.39</v>
      </c>
      <c r="R13" s="14" t="n">
        <v>0.29</v>
      </c>
      <c r="S13" s="14" t="n">
        <v>0.38</v>
      </c>
      <c r="T13" s="14" t="n">
        <v>0.32</v>
      </c>
      <c r="U13" s="14" t="n">
        <v>0.42</v>
      </c>
      <c r="V13" s="14" t="n">
        <v>0.42</v>
      </c>
      <c r="W13" s="14" t="n">
        <v>0.34</v>
      </c>
      <c r="X13" s="14" t="n">
        <v>0.36</v>
      </c>
      <c r="Y13" s="14" t="n">
        <v>0.3</v>
      </c>
      <c r="Z13" s="14" t="n">
        <v>0.3</v>
      </c>
      <c r="AA13" s="14" t="n">
        <v>0.39</v>
      </c>
      <c r="AB13" s="14" t="n">
        <v>0.36</v>
      </c>
      <c r="AC13" s="14" t="n">
        <v>0.38</v>
      </c>
      <c r="AD13" s="14" t="n">
        <v>0.37</v>
      </c>
      <c r="AE13" s="14" t="n">
        <v>0.42</v>
      </c>
      <c r="AF13" s="14" t="n">
        <v>0.39</v>
      </c>
    </row>
    <row r="14">
      <c r="A14" s="20" t="n"/>
      <c r="B14" s="11" t="inlineStr">
        <is>
          <t>Anxiété</t>
        </is>
      </c>
      <c r="C14" s="12" t="n">
        <v>3802</v>
      </c>
      <c r="D14" s="12" t="n">
        <v>180</v>
      </c>
      <c r="E14" s="12" t="n">
        <v>220</v>
      </c>
      <c r="F14" s="12" t="n">
        <v>90</v>
      </c>
      <c r="G14" s="12" t="n">
        <v>60</v>
      </c>
      <c r="H14" s="12" t="n">
        <v>126</v>
      </c>
      <c r="I14" s="12" t="n">
        <v>182</v>
      </c>
      <c r="J14" s="12" t="n">
        <v>57</v>
      </c>
      <c r="K14" s="12" t="n">
        <v>191</v>
      </c>
      <c r="L14" s="12" t="n">
        <v>113</v>
      </c>
      <c r="M14" s="12" t="n">
        <v>346</v>
      </c>
      <c r="N14" s="12" t="n">
        <v>54</v>
      </c>
      <c r="O14" s="12" t="n">
        <v>198</v>
      </c>
      <c r="P14" s="12" t="n">
        <v>136</v>
      </c>
      <c r="Q14" s="12" t="n">
        <v>222</v>
      </c>
      <c r="R14" s="12" t="n">
        <v>133</v>
      </c>
      <c r="S14" s="12" t="n">
        <v>119</v>
      </c>
      <c r="T14" s="12" t="n">
        <v>216</v>
      </c>
      <c r="U14" s="12" t="n">
        <v>81</v>
      </c>
      <c r="V14" s="12" t="n">
        <v>103</v>
      </c>
      <c r="W14" s="12" t="n">
        <v>81</v>
      </c>
      <c r="X14" s="12" t="n">
        <v>72</v>
      </c>
      <c r="Y14" s="12" t="n">
        <v>188</v>
      </c>
      <c r="Z14" s="12" t="n">
        <v>140</v>
      </c>
      <c r="AA14" s="12" t="n">
        <v>219</v>
      </c>
      <c r="AB14" s="12" t="n">
        <v>108</v>
      </c>
      <c r="AC14" s="12" t="n">
        <v>54</v>
      </c>
      <c r="AD14" s="12" t="n">
        <v>85</v>
      </c>
      <c r="AE14" s="12" t="n">
        <v>65</v>
      </c>
      <c r="AF14" s="12" t="n">
        <v>61</v>
      </c>
    </row>
    <row r="15">
      <c r="A15" s="20" t="n"/>
      <c r="B15" s="13" t="inlineStr">
        <is>
          <t>Anxiety</t>
        </is>
      </c>
      <c r="C15" s="14" t="n">
        <v>0.16</v>
      </c>
      <c r="D15" s="14" t="n">
        <v>0.19</v>
      </c>
      <c r="E15" s="14" t="n">
        <v>0.25</v>
      </c>
      <c r="F15" s="14" t="n">
        <v>0.09</v>
      </c>
      <c r="G15" s="14" t="n">
        <v>0.06</v>
      </c>
      <c r="H15" s="14" t="n">
        <v>0.11</v>
      </c>
      <c r="I15" s="14" t="n">
        <v>0.13</v>
      </c>
      <c r="J15" s="14" t="n">
        <v>0.2</v>
      </c>
      <c r="K15" s="14" t="n">
        <v>0.22</v>
      </c>
      <c r="L15" s="14" t="n">
        <v>0.12</v>
      </c>
      <c r="M15" s="14" t="n">
        <v>0.41</v>
      </c>
      <c r="N15" s="14" t="n">
        <v>0.06</v>
      </c>
      <c r="O15" s="14" t="n">
        <v>0.22</v>
      </c>
      <c r="P15" s="14" t="n">
        <v>0.14</v>
      </c>
      <c r="Q15" s="14" t="n">
        <v>0.24</v>
      </c>
      <c r="R15" s="14" t="n">
        <v>0.31</v>
      </c>
      <c r="S15" s="14" t="n">
        <v>0.13</v>
      </c>
      <c r="T15" s="14" t="n">
        <v>0.24</v>
      </c>
      <c r="U15" s="14" t="n">
        <v>0.17</v>
      </c>
      <c r="V15" s="14" t="n">
        <v>0.11</v>
      </c>
      <c r="W15" s="14" t="n">
        <v>0.19</v>
      </c>
      <c r="X15" s="14" t="n">
        <v>0.07000000000000001</v>
      </c>
      <c r="Y15" s="14" t="n">
        <v>0.2</v>
      </c>
      <c r="Z15" s="14" t="n">
        <v>0.16</v>
      </c>
      <c r="AA15" s="14" t="n">
        <v>0.25</v>
      </c>
      <c r="AB15" s="14" t="n">
        <v>0.11</v>
      </c>
      <c r="AC15" s="14" t="n">
        <v>0.06</v>
      </c>
      <c r="AD15" s="14" t="n">
        <v>0.09</v>
      </c>
      <c r="AE15" s="14" t="n">
        <v>0.07000000000000001</v>
      </c>
      <c r="AF15" s="14" t="n">
        <v>0.06</v>
      </c>
    </row>
    <row r="16">
      <c r="A16" s="20" t="n"/>
      <c r="B16" s="11" t="inlineStr">
        <is>
          <t>Incertitude</t>
        </is>
      </c>
      <c r="C16" s="12" t="n">
        <v>6078</v>
      </c>
      <c r="D16" s="12" t="n">
        <v>256</v>
      </c>
      <c r="E16" s="12" t="n">
        <v>196</v>
      </c>
      <c r="F16" s="12" t="n">
        <v>180</v>
      </c>
      <c r="G16" s="12" t="n">
        <v>237</v>
      </c>
      <c r="H16" s="12" t="n">
        <v>286</v>
      </c>
      <c r="I16" s="12" t="n">
        <v>358</v>
      </c>
      <c r="J16" s="12" t="n">
        <v>73</v>
      </c>
      <c r="K16" s="12" t="n">
        <v>190</v>
      </c>
      <c r="L16" s="12" t="n">
        <v>208</v>
      </c>
      <c r="M16" s="12" t="n">
        <v>376</v>
      </c>
      <c r="N16" s="12" t="n">
        <v>170</v>
      </c>
      <c r="O16" s="12" t="n">
        <v>278</v>
      </c>
      <c r="P16" s="12" t="n">
        <v>175</v>
      </c>
      <c r="Q16" s="12" t="n">
        <v>302</v>
      </c>
      <c r="R16" s="12" t="n">
        <v>138</v>
      </c>
      <c r="S16" s="12" t="n">
        <v>213</v>
      </c>
      <c r="T16" s="12" t="n">
        <v>204</v>
      </c>
      <c r="U16" s="12" t="n">
        <v>102</v>
      </c>
      <c r="V16" s="12" t="n">
        <v>159</v>
      </c>
      <c r="W16" s="12" t="n">
        <v>88</v>
      </c>
      <c r="X16" s="12" t="n">
        <v>227</v>
      </c>
      <c r="Y16" s="12" t="n">
        <v>240</v>
      </c>
      <c r="Z16" s="12" t="n">
        <v>156</v>
      </c>
      <c r="AA16" s="12" t="n">
        <v>214</v>
      </c>
      <c r="AB16" s="12" t="n">
        <v>215</v>
      </c>
      <c r="AC16" s="12" t="n">
        <v>165</v>
      </c>
      <c r="AD16" s="12" t="n">
        <v>206</v>
      </c>
      <c r="AE16" s="12" t="n">
        <v>239</v>
      </c>
      <c r="AF16" s="12" t="n">
        <v>218</v>
      </c>
    </row>
    <row r="17">
      <c r="A17" s="20" t="n"/>
      <c r="B17" s="13" t="inlineStr">
        <is>
          <t>Uncertainty</t>
        </is>
      </c>
      <c r="C17" s="14" t="n">
        <v>0.3</v>
      </c>
      <c r="D17" s="14" t="n">
        <v>0.34</v>
      </c>
      <c r="E17" s="14" t="n">
        <v>0.24</v>
      </c>
      <c r="F17" s="14" t="n">
        <v>0.22</v>
      </c>
      <c r="G17" s="14" t="n">
        <v>0.29</v>
      </c>
      <c r="H17" s="14" t="n">
        <v>0.3</v>
      </c>
      <c r="I17" s="14" t="n">
        <v>0.3</v>
      </c>
      <c r="J17" s="14" t="n">
        <v>0.33</v>
      </c>
      <c r="K17" s="14" t="n">
        <v>0.24</v>
      </c>
      <c r="L17" s="14" t="n">
        <v>0.27</v>
      </c>
      <c r="M17" s="14" t="n">
        <v>0.48</v>
      </c>
      <c r="N17" s="14" t="n">
        <v>0.21</v>
      </c>
      <c r="O17" s="14" t="n">
        <v>0.37</v>
      </c>
      <c r="P17" s="14" t="n">
        <v>0.2</v>
      </c>
      <c r="Q17" s="14" t="n">
        <v>0.4</v>
      </c>
      <c r="R17" s="14" t="n">
        <v>0.39</v>
      </c>
      <c r="S17" s="14" t="n">
        <v>0.26</v>
      </c>
      <c r="T17" s="14" t="n">
        <v>0.24</v>
      </c>
      <c r="U17" s="14" t="n">
        <v>0.26</v>
      </c>
      <c r="V17" s="14" t="n">
        <v>0.18</v>
      </c>
      <c r="W17" s="14" t="n">
        <v>0.2</v>
      </c>
      <c r="X17" s="14" t="n">
        <v>0.26</v>
      </c>
      <c r="Y17" s="14" t="n">
        <v>0.3</v>
      </c>
      <c r="Z17" s="14" t="n">
        <v>0.19</v>
      </c>
      <c r="AA17" s="14" t="n">
        <v>0.29</v>
      </c>
      <c r="AB17" s="14" t="n">
        <v>0.25</v>
      </c>
      <c r="AC17" s="14" t="n">
        <v>0.19</v>
      </c>
      <c r="AD17" s="14" t="n">
        <v>0.26</v>
      </c>
      <c r="AE17" s="14" t="n">
        <v>0.3</v>
      </c>
      <c r="AF17" s="14" t="n">
        <v>0.25</v>
      </c>
    </row>
    <row r="18">
      <c r="A18" s="20" t="n"/>
      <c r="B18" s="11" t="inlineStr">
        <is>
          <t>Colère</t>
        </is>
      </c>
      <c r="C18" s="12" t="n">
        <v>2762</v>
      </c>
      <c r="D18" s="12" t="n">
        <v>100</v>
      </c>
      <c r="E18" s="12" t="n">
        <v>75</v>
      </c>
      <c r="F18" s="12" t="n">
        <v>66</v>
      </c>
      <c r="G18" s="12" t="n">
        <v>42</v>
      </c>
      <c r="H18" s="12" t="n">
        <v>120</v>
      </c>
      <c r="I18" s="12" t="n">
        <v>158</v>
      </c>
      <c r="J18" s="12" t="n">
        <v>38</v>
      </c>
      <c r="K18" s="12" t="n">
        <v>55</v>
      </c>
      <c r="L18" s="12" t="n">
        <v>71</v>
      </c>
      <c r="M18" s="12" t="n">
        <v>217</v>
      </c>
      <c r="N18" s="12" t="n">
        <v>111</v>
      </c>
      <c r="O18" s="12" t="n">
        <v>135</v>
      </c>
      <c r="P18" s="12" t="n">
        <v>111</v>
      </c>
      <c r="Q18" s="12" t="n">
        <v>164</v>
      </c>
      <c r="R18" s="12" t="n">
        <v>96</v>
      </c>
      <c r="S18" s="12" t="n">
        <v>66</v>
      </c>
      <c r="T18" s="12" t="n">
        <v>63</v>
      </c>
      <c r="U18" s="12" t="n">
        <v>35</v>
      </c>
      <c r="V18" s="12" t="n">
        <v>45</v>
      </c>
      <c r="W18" s="12" t="n">
        <v>24</v>
      </c>
      <c r="X18" s="12" t="n">
        <v>58</v>
      </c>
      <c r="Y18" s="12" t="n">
        <v>150</v>
      </c>
      <c r="Z18" s="12" t="n">
        <v>45</v>
      </c>
      <c r="AA18" s="12" t="n">
        <v>22</v>
      </c>
      <c r="AB18" s="12" t="n">
        <v>98</v>
      </c>
      <c r="AC18" s="12" t="n">
        <v>75</v>
      </c>
      <c r="AD18" s="12" t="n">
        <v>80</v>
      </c>
      <c r="AE18" s="12" t="n">
        <v>21</v>
      </c>
      <c r="AF18" s="12" t="n">
        <v>83</v>
      </c>
    </row>
    <row r="19">
      <c r="A19" s="20" t="n"/>
      <c r="B19" s="13" t="inlineStr">
        <is>
          <t>Anger</t>
        </is>
      </c>
      <c r="C19" s="14" t="n">
        <v>0.11</v>
      </c>
      <c r="D19" s="14" t="n">
        <v>0.1</v>
      </c>
      <c r="E19" s="14" t="n">
        <v>0.08</v>
      </c>
      <c r="F19" s="14" t="n">
        <v>0.07000000000000001</v>
      </c>
      <c r="G19" s="14" t="n">
        <v>0.04</v>
      </c>
      <c r="H19" s="14" t="n">
        <v>0.1</v>
      </c>
      <c r="I19" s="14" t="n">
        <v>0.11</v>
      </c>
      <c r="J19" s="14" t="n">
        <v>0.14</v>
      </c>
      <c r="K19" s="14" t="n">
        <v>0.06</v>
      </c>
      <c r="L19" s="14" t="n">
        <v>0.07000000000000001</v>
      </c>
      <c r="M19" s="14" t="n">
        <v>0.24</v>
      </c>
      <c r="N19" s="14" t="n">
        <v>0.12</v>
      </c>
      <c r="O19" s="14" t="n">
        <v>0.14</v>
      </c>
      <c r="P19" s="14" t="n">
        <v>0.12</v>
      </c>
      <c r="Q19" s="14" t="n">
        <v>0.17</v>
      </c>
      <c r="R19" s="14" t="n">
        <v>0.21</v>
      </c>
      <c r="S19" s="14" t="n">
        <v>0.07000000000000001</v>
      </c>
      <c r="T19" s="14" t="n">
        <v>0.06</v>
      </c>
      <c r="U19" s="14" t="n">
        <v>0.07000000000000001</v>
      </c>
      <c r="V19" s="14" t="n">
        <v>0.04</v>
      </c>
      <c r="W19" s="14" t="n">
        <v>0.05</v>
      </c>
      <c r="X19" s="14" t="n">
        <v>0.06</v>
      </c>
      <c r="Y19" s="14" t="n">
        <v>0.17</v>
      </c>
      <c r="Z19" s="14" t="n">
        <v>0.05</v>
      </c>
      <c r="AA19" s="14" t="n">
        <v>0.02</v>
      </c>
      <c r="AB19" s="14" t="n">
        <v>0.1</v>
      </c>
      <c r="AC19" s="14" t="n">
        <v>0.08</v>
      </c>
      <c r="AD19" s="14" t="n">
        <v>0.09</v>
      </c>
      <c r="AE19" s="14" t="n">
        <v>0.02</v>
      </c>
      <c r="AF19" s="14" t="n">
        <v>0.08</v>
      </c>
    </row>
    <row r="20">
      <c r="A20" s="20" t="n"/>
      <c r="B20" s="11" t="inlineStr">
        <is>
          <t>Frustration</t>
        </is>
      </c>
      <c r="C20" s="12" t="n">
        <v>4254</v>
      </c>
      <c r="D20" s="12" t="n">
        <v>217</v>
      </c>
      <c r="E20" s="12" t="n">
        <v>175</v>
      </c>
      <c r="F20" s="12" t="n">
        <v>71</v>
      </c>
      <c r="G20" s="12" t="n">
        <v>181</v>
      </c>
      <c r="H20" s="12" t="n">
        <v>212</v>
      </c>
      <c r="I20" s="12" t="n">
        <v>288</v>
      </c>
      <c r="J20" s="12" t="n">
        <v>76</v>
      </c>
      <c r="K20" s="12" t="n">
        <v>99</v>
      </c>
      <c r="L20" s="12" t="n">
        <v>169</v>
      </c>
      <c r="M20" s="12" t="n">
        <v>329</v>
      </c>
      <c r="N20" s="12" t="n">
        <v>114</v>
      </c>
      <c r="O20" s="12" t="n">
        <v>177</v>
      </c>
      <c r="P20" s="12" t="n">
        <v>119</v>
      </c>
      <c r="Q20" s="12" t="n">
        <v>183</v>
      </c>
      <c r="R20" s="12" t="n">
        <v>143</v>
      </c>
      <c r="S20" s="12" t="n">
        <v>105</v>
      </c>
      <c r="T20" s="12" t="n">
        <v>135</v>
      </c>
      <c r="U20" s="12" t="n">
        <v>65</v>
      </c>
      <c r="V20" s="12" t="n">
        <v>91</v>
      </c>
      <c r="W20" s="12" t="n">
        <v>68</v>
      </c>
      <c r="X20" s="12" t="n">
        <v>187</v>
      </c>
      <c r="Y20" s="12" t="n">
        <v>239</v>
      </c>
      <c r="Z20" s="12" t="n">
        <v>58</v>
      </c>
      <c r="AA20" s="12" t="n">
        <v>93</v>
      </c>
      <c r="AB20" s="12" t="n">
        <v>166</v>
      </c>
      <c r="AC20" s="12" t="n">
        <v>59</v>
      </c>
      <c r="AD20" s="12" t="n">
        <v>98</v>
      </c>
      <c r="AE20" s="12" t="n">
        <v>224</v>
      </c>
      <c r="AF20" s="12" t="n">
        <v>278</v>
      </c>
    </row>
    <row r="21">
      <c r="A21" s="20" t="n"/>
      <c r="B21" s="13" t="inlineStr">
        <is>
          <t>Frustration</t>
        </is>
      </c>
      <c r="C21" s="14" t="n">
        <v>0.18</v>
      </c>
      <c r="D21" s="14" t="n">
        <v>0.23</v>
      </c>
      <c r="E21" s="14" t="n">
        <v>0.19</v>
      </c>
      <c r="F21" s="14" t="n">
        <v>0.07000000000000001</v>
      </c>
      <c r="G21" s="14" t="n">
        <v>0.2</v>
      </c>
      <c r="H21" s="14" t="n">
        <v>0.2</v>
      </c>
      <c r="I21" s="14" t="n">
        <v>0.22</v>
      </c>
      <c r="J21" s="14" t="n">
        <v>0.3</v>
      </c>
      <c r="K21" s="14" t="n">
        <v>0.11</v>
      </c>
      <c r="L21" s="14" t="n">
        <v>0.19</v>
      </c>
      <c r="M21" s="14" t="n">
        <v>0.39</v>
      </c>
      <c r="N21" s="14" t="n">
        <v>0.12</v>
      </c>
      <c r="O21" s="14" t="n">
        <v>0.19</v>
      </c>
      <c r="P21" s="14" t="n">
        <v>0.12</v>
      </c>
      <c r="Q21" s="14" t="n">
        <v>0.19</v>
      </c>
      <c r="R21" s="14" t="n">
        <v>0.34</v>
      </c>
      <c r="S21" s="14" t="n">
        <v>0.11</v>
      </c>
      <c r="T21" s="14" t="n">
        <v>0.14</v>
      </c>
      <c r="U21" s="14" t="n">
        <v>0.14</v>
      </c>
      <c r="V21" s="14" t="n">
        <v>0.1</v>
      </c>
      <c r="W21" s="14" t="n">
        <v>0.15</v>
      </c>
      <c r="X21" s="14" t="n">
        <v>0.2</v>
      </c>
      <c r="Y21" s="14" t="n">
        <v>0.26</v>
      </c>
      <c r="Z21" s="14" t="n">
        <v>0.06</v>
      </c>
      <c r="AA21" s="14" t="n">
        <v>0.1</v>
      </c>
      <c r="AB21" s="14" t="n">
        <v>0.17</v>
      </c>
      <c r="AC21" s="14" t="n">
        <v>0.06</v>
      </c>
      <c r="AD21" s="14" t="n">
        <v>0.1</v>
      </c>
      <c r="AE21" s="14" t="n">
        <v>0.25</v>
      </c>
      <c r="AF21" s="14" t="n">
        <v>0.3</v>
      </c>
    </row>
    <row r="22">
      <c r="A22" s="20" t="n"/>
      <c r="B22" s="11" t="inlineStr">
        <is>
          <t>Impuissance</t>
        </is>
      </c>
      <c r="C22" s="12" t="n">
        <v>4415</v>
      </c>
      <c r="D22" s="12" t="n">
        <v>177</v>
      </c>
      <c r="E22" s="12" t="n">
        <v>104</v>
      </c>
      <c r="F22" s="12" t="n">
        <v>127</v>
      </c>
      <c r="G22" s="12" t="n">
        <v>61</v>
      </c>
      <c r="H22" s="12" t="n">
        <v>200</v>
      </c>
      <c r="I22" s="12" t="n">
        <v>258</v>
      </c>
      <c r="J22" s="12" t="n">
        <v>58</v>
      </c>
      <c r="K22" s="12" t="n">
        <v>105</v>
      </c>
      <c r="L22" s="12" t="n">
        <v>92</v>
      </c>
      <c r="M22" s="12" t="n">
        <v>130</v>
      </c>
      <c r="N22" s="12" t="n">
        <v>113</v>
      </c>
      <c r="O22" s="12" t="n">
        <v>251</v>
      </c>
      <c r="P22" s="12" t="n">
        <v>161</v>
      </c>
      <c r="Q22" s="12" t="n">
        <v>288</v>
      </c>
      <c r="R22" s="12" t="n">
        <v>59</v>
      </c>
      <c r="S22" s="12" t="n">
        <v>81</v>
      </c>
      <c r="T22" s="12" t="n">
        <v>115</v>
      </c>
      <c r="U22" s="12" t="n">
        <v>79</v>
      </c>
      <c r="V22" s="12" t="n">
        <v>103</v>
      </c>
      <c r="W22" s="12" t="n">
        <v>23</v>
      </c>
      <c r="X22" s="12" t="n">
        <v>60</v>
      </c>
      <c r="Y22" s="12" t="n">
        <v>217</v>
      </c>
      <c r="Z22" s="12" t="n">
        <v>90</v>
      </c>
      <c r="AA22" s="12" t="n">
        <v>54</v>
      </c>
      <c r="AB22" s="12" t="n">
        <v>204</v>
      </c>
      <c r="AC22" s="12" t="n">
        <v>137</v>
      </c>
      <c r="AD22" s="12" t="n">
        <v>143</v>
      </c>
      <c r="AE22" s="12" t="n">
        <v>99</v>
      </c>
      <c r="AF22" s="12" t="n">
        <v>108</v>
      </c>
    </row>
    <row r="23">
      <c r="A23" s="20" t="n"/>
      <c r="B23" s="13" t="inlineStr">
        <is>
          <t>Helplessness</t>
        </is>
      </c>
      <c r="C23" s="14" t="n">
        <v>0.18</v>
      </c>
      <c r="D23" s="14" t="n">
        <v>0.18</v>
      </c>
      <c r="E23" s="14" t="n">
        <v>0.11</v>
      </c>
      <c r="F23" s="14" t="n">
        <v>0.13</v>
      </c>
      <c r="G23" s="14" t="n">
        <v>0.06</v>
      </c>
      <c r="H23" s="14" t="n">
        <v>0.17</v>
      </c>
      <c r="I23" s="14" t="n">
        <v>0.18</v>
      </c>
      <c r="J23" s="14" t="n">
        <v>0.21</v>
      </c>
      <c r="K23" s="14" t="n">
        <v>0.11</v>
      </c>
      <c r="L23" s="14" t="n">
        <v>0.09</v>
      </c>
      <c r="M23" s="14" t="n">
        <v>0.13</v>
      </c>
      <c r="N23" s="14" t="n">
        <v>0.12</v>
      </c>
      <c r="O23" s="14" t="n">
        <v>0.27</v>
      </c>
      <c r="P23" s="14" t="n">
        <v>0.17</v>
      </c>
      <c r="Q23" s="14" t="n">
        <v>0.31</v>
      </c>
      <c r="R23" s="14" t="n">
        <v>0.12</v>
      </c>
      <c r="S23" s="14" t="n">
        <v>0.08</v>
      </c>
      <c r="T23" s="14" t="n">
        <v>0.12</v>
      </c>
      <c r="U23" s="14" t="n">
        <v>0.17</v>
      </c>
      <c r="V23" s="14" t="n">
        <v>0.1</v>
      </c>
      <c r="W23" s="14" t="n">
        <v>0.05</v>
      </c>
      <c r="X23" s="14" t="n">
        <v>0.06</v>
      </c>
      <c r="Y23" s="14" t="n">
        <v>0.23</v>
      </c>
      <c r="Z23" s="14" t="n">
        <v>0.1</v>
      </c>
      <c r="AA23" s="14" t="n">
        <v>0.05</v>
      </c>
      <c r="AB23" s="14" t="n">
        <v>0.22</v>
      </c>
      <c r="AC23" s="14" t="n">
        <v>0.14</v>
      </c>
      <c r="AD23" s="14" t="n">
        <v>0.15</v>
      </c>
      <c r="AE23" s="14" t="n">
        <v>0.1</v>
      </c>
      <c r="AF23" s="14" t="n">
        <v>0.11</v>
      </c>
    </row>
    <row r="24">
      <c r="A24" s="20" t="n"/>
      <c r="B24" s="11" t="inlineStr">
        <is>
          <t>Confiance</t>
        </is>
      </c>
      <c r="C24" s="12" t="n">
        <v>5804</v>
      </c>
      <c r="D24" s="12" t="n">
        <v>208</v>
      </c>
      <c r="E24" s="12" t="n">
        <v>248</v>
      </c>
      <c r="F24" s="12" t="n">
        <v>231</v>
      </c>
      <c r="G24" s="12" t="n">
        <v>323</v>
      </c>
      <c r="H24" s="12" t="n">
        <v>323</v>
      </c>
      <c r="I24" s="12" t="n">
        <v>404</v>
      </c>
      <c r="J24" s="12" t="n">
        <v>81</v>
      </c>
      <c r="K24" s="12" t="n">
        <v>148</v>
      </c>
      <c r="L24" s="12" t="n">
        <v>232</v>
      </c>
      <c r="M24" s="12" t="n">
        <v>117</v>
      </c>
      <c r="N24" s="12" t="n">
        <v>233</v>
      </c>
      <c r="O24" s="12" t="n">
        <v>162</v>
      </c>
      <c r="P24" s="12" t="n">
        <v>248</v>
      </c>
      <c r="Q24" s="12" t="n">
        <v>205</v>
      </c>
      <c r="R24" s="12" t="n">
        <v>63</v>
      </c>
      <c r="S24" s="12" t="n">
        <v>195</v>
      </c>
      <c r="T24" s="12" t="n">
        <v>235</v>
      </c>
      <c r="U24" s="12" t="n">
        <v>128</v>
      </c>
      <c r="V24" s="12" t="n">
        <v>232</v>
      </c>
      <c r="W24" s="12" t="n">
        <v>130</v>
      </c>
      <c r="X24" s="12" t="n">
        <v>362</v>
      </c>
      <c r="Y24" s="12" t="n">
        <v>243</v>
      </c>
      <c r="Z24" s="12" t="n">
        <v>167</v>
      </c>
      <c r="AA24" s="12" t="n">
        <v>273</v>
      </c>
      <c r="AB24" s="12" t="n">
        <v>256</v>
      </c>
      <c r="AC24" s="12" t="n">
        <v>248</v>
      </c>
      <c r="AD24" s="12" t="n">
        <v>209</v>
      </c>
      <c r="AE24" s="12" t="n">
        <v>289</v>
      </c>
      <c r="AF24" s="12" t="n">
        <v>147</v>
      </c>
    </row>
    <row r="25">
      <c r="A25" s="20" t="n"/>
      <c r="B25" s="13" t="inlineStr">
        <is>
          <t>Confidence</t>
        </is>
      </c>
      <c r="C25" s="14" t="n">
        <v>0.25</v>
      </c>
      <c r="D25" s="14" t="n">
        <v>0.23</v>
      </c>
      <c r="E25" s="14" t="n">
        <v>0.28</v>
      </c>
      <c r="F25" s="14" t="n">
        <v>0.25</v>
      </c>
      <c r="G25" s="14" t="n">
        <v>0.39</v>
      </c>
      <c r="H25" s="14" t="n">
        <v>0.3</v>
      </c>
      <c r="I25" s="14" t="n">
        <v>0.3</v>
      </c>
      <c r="J25" s="14" t="n">
        <v>0.31</v>
      </c>
      <c r="K25" s="14" t="n">
        <v>0.16</v>
      </c>
      <c r="L25" s="14" t="n">
        <v>0.26</v>
      </c>
      <c r="M25" s="14" t="n">
        <v>0.12</v>
      </c>
      <c r="N25" s="14" t="n">
        <v>0.27</v>
      </c>
      <c r="O25" s="14" t="n">
        <v>0.17</v>
      </c>
      <c r="P25" s="14" t="n">
        <v>0.28</v>
      </c>
      <c r="Q25" s="14" t="n">
        <v>0.22</v>
      </c>
      <c r="R25" s="14" t="n">
        <v>0.13</v>
      </c>
      <c r="S25" s="14" t="n">
        <v>0.21</v>
      </c>
      <c r="T25" s="14" t="n">
        <v>0.27</v>
      </c>
      <c r="U25" s="14" t="n">
        <v>0.31</v>
      </c>
      <c r="V25" s="14" t="n">
        <v>0.26</v>
      </c>
      <c r="W25" s="14" t="n">
        <v>0.3</v>
      </c>
      <c r="X25" s="14" t="n">
        <v>0.4</v>
      </c>
      <c r="Y25" s="14" t="n">
        <v>0.28</v>
      </c>
      <c r="Z25" s="14" t="n">
        <v>0.2</v>
      </c>
      <c r="AA25" s="14" t="n">
        <v>0.32</v>
      </c>
      <c r="AB25" s="14" t="n">
        <v>0.29</v>
      </c>
      <c r="AC25" s="14" t="n">
        <v>0.27</v>
      </c>
      <c r="AD25" s="14" t="n">
        <v>0.23</v>
      </c>
      <c r="AE25" s="14" t="n">
        <v>0.32</v>
      </c>
      <c r="AF25" s="14" t="n">
        <v>0.15</v>
      </c>
    </row>
    <row r="26">
      <c r="A26" s="20" t="n"/>
      <c r="B26" s="11" t="inlineStr">
        <is>
          <t>Sérénité</t>
        </is>
      </c>
      <c r="C26" s="12" t="n">
        <v>3922</v>
      </c>
      <c r="D26" s="12" t="n">
        <v>154</v>
      </c>
      <c r="E26" s="12" t="n">
        <v>151</v>
      </c>
      <c r="F26" s="12" t="n">
        <v>178</v>
      </c>
      <c r="G26" s="12" t="n">
        <v>175</v>
      </c>
      <c r="H26" s="12" t="n">
        <v>190</v>
      </c>
      <c r="I26" s="12" t="n">
        <v>229</v>
      </c>
      <c r="J26" s="12" t="n">
        <v>39</v>
      </c>
      <c r="K26" s="12" t="n">
        <v>158</v>
      </c>
      <c r="L26" s="12" t="n">
        <v>84</v>
      </c>
      <c r="M26" s="12" t="n">
        <v>152</v>
      </c>
      <c r="N26" s="12" t="n">
        <v>185</v>
      </c>
      <c r="O26" s="12" t="n">
        <v>110</v>
      </c>
      <c r="P26" s="12" t="n">
        <v>114</v>
      </c>
      <c r="Q26" s="12" t="n">
        <v>92</v>
      </c>
      <c r="R26" s="12" t="n">
        <v>65</v>
      </c>
      <c r="S26" s="12" t="n">
        <v>135</v>
      </c>
      <c r="T26" s="12" t="n">
        <v>174</v>
      </c>
      <c r="U26" s="12" t="n">
        <v>104</v>
      </c>
      <c r="V26" s="12" t="n">
        <v>272</v>
      </c>
      <c r="W26" s="12" t="n">
        <v>78</v>
      </c>
      <c r="X26" s="12" t="n">
        <v>230</v>
      </c>
      <c r="Y26" s="12" t="n">
        <v>178</v>
      </c>
      <c r="Z26" s="12" t="n">
        <v>148</v>
      </c>
      <c r="AA26" s="12" t="n">
        <v>191</v>
      </c>
      <c r="AB26" s="12" t="n">
        <v>170</v>
      </c>
      <c r="AC26" s="12" t="n">
        <v>127</v>
      </c>
      <c r="AD26" s="12" t="n">
        <v>141</v>
      </c>
      <c r="AE26" s="12" t="n">
        <v>192</v>
      </c>
      <c r="AF26" s="12" t="n">
        <v>223</v>
      </c>
    </row>
    <row r="27">
      <c r="A27" s="20" t="n"/>
      <c r="B27" s="13" t="inlineStr">
        <is>
          <t>Serenity</t>
        </is>
      </c>
      <c r="C27" s="14" t="n">
        <v>0.17</v>
      </c>
      <c r="D27" s="14" t="n">
        <v>0.17</v>
      </c>
      <c r="E27" s="14" t="n">
        <v>0.17</v>
      </c>
      <c r="F27" s="14" t="n">
        <v>0.21</v>
      </c>
      <c r="G27" s="14" t="n">
        <v>0.22</v>
      </c>
      <c r="H27" s="14" t="n">
        <v>0.18</v>
      </c>
      <c r="I27" s="14" t="n">
        <v>0.17</v>
      </c>
      <c r="J27" s="14" t="n">
        <v>0.16</v>
      </c>
      <c r="K27" s="14" t="n">
        <v>0.19</v>
      </c>
      <c r="L27" s="14" t="n">
        <v>0.09</v>
      </c>
      <c r="M27" s="14" t="n">
        <v>0.17</v>
      </c>
      <c r="N27" s="14" t="n">
        <v>0.21</v>
      </c>
      <c r="O27" s="14" t="n">
        <v>0.12</v>
      </c>
      <c r="P27" s="14" t="n">
        <v>0.12</v>
      </c>
      <c r="Q27" s="14" t="n">
        <v>0.1</v>
      </c>
      <c r="R27" s="14" t="n">
        <v>0.15</v>
      </c>
      <c r="S27" s="14" t="n">
        <v>0.19</v>
      </c>
      <c r="T27" s="14" t="n">
        <v>0.22</v>
      </c>
      <c r="U27" s="14" t="n">
        <v>0.23</v>
      </c>
      <c r="V27" s="14" t="n">
        <v>0.32</v>
      </c>
      <c r="W27" s="14" t="n">
        <v>0.19</v>
      </c>
      <c r="X27" s="14" t="n">
        <v>0.32</v>
      </c>
      <c r="Y27" s="14" t="n">
        <v>0.2</v>
      </c>
      <c r="Z27" s="14" t="n">
        <v>0.18</v>
      </c>
      <c r="AA27" s="14" t="n">
        <v>0.21</v>
      </c>
      <c r="AB27" s="14" t="n">
        <v>0.17</v>
      </c>
      <c r="AC27" s="14" t="n">
        <v>0.14</v>
      </c>
      <c r="AD27" s="14" t="n">
        <v>0.17</v>
      </c>
      <c r="AE27" s="14" t="n">
        <v>0.23</v>
      </c>
      <c r="AF27" s="14" t="n">
        <v>0.33</v>
      </c>
    </row>
    <row r="28">
      <c r="A28" s="20" t="n"/>
      <c r="B28" s="11" t="inlineStr">
        <is>
          <t>Détermination</t>
        </is>
      </c>
      <c r="C28" s="12" t="n">
        <v>4080</v>
      </c>
      <c r="D28" s="12" t="n">
        <v>189</v>
      </c>
      <c r="E28" s="12" t="n">
        <v>181</v>
      </c>
      <c r="F28" s="12" t="n">
        <v>198</v>
      </c>
      <c r="G28" s="12" t="n">
        <v>317</v>
      </c>
      <c r="H28" s="12" t="n">
        <v>167</v>
      </c>
      <c r="I28" s="12" t="n">
        <v>209</v>
      </c>
      <c r="J28" s="12" t="n">
        <v>42</v>
      </c>
      <c r="K28" s="12" t="n">
        <v>169</v>
      </c>
      <c r="L28" s="12" t="n">
        <v>163</v>
      </c>
      <c r="M28" s="12" t="n">
        <v>177</v>
      </c>
      <c r="N28" s="12" t="n">
        <v>106</v>
      </c>
      <c r="O28" s="12" t="n">
        <v>130</v>
      </c>
      <c r="P28" s="12" t="n">
        <v>307</v>
      </c>
      <c r="Q28" s="12" t="n">
        <v>155</v>
      </c>
      <c r="R28" s="12" t="n">
        <v>58</v>
      </c>
      <c r="S28" s="12" t="n">
        <v>241</v>
      </c>
      <c r="T28" s="12" t="n">
        <v>157</v>
      </c>
      <c r="U28" s="12" t="n">
        <v>104</v>
      </c>
      <c r="V28" s="12" t="n">
        <v>242</v>
      </c>
      <c r="W28" s="12" t="n">
        <v>110</v>
      </c>
      <c r="X28" s="12" t="n">
        <v>237</v>
      </c>
      <c r="Y28" s="12" t="n">
        <v>165</v>
      </c>
      <c r="Z28" s="12" t="n">
        <v>99</v>
      </c>
      <c r="AA28" s="12" t="n">
        <v>213</v>
      </c>
      <c r="AB28" s="12" t="n">
        <v>188</v>
      </c>
      <c r="AC28" s="12" t="n">
        <v>218</v>
      </c>
      <c r="AD28" s="12" t="n">
        <v>195</v>
      </c>
      <c r="AE28" s="12" t="n">
        <v>216</v>
      </c>
      <c r="AF28" s="12" t="n">
        <v>265</v>
      </c>
    </row>
    <row r="29">
      <c r="A29" s="20" t="n"/>
      <c r="B29" s="13" t="inlineStr">
        <is>
          <t>Determination</t>
        </is>
      </c>
      <c r="C29" s="14" t="n">
        <v>0.16</v>
      </c>
      <c r="D29" s="14" t="n">
        <v>0.19</v>
      </c>
      <c r="E29" s="14" t="n">
        <v>0.2</v>
      </c>
      <c r="F29" s="14" t="n">
        <v>0.21</v>
      </c>
      <c r="G29" s="14" t="n">
        <v>0.35</v>
      </c>
      <c r="H29" s="14" t="n">
        <v>0.14</v>
      </c>
      <c r="I29" s="14" t="n">
        <v>0.14</v>
      </c>
      <c r="J29" s="14" t="n">
        <v>0.15</v>
      </c>
      <c r="K29" s="14" t="n">
        <v>0.19</v>
      </c>
      <c r="L29" s="14" t="n">
        <v>0.17</v>
      </c>
      <c r="M29" s="14" t="n">
        <v>0.18</v>
      </c>
      <c r="N29" s="14" t="n">
        <v>0.11</v>
      </c>
      <c r="O29" s="14" t="n">
        <v>0.14</v>
      </c>
      <c r="P29" s="14" t="n">
        <v>0.36</v>
      </c>
      <c r="Q29" s="14" t="n">
        <v>0.16</v>
      </c>
      <c r="R29" s="14" t="n">
        <v>0.12</v>
      </c>
      <c r="S29" s="14" t="n">
        <v>0.27</v>
      </c>
      <c r="T29" s="14" t="n">
        <v>0.16</v>
      </c>
      <c r="U29" s="14" t="n">
        <v>0.22</v>
      </c>
      <c r="V29" s="14" t="n">
        <v>0.25</v>
      </c>
      <c r="W29" s="14" t="n">
        <v>0.25</v>
      </c>
      <c r="X29" s="14" t="n">
        <v>0.25</v>
      </c>
      <c r="Y29" s="14" t="n">
        <v>0.18</v>
      </c>
      <c r="Z29" s="14" t="n">
        <v>0.11</v>
      </c>
      <c r="AA29" s="14" t="n">
        <v>0.22</v>
      </c>
      <c r="AB29" s="14" t="n">
        <v>0.19</v>
      </c>
      <c r="AC29" s="14" t="n">
        <v>0.25</v>
      </c>
      <c r="AD29" s="14" t="n">
        <v>0.22</v>
      </c>
      <c r="AE29" s="14" t="n">
        <v>0.22</v>
      </c>
      <c r="AF29" s="14" t="n">
        <v>0.28</v>
      </c>
    </row>
    <row r="30">
      <c r="A30" s="20" t="n"/>
      <c r="B30" s="11" t="inlineStr">
        <is>
          <t>Bonheur</t>
        </is>
      </c>
      <c r="C30" s="12" t="n">
        <v>3322</v>
      </c>
      <c r="D30" s="12" t="n">
        <v>139</v>
      </c>
      <c r="E30" s="12" t="n">
        <v>139</v>
      </c>
      <c r="F30" s="12" t="n">
        <v>132</v>
      </c>
      <c r="G30" s="12" t="n">
        <v>171</v>
      </c>
      <c r="H30" s="12" t="n">
        <v>157</v>
      </c>
      <c r="I30" s="12" t="n">
        <v>191</v>
      </c>
      <c r="J30" s="12" t="n">
        <v>35</v>
      </c>
      <c r="K30" s="12" t="n">
        <v>96</v>
      </c>
      <c r="L30" s="12" t="n">
        <v>161</v>
      </c>
      <c r="M30" s="12" t="n">
        <v>70</v>
      </c>
      <c r="N30" s="12" t="n">
        <v>128</v>
      </c>
      <c r="O30" s="12" t="n">
        <v>85</v>
      </c>
      <c r="P30" s="12" t="n">
        <v>179</v>
      </c>
      <c r="Q30" s="12" t="n">
        <v>78</v>
      </c>
      <c r="R30" s="12" t="n">
        <v>26</v>
      </c>
      <c r="S30" s="12" t="n">
        <v>97</v>
      </c>
      <c r="T30" s="12" t="n">
        <v>135</v>
      </c>
      <c r="U30" s="12" t="n">
        <v>86</v>
      </c>
      <c r="V30" s="12" t="n">
        <v>196</v>
      </c>
      <c r="W30" s="12" t="n">
        <v>65</v>
      </c>
      <c r="X30" s="12" t="n">
        <v>205</v>
      </c>
      <c r="Y30" s="12" t="n">
        <v>186</v>
      </c>
      <c r="Z30" s="12" t="n">
        <v>143</v>
      </c>
      <c r="AA30" s="12" t="n">
        <v>138</v>
      </c>
      <c r="AB30" s="12" t="n">
        <v>113</v>
      </c>
      <c r="AC30" s="12" t="n">
        <v>191</v>
      </c>
      <c r="AD30" s="12" t="n">
        <v>149</v>
      </c>
      <c r="AE30" s="12" t="n">
        <v>221</v>
      </c>
      <c r="AF30" s="12" t="n">
        <v>328</v>
      </c>
    </row>
    <row r="31">
      <c r="A31" s="20" t="n"/>
      <c r="B31" s="13" t="inlineStr">
        <is>
          <t>Happiness</t>
        </is>
      </c>
      <c r="C31" s="14" t="n">
        <v>0.14</v>
      </c>
      <c r="D31" s="14" t="n">
        <v>0.15</v>
      </c>
      <c r="E31" s="14" t="n">
        <v>0.14</v>
      </c>
      <c r="F31" s="14" t="n">
        <v>0.14</v>
      </c>
      <c r="G31" s="14" t="n">
        <v>0.2</v>
      </c>
      <c r="H31" s="14" t="n">
        <v>0.15</v>
      </c>
      <c r="I31" s="14" t="n">
        <v>0.14</v>
      </c>
      <c r="J31" s="14" t="n">
        <v>0.13</v>
      </c>
      <c r="K31" s="14" t="n">
        <v>0.1</v>
      </c>
      <c r="L31" s="14" t="n">
        <v>0.2</v>
      </c>
      <c r="M31" s="14" t="n">
        <v>0.07000000000000001</v>
      </c>
      <c r="N31" s="14" t="n">
        <v>0.15</v>
      </c>
      <c r="O31" s="14" t="n">
        <v>0.09</v>
      </c>
      <c r="P31" s="14" t="n">
        <v>0.21</v>
      </c>
      <c r="Q31" s="14" t="n">
        <v>0.08</v>
      </c>
      <c r="R31" s="14" t="n">
        <v>0.05</v>
      </c>
      <c r="S31" s="14" t="n">
        <v>0.1</v>
      </c>
      <c r="T31" s="14" t="n">
        <v>0.14</v>
      </c>
      <c r="U31" s="14" t="n">
        <v>0.19</v>
      </c>
      <c r="V31" s="14" t="n">
        <v>0.21</v>
      </c>
      <c r="W31" s="14" t="n">
        <v>0.15</v>
      </c>
      <c r="X31" s="14" t="n">
        <v>0.24</v>
      </c>
      <c r="Y31" s="14" t="n">
        <v>0.21</v>
      </c>
      <c r="Z31" s="14" t="n">
        <v>0.16</v>
      </c>
      <c r="AA31" s="14" t="n">
        <v>0.14</v>
      </c>
      <c r="AB31" s="14" t="n">
        <v>0.12</v>
      </c>
      <c r="AC31" s="14" t="n">
        <v>0.23</v>
      </c>
      <c r="AD31" s="14" t="n">
        <v>0.16</v>
      </c>
      <c r="AE31" s="14" t="n">
        <v>0.25</v>
      </c>
      <c r="AF31" s="14" t="n">
        <v>0.36</v>
      </c>
    </row>
    <row r="32">
      <c r="A32" s="20" t="n"/>
      <c r="B32" s="11" t="inlineStr">
        <is>
          <t>Autre (SPONTANÉ)</t>
        </is>
      </c>
      <c r="C32" s="12" t="n">
        <v>357</v>
      </c>
      <c r="D32" s="12" t="n">
        <v>8</v>
      </c>
      <c r="E32" s="12" t="n">
        <v>4</v>
      </c>
      <c r="F32" s="12" t="n">
        <v>13</v>
      </c>
      <c r="G32" s="12" t="n">
        <v>16</v>
      </c>
      <c r="H32" s="12" t="n">
        <v>35</v>
      </c>
      <c r="I32" s="12" t="n">
        <v>38</v>
      </c>
      <c r="J32" s="12" t="n">
        <v>3</v>
      </c>
      <c r="K32" s="12" t="n">
        <v>70</v>
      </c>
      <c r="L32" s="12" t="n">
        <v>13</v>
      </c>
      <c r="M32" s="12" t="n">
        <v>7</v>
      </c>
      <c r="N32" s="12" t="n">
        <v>12</v>
      </c>
      <c r="O32" s="12" t="n">
        <v>8</v>
      </c>
      <c r="P32" s="12" t="n">
        <v>2</v>
      </c>
      <c r="Q32" s="12" t="n">
        <v>8</v>
      </c>
      <c r="R32" s="12" t="n">
        <v>0</v>
      </c>
      <c r="S32" s="12" t="n">
        <v>13</v>
      </c>
      <c r="T32" s="12" t="n">
        <v>17</v>
      </c>
      <c r="U32" s="12" t="n">
        <v>5</v>
      </c>
      <c r="V32" s="12" t="n">
        <v>9</v>
      </c>
      <c r="W32" s="12" t="n">
        <v>8</v>
      </c>
      <c r="X32" s="12" t="n">
        <v>15</v>
      </c>
      <c r="Y32" s="12" t="n">
        <v>63</v>
      </c>
      <c r="Z32" s="12" t="n">
        <v>4</v>
      </c>
      <c r="AA32" s="12" t="n">
        <v>7</v>
      </c>
      <c r="AB32" s="12" t="n">
        <v>5</v>
      </c>
      <c r="AC32" s="12" t="n">
        <v>45</v>
      </c>
      <c r="AD32" s="12" t="n">
        <v>33</v>
      </c>
      <c r="AE32" s="12" t="n">
        <v>12</v>
      </c>
      <c r="AF32" s="12" t="n">
        <v>18</v>
      </c>
    </row>
    <row r="33">
      <c r="A33" s="20" t="n"/>
      <c r="B33" s="13" t="inlineStr">
        <is>
          <t>Other (SPONTANEOUS)</t>
        </is>
      </c>
      <c r="C33" s="14" t="n">
        <v>0.01</v>
      </c>
      <c r="D33" s="14" t="n">
        <v>0.01</v>
      </c>
      <c r="E33" s="15" t="inlineStr">
        <is>
          <t>-</t>
        </is>
      </c>
      <c r="F33" s="14" t="n">
        <v>0.01</v>
      </c>
      <c r="G33" s="14" t="n">
        <v>0.02</v>
      </c>
      <c r="H33" s="14" t="n">
        <v>0.03</v>
      </c>
      <c r="I33" s="14" t="n">
        <v>0.03</v>
      </c>
      <c r="J33" s="14" t="n">
        <v>0.01</v>
      </c>
      <c r="K33" s="14" t="n">
        <v>0.07000000000000001</v>
      </c>
      <c r="L33" s="14" t="n">
        <v>0.01</v>
      </c>
      <c r="M33" s="14" t="n">
        <v>0.01</v>
      </c>
      <c r="N33" s="14" t="n">
        <v>0.01</v>
      </c>
      <c r="O33" s="14" t="n">
        <v>0.01</v>
      </c>
      <c r="P33" s="15" t="inlineStr">
        <is>
          <t>-</t>
        </is>
      </c>
      <c r="Q33" s="14" t="n">
        <v>0.01</v>
      </c>
      <c r="R33" s="15" t="inlineStr">
        <is>
          <t>-</t>
        </is>
      </c>
      <c r="S33" s="14" t="n">
        <v>0.01</v>
      </c>
      <c r="T33" s="14" t="n">
        <v>0.02</v>
      </c>
      <c r="U33" s="14" t="n">
        <v>0.01</v>
      </c>
      <c r="V33" s="14" t="n">
        <v>0.01</v>
      </c>
      <c r="W33" s="14" t="n">
        <v>0.02</v>
      </c>
      <c r="X33" s="14" t="n">
        <v>0.02</v>
      </c>
      <c r="Y33" s="14" t="n">
        <v>0.06</v>
      </c>
      <c r="Z33" s="15" t="inlineStr">
        <is>
          <t>-</t>
        </is>
      </c>
      <c r="AA33" s="14" t="n">
        <v>0.01</v>
      </c>
      <c r="AB33" s="15" t="inlineStr">
        <is>
          <t>-</t>
        </is>
      </c>
      <c r="AC33" s="14" t="n">
        <v>0.05</v>
      </c>
      <c r="AD33" s="14" t="n">
        <v>0.03</v>
      </c>
      <c r="AE33" s="14" t="n">
        <v>0.01</v>
      </c>
      <c r="AF33" s="14" t="n">
        <v>0.02</v>
      </c>
    </row>
    <row r="34">
      <c r="A34" s="20" t="n"/>
      <c r="B34" s="11" t="inlineStr">
        <is>
          <t>Ne sait pas</t>
        </is>
      </c>
      <c r="C34" s="12" t="n">
        <v>626</v>
      </c>
      <c r="D34" s="12" t="n">
        <v>8</v>
      </c>
      <c r="E34" s="12" t="n">
        <v>9</v>
      </c>
      <c r="F34" s="12" t="n">
        <v>33</v>
      </c>
      <c r="G34" s="12" t="n">
        <v>38</v>
      </c>
      <c r="H34" s="12" t="n">
        <v>17</v>
      </c>
      <c r="I34" s="12" t="n">
        <v>19</v>
      </c>
      <c r="J34" s="12" t="n">
        <v>2</v>
      </c>
      <c r="K34" s="12" t="n">
        <v>65</v>
      </c>
      <c r="L34" s="12" t="n">
        <v>42</v>
      </c>
      <c r="M34" s="12" t="n">
        <v>2</v>
      </c>
      <c r="N34" s="12" t="n">
        <v>50</v>
      </c>
      <c r="O34" s="12" t="n">
        <v>53</v>
      </c>
      <c r="P34" s="12" t="n">
        <v>7</v>
      </c>
      <c r="Q34" s="12" t="n">
        <v>5</v>
      </c>
      <c r="R34" s="12" t="n">
        <v>21</v>
      </c>
      <c r="S34" s="12" t="n">
        <v>73</v>
      </c>
      <c r="T34" s="12" t="n">
        <v>23</v>
      </c>
      <c r="U34" s="12" t="n">
        <v>9</v>
      </c>
      <c r="V34" s="12" t="n">
        <v>27</v>
      </c>
      <c r="W34" s="12" t="n">
        <v>27</v>
      </c>
      <c r="X34" s="12" t="n">
        <v>15</v>
      </c>
      <c r="Y34" s="12" t="n">
        <v>13</v>
      </c>
      <c r="Z34" s="12" t="n">
        <v>15</v>
      </c>
      <c r="AA34" s="12" t="n">
        <v>12</v>
      </c>
      <c r="AB34" s="12" t="n">
        <v>3</v>
      </c>
      <c r="AC34" s="12" t="n">
        <v>21</v>
      </c>
      <c r="AD34" s="12" t="n">
        <v>16</v>
      </c>
      <c r="AE34" s="12" t="n">
        <v>31</v>
      </c>
      <c r="AF34" s="12" t="n">
        <v>41</v>
      </c>
    </row>
    <row r="35">
      <c r="A35" s="23" t="n"/>
      <c r="B35" s="13" t="inlineStr">
        <is>
          <t>Don’t know</t>
        </is>
      </c>
      <c r="C35" s="14" t="n">
        <v>0.02</v>
      </c>
      <c r="D35" s="14" t="n">
        <v>0.01</v>
      </c>
      <c r="E35" s="14" t="n">
        <v>0.01</v>
      </c>
      <c r="F35" s="14" t="n">
        <v>0.03</v>
      </c>
      <c r="G35" s="14" t="n">
        <v>0.04</v>
      </c>
      <c r="H35" s="14" t="n">
        <v>0.01</v>
      </c>
      <c r="I35" s="14" t="n">
        <v>0.01</v>
      </c>
      <c r="J35" s="14" t="n">
        <v>0.01</v>
      </c>
      <c r="K35" s="14" t="n">
        <v>0.07000000000000001</v>
      </c>
      <c r="L35" s="14" t="n">
        <v>0.04</v>
      </c>
      <c r="M35" s="15" t="inlineStr">
        <is>
          <t>-</t>
        </is>
      </c>
      <c r="N35" s="14" t="n">
        <v>0.05</v>
      </c>
      <c r="O35" s="14" t="n">
        <v>0.05</v>
      </c>
      <c r="P35" s="14" t="n">
        <v>0.01</v>
      </c>
      <c r="Q35" s="15" t="inlineStr">
        <is>
          <t>-</t>
        </is>
      </c>
      <c r="R35" s="14" t="n">
        <v>0.04</v>
      </c>
      <c r="S35" s="14" t="n">
        <v>0.07000000000000001</v>
      </c>
      <c r="T35" s="14" t="n">
        <v>0.02</v>
      </c>
      <c r="U35" s="14" t="n">
        <v>0.02</v>
      </c>
      <c r="V35" s="14" t="n">
        <v>0.03</v>
      </c>
      <c r="W35" s="14" t="n">
        <v>0.06</v>
      </c>
      <c r="X35" s="14" t="n">
        <v>0.01</v>
      </c>
      <c r="Y35" s="14" t="n">
        <v>0.01</v>
      </c>
      <c r="Z35" s="14" t="n">
        <v>0.01</v>
      </c>
      <c r="AA35" s="14" t="n">
        <v>0.01</v>
      </c>
      <c r="AB35" s="15" t="inlineStr">
        <is>
          <t>-</t>
        </is>
      </c>
      <c r="AC35" s="14" t="n">
        <v>0.02</v>
      </c>
      <c r="AD35" s="14" t="n">
        <v>0.02</v>
      </c>
      <c r="AE35" s="14" t="n">
        <v>0.03</v>
      </c>
      <c r="AF35" s="14" t="n">
        <v>0.04</v>
      </c>
    </row>
  </sheetData>
  <mergeCells count="9">
    <mergeCell ref="B4:F4"/>
    <mergeCell ref="H3:L3"/>
    <mergeCell ref="C8:AF8"/>
    <mergeCell ref="B3:F3"/>
    <mergeCell ref="B5:F5"/>
    <mergeCell ref="H5:L5"/>
    <mergeCell ref="B10:B11"/>
    <mergeCell ref="H4:L4"/>
    <mergeCell ref="A10:A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F35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24" customHeight="1" s="18">
      <c r="B3" s="21" t="inlineStr">
        <is>
          <t>QA6ab. Quels sentiments décrivent le mieux votre état émotionnel actuel ? En premier ? Et ensuite ? (4 RÉPONSES MAX.)</t>
        </is>
      </c>
      <c r="H3" s="21" t="inlineStr">
        <is>
          <t>QA6ab. What feelings best describe your current emotional state? Firstly? And then? (MAX. 4 ANSWERS)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HYPERLINK("#Content!A17","&lt;&lt;Back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Espoir</t>
        </is>
      </c>
      <c r="C12" s="12" t="n">
        <v>11492</v>
      </c>
      <c r="D12" s="12" t="n">
        <v>404</v>
      </c>
      <c r="E12" s="12" t="n">
        <v>508</v>
      </c>
      <c r="F12" s="12" t="n">
        <v>428</v>
      </c>
      <c r="G12" s="12" t="n">
        <v>559</v>
      </c>
      <c r="H12" s="12" t="n">
        <v>550</v>
      </c>
      <c r="I12" s="12" t="n">
        <v>664</v>
      </c>
      <c r="J12" s="12" t="n">
        <v>113</v>
      </c>
      <c r="K12" s="12" t="n">
        <v>410</v>
      </c>
      <c r="L12" s="12" t="n">
        <v>465</v>
      </c>
      <c r="M12" s="12" t="n">
        <v>365</v>
      </c>
      <c r="N12" s="12" t="n">
        <v>403</v>
      </c>
      <c r="O12" s="12" t="n">
        <v>385</v>
      </c>
      <c r="P12" s="12" t="n">
        <v>509</v>
      </c>
      <c r="Q12" s="12" t="n">
        <v>496</v>
      </c>
      <c r="R12" s="12" t="n">
        <v>198</v>
      </c>
      <c r="S12" s="12" t="n">
        <v>469</v>
      </c>
      <c r="T12" s="12" t="n">
        <v>412</v>
      </c>
      <c r="U12" s="12" t="n">
        <v>248</v>
      </c>
      <c r="V12" s="12" t="n">
        <v>584</v>
      </c>
      <c r="W12" s="12" t="n">
        <v>211</v>
      </c>
      <c r="X12" s="12" t="n">
        <v>424</v>
      </c>
      <c r="Y12" s="12" t="n">
        <v>370</v>
      </c>
      <c r="Z12" s="12" t="n">
        <v>424</v>
      </c>
      <c r="AA12" s="12" t="n">
        <v>500</v>
      </c>
      <c r="AB12" s="12" t="n">
        <v>507</v>
      </c>
      <c r="AC12" s="12" t="n">
        <v>494</v>
      </c>
      <c r="AD12" s="12" t="n">
        <v>489</v>
      </c>
      <c r="AE12" s="12" t="n">
        <v>518</v>
      </c>
      <c r="AF12" s="12" t="n">
        <v>471</v>
      </c>
    </row>
    <row r="13">
      <c r="A13" s="20" t="n"/>
      <c r="B13" s="13" t="inlineStr">
        <is>
          <t>Hope</t>
        </is>
      </c>
      <c r="C13" s="14" t="n">
        <v>0.43</v>
      </c>
      <c r="D13" s="14" t="n">
        <v>0.4</v>
      </c>
      <c r="E13" s="14" t="n">
        <v>0.5</v>
      </c>
      <c r="F13" s="14" t="n">
        <v>0.41</v>
      </c>
      <c r="G13" s="14" t="n">
        <v>0.55</v>
      </c>
      <c r="H13" s="14" t="n">
        <v>0.45</v>
      </c>
      <c r="I13" s="14" t="n">
        <v>0.44</v>
      </c>
      <c r="J13" s="14" t="n">
        <v>0.39</v>
      </c>
      <c r="K13" s="14" t="n">
        <v>0.41</v>
      </c>
      <c r="L13" s="14" t="n">
        <v>0.46</v>
      </c>
      <c r="M13" s="14" t="n">
        <v>0.36</v>
      </c>
      <c r="N13" s="14" t="n">
        <v>0.4</v>
      </c>
      <c r="O13" s="14" t="n">
        <v>0.38</v>
      </c>
      <c r="P13" s="14" t="n">
        <v>0.51</v>
      </c>
      <c r="Q13" s="14" t="n">
        <v>0.48</v>
      </c>
      <c r="R13" s="14" t="n">
        <v>0.39</v>
      </c>
      <c r="S13" s="14" t="n">
        <v>0.47</v>
      </c>
      <c r="T13" s="14" t="n">
        <v>0.4</v>
      </c>
      <c r="U13" s="14" t="n">
        <v>0.49</v>
      </c>
      <c r="V13" s="14" t="n">
        <v>0.5700000000000001</v>
      </c>
      <c r="W13" s="14" t="n">
        <v>0.42</v>
      </c>
      <c r="X13" s="14" t="n">
        <v>0.41</v>
      </c>
      <c r="Y13" s="14" t="n">
        <v>0.37</v>
      </c>
      <c r="Z13" s="14" t="n">
        <v>0.42</v>
      </c>
      <c r="AA13" s="14" t="n">
        <v>0.48</v>
      </c>
      <c r="AB13" s="14" t="n">
        <v>0.49</v>
      </c>
      <c r="AC13" s="14" t="n">
        <v>0.49</v>
      </c>
      <c r="AD13" s="14" t="n">
        <v>0.49</v>
      </c>
      <c r="AE13" s="14" t="n">
        <v>0.51</v>
      </c>
      <c r="AF13" s="14" t="n">
        <v>0.45</v>
      </c>
    </row>
    <row r="14">
      <c r="A14" s="20" t="n"/>
      <c r="B14" s="11" t="inlineStr">
        <is>
          <t>Anxiété</t>
        </is>
      </c>
      <c r="C14" s="12" t="n">
        <v>5679</v>
      </c>
      <c r="D14" s="12" t="n">
        <v>250</v>
      </c>
      <c r="E14" s="12" t="n">
        <v>329</v>
      </c>
      <c r="F14" s="12" t="n">
        <v>128</v>
      </c>
      <c r="G14" s="12" t="n">
        <v>69</v>
      </c>
      <c r="H14" s="12" t="n">
        <v>176</v>
      </c>
      <c r="I14" s="12" t="n">
        <v>244</v>
      </c>
      <c r="J14" s="12" t="n">
        <v>68</v>
      </c>
      <c r="K14" s="12" t="n">
        <v>298</v>
      </c>
      <c r="L14" s="12" t="n">
        <v>169</v>
      </c>
      <c r="M14" s="12" t="n">
        <v>508</v>
      </c>
      <c r="N14" s="12" t="n">
        <v>86</v>
      </c>
      <c r="O14" s="12" t="n">
        <v>302</v>
      </c>
      <c r="P14" s="12" t="n">
        <v>187</v>
      </c>
      <c r="Q14" s="12" t="n">
        <v>341</v>
      </c>
      <c r="R14" s="12" t="n">
        <v>191</v>
      </c>
      <c r="S14" s="12" t="n">
        <v>220</v>
      </c>
      <c r="T14" s="12" t="n">
        <v>324</v>
      </c>
      <c r="U14" s="12" t="n">
        <v>115</v>
      </c>
      <c r="V14" s="12" t="n">
        <v>141</v>
      </c>
      <c r="W14" s="12" t="n">
        <v>149</v>
      </c>
      <c r="X14" s="12" t="n">
        <v>90</v>
      </c>
      <c r="Y14" s="12" t="n">
        <v>248</v>
      </c>
      <c r="Z14" s="12" t="n">
        <v>256</v>
      </c>
      <c r="AA14" s="12" t="n">
        <v>344</v>
      </c>
      <c r="AB14" s="12" t="n">
        <v>162</v>
      </c>
      <c r="AC14" s="12" t="n">
        <v>89</v>
      </c>
      <c r="AD14" s="12" t="n">
        <v>103</v>
      </c>
      <c r="AE14" s="12" t="n">
        <v>82</v>
      </c>
      <c r="AF14" s="12" t="n">
        <v>84</v>
      </c>
    </row>
    <row r="15">
      <c r="A15" s="20" t="n"/>
      <c r="B15" s="13" t="inlineStr">
        <is>
          <t>Anxiety</t>
        </is>
      </c>
      <c r="C15" s="14" t="n">
        <v>0.21</v>
      </c>
      <c r="D15" s="14" t="n">
        <v>0.24</v>
      </c>
      <c r="E15" s="14" t="n">
        <v>0.32</v>
      </c>
      <c r="F15" s="14" t="n">
        <v>0.12</v>
      </c>
      <c r="G15" s="14" t="n">
        <v>0.07000000000000001</v>
      </c>
      <c r="H15" s="14" t="n">
        <v>0.15</v>
      </c>
      <c r="I15" s="14" t="n">
        <v>0.16</v>
      </c>
      <c r="J15" s="14" t="n">
        <v>0.23</v>
      </c>
      <c r="K15" s="14" t="n">
        <v>0.3</v>
      </c>
      <c r="L15" s="14" t="n">
        <v>0.17</v>
      </c>
      <c r="M15" s="14" t="n">
        <v>0.5</v>
      </c>
      <c r="N15" s="14" t="n">
        <v>0.09</v>
      </c>
      <c r="O15" s="14" t="n">
        <v>0.3</v>
      </c>
      <c r="P15" s="14" t="n">
        <v>0.19</v>
      </c>
      <c r="Q15" s="14" t="n">
        <v>0.33</v>
      </c>
      <c r="R15" s="14" t="n">
        <v>0.38</v>
      </c>
      <c r="S15" s="14" t="n">
        <v>0.22</v>
      </c>
      <c r="T15" s="14" t="n">
        <v>0.32</v>
      </c>
      <c r="U15" s="14" t="n">
        <v>0.23</v>
      </c>
      <c r="V15" s="14" t="n">
        <v>0.14</v>
      </c>
      <c r="W15" s="14" t="n">
        <v>0.3</v>
      </c>
      <c r="X15" s="14" t="n">
        <v>0.09</v>
      </c>
      <c r="Y15" s="14" t="n">
        <v>0.25</v>
      </c>
      <c r="Z15" s="14" t="n">
        <v>0.25</v>
      </c>
      <c r="AA15" s="14" t="n">
        <v>0.33</v>
      </c>
      <c r="AB15" s="14" t="n">
        <v>0.15</v>
      </c>
      <c r="AC15" s="14" t="n">
        <v>0.09</v>
      </c>
      <c r="AD15" s="14" t="n">
        <v>0.1</v>
      </c>
      <c r="AE15" s="14" t="n">
        <v>0.08</v>
      </c>
      <c r="AF15" s="14" t="n">
        <v>0.08</v>
      </c>
    </row>
    <row r="16">
      <c r="A16" s="20" t="n"/>
      <c r="B16" s="11" t="inlineStr">
        <is>
          <t>Incertitude</t>
        </is>
      </c>
      <c r="C16" s="12" t="n">
        <v>11672</v>
      </c>
      <c r="D16" s="12" t="n">
        <v>529</v>
      </c>
      <c r="E16" s="12" t="n">
        <v>363</v>
      </c>
      <c r="F16" s="12" t="n">
        <v>391</v>
      </c>
      <c r="G16" s="12" t="n">
        <v>402</v>
      </c>
      <c r="H16" s="12" t="n">
        <v>530</v>
      </c>
      <c r="I16" s="12" t="n">
        <v>672</v>
      </c>
      <c r="J16" s="12" t="n">
        <v>142</v>
      </c>
      <c r="K16" s="12" t="n">
        <v>383</v>
      </c>
      <c r="L16" s="12" t="n">
        <v>418</v>
      </c>
      <c r="M16" s="12" t="n">
        <v>594</v>
      </c>
      <c r="N16" s="12" t="n">
        <v>381</v>
      </c>
      <c r="O16" s="12" t="n">
        <v>536</v>
      </c>
      <c r="P16" s="12" t="n">
        <v>313</v>
      </c>
      <c r="Q16" s="12" t="n">
        <v>580</v>
      </c>
      <c r="R16" s="12" t="n">
        <v>281</v>
      </c>
      <c r="S16" s="12" t="n">
        <v>393</v>
      </c>
      <c r="T16" s="12" t="n">
        <v>380</v>
      </c>
      <c r="U16" s="12" t="n">
        <v>211</v>
      </c>
      <c r="V16" s="12" t="n">
        <v>283</v>
      </c>
      <c r="W16" s="12" t="n">
        <v>146</v>
      </c>
      <c r="X16" s="12" t="n">
        <v>392</v>
      </c>
      <c r="Y16" s="12" t="n">
        <v>435</v>
      </c>
      <c r="Z16" s="12" t="n">
        <v>297</v>
      </c>
      <c r="AA16" s="12" t="n">
        <v>502</v>
      </c>
      <c r="AB16" s="12" t="n">
        <v>383</v>
      </c>
      <c r="AC16" s="12" t="n">
        <v>312</v>
      </c>
      <c r="AD16" s="12" t="n">
        <v>420</v>
      </c>
      <c r="AE16" s="12" t="n">
        <v>462</v>
      </c>
      <c r="AF16" s="12" t="n">
        <v>378</v>
      </c>
    </row>
    <row r="17">
      <c r="A17" s="20" t="n"/>
      <c r="B17" s="13" t="inlineStr">
        <is>
          <t>Uncertainty</t>
        </is>
      </c>
      <c r="C17" s="14" t="n">
        <v>0.44</v>
      </c>
      <c r="D17" s="14" t="n">
        <v>0.52</v>
      </c>
      <c r="E17" s="14" t="n">
        <v>0.36</v>
      </c>
      <c r="F17" s="14" t="n">
        <v>0.37</v>
      </c>
      <c r="G17" s="14" t="n">
        <v>0.4</v>
      </c>
      <c r="H17" s="14" t="n">
        <v>0.44</v>
      </c>
      <c r="I17" s="14" t="n">
        <v>0.45</v>
      </c>
      <c r="J17" s="14" t="n">
        <v>0.48</v>
      </c>
      <c r="K17" s="14" t="n">
        <v>0.38</v>
      </c>
      <c r="L17" s="14" t="n">
        <v>0.41</v>
      </c>
      <c r="M17" s="14" t="n">
        <v>0.59</v>
      </c>
      <c r="N17" s="14" t="n">
        <v>0.38</v>
      </c>
      <c r="O17" s="14" t="n">
        <v>0.53</v>
      </c>
      <c r="P17" s="14" t="n">
        <v>0.31</v>
      </c>
      <c r="Q17" s="14" t="n">
        <v>0.5600000000000001</v>
      </c>
      <c r="R17" s="14" t="n">
        <v>0.5600000000000001</v>
      </c>
      <c r="S17" s="14" t="n">
        <v>0.39</v>
      </c>
      <c r="T17" s="14" t="n">
        <v>0.37</v>
      </c>
      <c r="U17" s="14" t="n">
        <v>0.42</v>
      </c>
      <c r="V17" s="14" t="n">
        <v>0.28</v>
      </c>
      <c r="W17" s="14" t="n">
        <v>0.29</v>
      </c>
      <c r="X17" s="14" t="n">
        <v>0.38</v>
      </c>
      <c r="Y17" s="14" t="n">
        <v>0.43</v>
      </c>
      <c r="Z17" s="14" t="n">
        <v>0.29</v>
      </c>
      <c r="AA17" s="14" t="n">
        <v>0.49</v>
      </c>
      <c r="AB17" s="14" t="n">
        <v>0.37</v>
      </c>
      <c r="AC17" s="14" t="n">
        <v>0.31</v>
      </c>
      <c r="AD17" s="14" t="n">
        <v>0.42</v>
      </c>
      <c r="AE17" s="14" t="n">
        <v>0.46</v>
      </c>
      <c r="AF17" s="14" t="n">
        <v>0.36</v>
      </c>
    </row>
    <row r="18">
      <c r="A18" s="20" t="n"/>
      <c r="B18" s="11" t="inlineStr">
        <is>
          <t>Colère</t>
        </is>
      </c>
      <c r="C18" s="12" t="n">
        <v>3996</v>
      </c>
      <c r="D18" s="12" t="n">
        <v>147</v>
      </c>
      <c r="E18" s="12" t="n">
        <v>106</v>
      </c>
      <c r="F18" s="12" t="n">
        <v>105</v>
      </c>
      <c r="G18" s="12" t="n">
        <v>52</v>
      </c>
      <c r="H18" s="12" t="n">
        <v>177</v>
      </c>
      <c r="I18" s="12" t="n">
        <v>236</v>
      </c>
      <c r="J18" s="12" t="n">
        <v>59</v>
      </c>
      <c r="K18" s="12" t="n">
        <v>77</v>
      </c>
      <c r="L18" s="12" t="n">
        <v>103</v>
      </c>
      <c r="M18" s="12" t="n">
        <v>307</v>
      </c>
      <c r="N18" s="12" t="n">
        <v>163</v>
      </c>
      <c r="O18" s="12" t="n">
        <v>206</v>
      </c>
      <c r="P18" s="12" t="n">
        <v>153</v>
      </c>
      <c r="Q18" s="12" t="n">
        <v>209</v>
      </c>
      <c r="R18" s="12" t="n">
        <v>127</v>
      </c>
      <c r="S18" s="12" t="n">
        <v>100</v>
      </c>
      <c r="T18" s="12" t="n">
        <v>101</v>
      </c>
      <c r="U18" s="12" t="n">
        <v>42</v>
      </c>
      <c r="V18" s="12" t="n">
        <v>63</v>
      </c>
      <c r="W18" s="12" t="n">
        <v>42</v>
      </c>
      <c r="X18" s="12" t="n">
        <v>71</v>
      </c>
      <c r="Y18" s="12" t="n">
        <v>240</v>
      </c>
      <c r="Z18" s="12" t="n">
        <v>67</v>
      </c>
      <c r="AA18" s="12" t="n">
        <v>30</v>
      </c>
      <c r="AB18" s="12" t="n">
        <v>172</v>
      </c>
      <c r="AC18" s="12" t="n">
        <v>128</v>
      </c>
      <c r="AD18" s="12" t="n">
        <v>142</v>
      </c>
      <c r="AE18" s="12" t="n">
        <v>26</v>
      </c>
      <c r="AF18" s="12" t="n">
        <v>91</v>
      </c>
    </row>
    <row r="19">
      <c r="A19" s="20" t="n"/>
      <c r="B19" s="13" t="inlineStr">
        <is>
          <t>Anger</t>
        </is>
      </c>
      <c r="C19" s="14" t="n">
        <v>0.15</v>
      </c>
      <c r="D19" s="14" t="n">
        <v>0.14</v>
      </c>
      <c r="E19" s="14" t="n">
        <v>0.1</v>
      </c>
      <c r="F19" s="14" t="n">
        <v>0.1</v>
      </c>
      <c r="G19" s="14" t="n">
        <v>0.05</v>
      </c>
      <c r="H19" s="14" t="n">
        <v>0.15</v>
      </c>
      <c r="I19" s="14" t="n">
        <v>0.16</v>
      </c>
      <c r="J19" s="14" t="n">
        <v>0.2</v>
      </c>
      <c r="K19" s="14" t="n">
        <v>0.08</v>
      </c>
      <c r="L19" s="14" t="n">
        <v>0.1</v>
      </c>
      <c r="M19" s="14" t="n">
        <v>0.31</v>
      </c>
      <c r="N19" s="14" t="n">
        <v>0.16</v>
      </c>
      <c r="O19" s="14" t="n">
        <v>0.2</v>
      </c>
      <c r="P19" s="14" t="n">
        <v>0.15</v>
      </c>
      <c r="Q19" s="14" t="n">
        <v>0.2</v>
      </c>
      <c r="R19" s="14" t="n">
        <v>0.25</v>
      </c>
      <c r="S19" s="14" t="n">
        <v>0.1</v>
      </c>
      <c r="T19" s="14" t="n">
        <v>0.1</v>
      </c>
      <c r="U19" s="14" t="n">
        <v>0.08</v>
      </c>
      <c r="V19" s="14" t="n">
        <v>0.06</v>
      </c>
      <c r="W19" s="14" t="n">
        <v>0.08</v>
      </c>
      <c r="X19" s="14" t="n">
        <v>0.07000000000000001</v>
      </c>
      <c r="Y19" s="14" t="n">
        <v>0.24</v>
      </c>
      <c r="Z19" s="14" t="n">
        <v>0.07000000000000001</v>
      </c>
      <c r="AA19" s="14" t="n">
        <v>0.03</v>
      </c>
      <c r="AB19" s="14" t="n">
        <v>0.16</v>
      </c>
      <c r="AC19" s="14" t="n">
        <v>0.13</v>
      </c>
      <c r="AD19" s="14" t="n">
        <v>0.14</v>
      </c>
      <c r="AE19" s="14" t="n">
        <v>0.03</v>
      </c>
      <c r="AF19" s="14" t="n">
        <v>0.09</v>
      </c>
    </row>
    <row r="20">
      <c r="A20" s="20" t="n"/>
      <c r="B20" s="11" t="inlineStr">
        <is>
          <t>Frustration</t>
        </is>
      </c>
      <c r="C20" s="12" t="n">
        <v>6138</v>
      </c>
      <c r="D20" s="12" t="n">
        <v>296</v>
      </c>
      <c r="E20" s="12" t="n">
        <v>252</v>
      </c>
      <c r="F20" s="12" t="n">
        <v>121</v>
      </c>
      <c r="G20" s="12" t="n">
        <v>260</v>
      </c>
      <c r="H20" s="12" t="n">
        <v>348</v>
      </c>
      <c r="I20" s="12" t="n">
        <v>462</v>
      </c>
      <c r="J20" s="12" t="n">
        <v>114</v>
      </c>
      <c r="K20" s="12" t="n">
        <v>159</v>
      </c>
      <c r="L20" s="12" t="n">
        <v>279</v>
      </c>
      <c r="M20" s="12" t="n">
        <v>481</v>
      </c>
      <c r="N20" s="12" t="n">
        <v>170</v>
      </c>
      <c r="O20" s="12" t="n">
        <v>241</v>
      </c>
      <c r="P20" s="12" t="n">
        <v>170</v>
      </c>
      <c r="Q20" s="12" t="n">
        <v>227</v>
      </c>
      <c r="R20" s="12" t="n">
        <v>212</v>
      </c>
      <c r="S20" s="12" t="n">
        <v>160</v>
      </c>
      <c r="T20" s="12" t="n">
        <v>214</v>
      </c>
      <c r="U20" s="12" t="n">
        <v>94</v>
      </c>
      <c r="V20" s="12" t="n">
        <v>174</v>
      </c>
      <c r="W20" s="12" t="n">
        <v>108</v>
      </c>
      <c r="X20" s="12" t="n">
        <v>255</v>
      </c>
      <c r="Y20" s="12" t="n">
        <v>321</v>
      </c>
      <c r="Z20" s="12" t="n">
        <v>86</v>
      </c>
      <c r="AA20" s="12" t="n">
        <v>130</v>
      </c>
      <c r="AB20" s="12" t="n">
        <v>238</v>
      </c>
      <c r="AC20" s="12" t="n">
        <v>80</v>
      </c>
      <c r="AD20" s="12" t="n">
        <v>158</v>
      </c>
      <c r="AE20" s="12" t="n">
        <v>339</v>
      </c>
      <c r="AF20" s="12" t="n">
        <v>387</v>
      </c>
    </row>
    <row r="21">
      <c r="A21" s="20" t="n"/>
      <c r="B21" s="13" t="inlineStr">
        <is>
          <t>Frustration</t>
        </is>
      </c>
      <c r="C21" s="14" t="n">
        <v>0.23</v>
      </c>
      <c r="D21" s="14" t="n">
        <v>0.29</v>
      </c>
      <c r="E21" s="14" t="n">
        <v>0.25</v>
      </c>
      <c r="F21" s="14" t="n">
        <v>0.12</v>
      </c>
      <c r="G21" s="14" t="n">
        <v>0.26</v>
      </c>
      <c r="H21" s="14" t="n">
        <v>0.29</v>
      </c>
      <c r="I21" s="14" t="n">
        <v>0.31</v>
      </c>
      <c r="J21" s="14" t="n">
        <v>0.39</v>
      </c>
      <c r="K21" s="14" t="n">
        <v>0.16</v>
      </c>
      <c r="L21" s="14" t="n">
        <v>0.28</v>
      </c>
      <c r="M21" s="14" t="n">
        <v>0.48</v>
      </c>
      <c r="N21" s="14" t="n">
        <v>0.17</v>
      </c>
      <c r="O21" s="14" t="n">
        <v>0.24</v>
      </c>
      <c r="P21" s="14" t="n">
        <v>0.17</v>
      </c>
      <c r="Q21" s="14" t="n">
        <v>0.22</v>
      </c>
      <c r="R21" s="14" t="n">
        <v>0.42</v>
      </c>
      <c r="S21" s="14" t="n">
        <v>0.16</v>
      </c>
      <c r="T21" s="14" t="n">
        <v>0.21</v>
      </c>
      <c r="U21" s="14" t="n">
        <v>0.18</v>
      </c>
      <c r="V21" s="14" t="n">
        <v>0.17</v>
      </c>
      <c r="W21" s="14" t="n">
        <v>0.21</v>
      </c>
      <c r="X21" s="14" t="n">
        <v>0.25</v>
      </c>
      <c r="Y21" s="14" t="n">
        <v>0.32</v>
      </c>
      <c r="Z21" s="14" t="n">
        <v>0.08</v>
      </c>
      <c r="AA21" s="14" t="n">
        <v>0.13</v>
      </c>
      <c r="AB21" s="14" t="n">
        <v>0.23</v>
      </c>
      <c r="AC21" s="14" t="n">
        <v>0.08</v>
      </c>
      <c r="AD21" s="14" t="n">
        <v>0.16</v>
      </c>
      <c r="AE21" s="14" t="n">
        <v>0.33</v>
      </c>
      <c r="AF21" s="14" t="n">
        <v>0.37</v>
      </c>
    </row>
    <row r="22">
      <c r="A22" s="20" t="n"/>
      <c r="B22" s="11" t="inlineStr">
        <is>
          <t>Impuissance</t>
        </is>
      </c>
      <c r="C22" s="12" t="n">
        <v>6015</v>
      </c>
      <c r="D22" s="12" t="n">
        <v>233</v>
      </c>
      <c r="E22" s="12" t="n">
        <v>135</v>
      </c>
      <c r="F22" s="12" t="n">
        <v>193</v>
      </c>
      <c r="G22" s="12" t="n">
        <v>78</v>
      </c>
      <c r="H22" s="12" t="n">
        <v>259</v>
      </c>
      <c r="I22" s="12" t="n">
        <v>333</v>
      </c>
      <c r="J22" s="12" t="n">
        <v>74</v>
      </c>
      <c r="K22" s="12" t="n">
        <v>137</v>
      </c>
      <c r="L22" s="12" t="n">
        <v>112</v>
      </c>
      <c r="M22" s="12" t="n">
        <v>165</v>
      </c>
      <c r="N22" s="12" t="n">
        <v>167</v>
      </c>
      <c r="O22" s="12" t="n">
        <v>347</v>
      </c>
      <c r="P22" s="12" t="n">
        <v>233</v>
      </c>
      <c r="Q22" s="12" t="n">
        <v>398</v>
      </c>
      <c r="R22" s="12" t="n">
        <v>68</v>
      </c>
      <c r="S22" s="12" t="n">
        <v>105</v>
      </c>
      <c r="T22" s="12" t="n">
        <v>137</v>
      </c>
      <c r="U22" s="12" t="n">
        <v>106</v>
      </c>
      <c r="V22" s="12" t="n">
        <v>128</v>
      </c>
      <c r="W22" s="12" t="n">
        <v>26</v>
      </c>
      <c r="X22" s="12" t="n">
        <v>69</v>
      </c>
      <c r="Y22" s="12" t="n">
        <v>260</v>
      </c>
      <c r="Z22" s="12" t="n">
        <v>135</v>
      </c>
      <c r="AA22" s="12" t="n">
        <v>76</v>
      </c>
      <c r="AB22" s="12" t="n">
        <v>305</v>
      </c>
      <c r="AC22" s="12" t="n">
        <v>182</v>
      </c>
      <c r="AD22" s="12" t="n">
        <v>200</v>
      </c>
      <c r="AE22" s="12" t="n">
        <v>106</v>
      </c>
      <c r="AF22" s="12" t="n">
        <v>122</v>
      </c>
    </row>
    <row r="23">
      <c r="A23" s="20" t="n"/>
      <c r="B23" s="13" t="inlineStr">
        <is>
          <t>Helplessness</t>
        </is>
      </c>
      <c r="C23" s="14" t="n">
        <v>0.23</v>
      </c>
      <c r="D23" s="14" t="n">
        <v>0.23</v>
      </c>
      <c r="E23" s="14" t="n">
        <v>0.13</v>
      </c>
      <c r="F23" s="14" t="n">
        <v>0.18</v>
      </c>
      <c r="G23" s="14" t="n">
        <v>0.08</v>
      </c>
      <c r="H23" s="14" t="n">
        <v>0.21</v>
      </c>
      <c r="I23" s="14" t="n">
        <v>0.22</v>
      </c>
      <c r="J23" s="14" t="n">
        <v>0.25</v>
      </c>
      <c r="K23" s="14" t="n">
        <v>0.14</v>
      </c>
      <c r="L23" s="14" t="n">
        <v>0.11</v>
      </c>
      <c r="M23" s="14" t="n">
        <v>0.16</v>
      </c>
      <c r="N23" s="14" t="n">
        <v>0.17</v>
      </c>
      <c r="O23" s="14" t="n">
        <v>0.34</v>
      </c>
      <c r="P23" s="14" t="n">
        <v>0.23</v>
      </c>
      <c r="Q23" s="14" t="n">
        <v>0.39</v>
      </c>
      <c r="R23" s="14" t="n">
        <v>0.14</v>
      </c>
      <c r="S23" s="14" t="n">
        <v>0.1</v>
      </c>
      <c r="T23" s="14" t="n">
        <v>0.13</v>
      </c>
      <c r="U23" s="14" t="n">
        <v>0.21</v>
      </c>
      <c r="V23" s="14" t="n">
        <v>0.13</v>
      </c>
      <c r="W23" s="14" t="n">
        <v>0.05</v>
      </c>
      <c r="X23" s="14" t="n">
        <v>0.07000000000000001</v>
      </c>
      <c r="Y23" s="14" t="n">
        <v>0.26</v>
      </c>
      <c r="Z23" s="14" t="n">
        <v>0.13</v>
      </c>
      <c r="AA23" s="14" t="n">
        <v>0.07000000000000001</v>
      </c>
      <c r="AB23" s="14" t="n">
        <v>0.29</v>
      </c>
      <c r="AC23" s="14" t="n">
        <v>0.18</v>
      </c>
      <c r="AD23" s="14" t="n">
        <v>0.2</v>
      </c>
      <c r="AE23" s="14" t="n">
        <v>0.1</v>
      </c>
      <c r="AF23" s="14" t="n">
        <v>0.12</v>
      </c>
    </row>
    <row r="24">
      <c r="A24" s="20" t="n"/>
      <c r="B24" s="11" t="inlineStr">
        <is>
          <t>Confiance</t>
        </is>
      </c>
      <c r="C24" s="12" t="n">
        <v>8758</v>
      </c>
      <c r="D24" s="12" t="n">
        <v>307</v>
      </c>
      <c r="E24" s="12" t="n">
        <v>357</v>
      </c>
      <c r="F24" s="12" t="n">
        <v>323</v>
      </c>
      <c r="G24" s="12" t="n">
        <v>473</v>
      </c>
      <c r="H24" s="12" t="n">
        <v>469</v>
      </c>
      <c r="I24" s="12" t="n">
        <v>580</v>
      </c>
      <c r="J24" s="12" t="n">
        <v>112</v>
      </c>
      <c r="K24" s="12" t="n">
        <v>232</v>
      </c>
      <c r="L24" s="12" t="n">
        <v>338</v>
      </c>
      <c r="M24" s="12" t="n">
        <v>152</v>
      </c>
      <c r="N24" s="12" t="n">
        <v>382</v>
      </c>
      <c r="O24" s="12" t="n">
        <v>244</v>
      </c>
      <c r="P24" s="12" t="n">
        <v>378</v>
      </c>
      <c r="Q24" s="12" t="n">
        <v>309</v>
      </c>
      <c r="R24" s="12" t="n">
        <v>77</v>
      </c>
      <c r="S24" s="12" t="n">
        <v>257</v>
      </c>
      <c r="T24" s="12" t="n">
        <v>362</v>
      </c>
      <c r="U24" s="12" t="n">
        <v>220</v>
      </c>
      <c r="V24" s="12" t="n">
        <v>369</v>
      </c>
      <c r="W24" s="12" t="n">
        <v>189</v>
      </c>
      <c r="X24" s="12" t="n">
        <v>472</v>
      </c>
      <c r="Y24" s="12" t="n">
        <v>371</v>
      </c>
      <c r="Z24" s="12" t="n">
        <v>304</v>
      </c>
      <c r="AA24" s="12" t="n">
        <v>444</v>
      </c>
      <c r="AB24" s="12" t="n">
        <v>417</v>
      </c>
      <c r="AC24" s="12" t="n">
        <v>339</v>
      </c>
      <c r="AD24" s="12" t="n">
        <v>289</v>
      </c>
      <c r="AE24" s="12" t="n">
        <v>403</v>
      </c>
      <c r="AF24" s="12" t="n">
        <v>195</v>
      </c>
    </row>
    <row r="25">
      <c r="A25" s="20" t="n"/>
      <c r="B25" s="13" t="inlineStr">
        <is>
          <t>Confidence</t>
        </is>
      </c>
      <c r="C25" s="14" t="n">
        <v>0.33</v>
      </c>
      <c r="D25" s="14" t="n">
        <v>0.3</v>
      </c>
      <c r="E25" s="14" t="n">
        <v>0.35</v>
      </c>
      <c r="F25" s="14" t="n">
        <v>0.31</v>
      </c>
      <c r="G25" s="14" t="n">
        <v>0.47</v>
      </c>
      <c r="H25" s="14" t="n">
        <v>0.39</v>
      </c>
      <c r="I25" s="14" t="n">
        <v>0.38</v>
      </c>
      <c r="J25" s="14" t="n">
        <v>0.38</v>
      </c>
      <c r="K25" s="14" t="n">
        <v>0.23</v>
      </c>
      <c r="L25" s="14" t="n">
        <v>0.33</v>
      </c>
      <c r="M25" s="14" t="n">
        <v>0.15</v>
      </c>
      <c r="N25" s="14" t="n">
        <v>0.38</v>
      </c>
      <c r="O25" s="14" t="n">
        <v>0.24</v>
      </c>
      <c r="P25" s="14" t="n">
        <v>0.38</v>
      </c>
      <c r="Q25" s="14" t="n">
        <v>0.3</v>
      </c>
      <c r="R25" s="14" t="n">
        <v>0.15</v>
      </c>
      <c r="S25" s="14" t="n">
        <v>0.26</v>
      </c>
      <c r="T25" s="14" t="n">
        <v>0.36</v>
      </c>
      <c r="U25" s="14" t="n">
        <v>0.43</v>
      </c>
      <c r="V25" s="14" t="n">
        <v>0.36</v>
      </c>
      <c r="W25" s="14" t="n">
        <v>0.37</v>
      </c>
      <c r="X25" s="14" t="n">
        <v>0.46</v>
      </c>
      <c r="Y25" s="14" t="n">
        <v>0.37</v>
      </c>
      <c r="Z25" s="14" t="n">
        <v>0.3</v>
      </c>
      <c r="AA25" s="14" t="n">
        <v>0.43</v>
      </c>
      <c r="AB25" s="14" t="n">
        <v>0.4</v>
      </c>
      <c r="AC25" s="14" t="n">
        <v>0.34</v>
      </c>
      <c r="AD25" s="14" t="n">
        <v>0.29</v>
      </c>
      <c r="AE25" s="14" t="n">
        <v>0.4</v>
      </c>
      <c r="AF25" s="14" t="n">
        <v>0.19</v>
      </c>
    </row>
    <row r="26">
      <c r="A26" s="20" t="n"/>
      <c r="B26" s="11" t="inlineStr">
        <is>
          <t>Sérénité</t>
        </is>
      </c>
      <c r="C26" s="12" t="n">
        <v>7112</v>
      </c>
      <c r="D26" s="12" t="n">
        <v>277</v>
      </c>
      <c r="E26" s="12" t="n">
        <v>254</v>
      </c>
      <c r="F26" s="12" t="n">
        <v>374</v>
      </c>
      <c r="G26" s="12" t="n">
        <v>358</v>
      </c>
      <c r="H26" s="12" t="n">
        <v>337</v>
      </c>
      <c r="I26" s="12" t="n">
        <v>413</v>
      </c>
      <c r="J26" s="12" t="n">
        <v>77</v>
      </c>
      <c r="K26" s="12" t="n">
        <v>326</v>
      </c>
      <c r="L26" s="12" t="n">
        <v>112</v>
      </c>
      <c r="M26" s="12" t="n">
        <v>240</v>
      </c>
      <c r="N26" s="12" t="n">
        <v>322</v>
      </c>
      <c r="O26" s="12" t="n">
        <v>193</v>
      </c>
      <c r="P26" s="12" t="n">
        <v>179</v>
      </c>
      <c r="Q26" s="12" t="n">
        <v>158</v>
      </c>
      <c r="R26" s="12" t="n">
        <v>119</v>
      </c>
      <c r="S26" s="12" t="n">
        <v>406</v>
      </c>
      <c r="T26" s="12" t="n">
        <v>393</v>
      </c>
      <c r="U26" s="12" t="n">
        <v>166</v>
      </c>
      <c r="V26" s="12" t="n">
        <v>429</v>
      </c>
      <c r="W26" s="12" t="n">
        <v>152</v>
      </c>
      <c r="X26" s="12" t="n">
        <v>524</v>
      </c>
      <c r="Y26" s="12" t="n">
        <v>283</v>
      </c>
      <c r="Z26" s="12" t="n">
        <v>284</v>
      </c>
      <c r="AA26" s="12" t="n">
        <v>277</v>
      </c>
      <c r="AB26" s="12" t="n">
        <v>226</v>
      </c>
      <c r="AC26" s="12" t="n">
        <v>241</v>
      </c>
      <c r="AD26" s="12" t="n">
        <v>287</v>
      </c>
      <c r="AE26" s="12" t="n">
        <v>386</v>
      </c>
      <c r="AF26" s="12" t="n">
        <v>572</v>
      </c>
    </row>
    <row r="27">
      <c r="A27" s="20" t="n"/>
      <c r="B27" s="13" t="inlineStr">
        <is>
          <t>Serenity</t>
        </is>
      </c>
      <c r="C27" s="14" t="n">
        <v>0.27</v>
      </c>
      <c r="D27" s="14" t="n">
        <v>0.27</v>
      </c>
      <c r="E27" s="14" t="n">
        <v>0.25</v>
      </c>
      <c r="F27" s="14" t="n">
        <v>0.36</v>
      </c>
      <c r="G27" s="14" t="n">
        <v>0.36</v>
      </c>
      <c r="H27" s="14" t="n">
        <v>0.28</v>
      </c>
      <c r="I27" s="14" t="n">
        <v>0.27</v>
      </c>
      <c r="J27" s="14" t="n">
        <v>0.26</v>
      </c>
      <c r="K27" s="14" t="n">
        <v>0.32</v>
      </c>
      <c r="L27" s="14" t="n">
        <v>0.11</v>
      </c>
      <c r="M27" s="14" t="n">
        <v>0.24</v>
      </c>
      <c r="N27" s="14" t="n">
        <v>0.32</v>
      </c>
      <c r="O27" s="14" t="n">
        <v>0.19</v>
      </c>
      <c r="P27" s="14" t="n">
        <v>0.18</v>
      </c>
      <c r="Q27" s="14" t="n">
        <v>0.15</v>
      </c>
      <c r="R27" s="14" t="n">
        <v>0.24</v>
      </c>
      <c r="S27" s="14" t="n">
        <v>0.4</v>
      </c>
      <c r="T27" s="14" t="n">
        <v>0.39</v>
      </c>
      <c r="U27" s="14" t="n">
        <v>0.33</v>
      </c>
      <c r="V27" s="14" t="n">
        <v>0.42</v>
      </c>
      <c r="W27" s="14" t="n">
        <v>0.3</v>
      </c>
      <c r="X27" s="14" t="n">
        <v>0.51</v>
      </c>
      <c r="Y27" s="14" t="n">
        <v>0.28</v>
      </c>
      <c r="Z27" s="14" t="n">
        <v>0.28</v>
      </c>
      <c r="AA27" s="14" t="n">
        <v>0.27</v>
      </c>
      <c r="AB27" s="14" t="n">
        <v>0.22</v>
      </c>
      <c r="AC27" s="14" t="n">
        <v>0.24</v>
      </c>
      <c r="AD27" s="14" t="n">
        <v>0.29</v>
      </c>
      <c r="AE27" s="14" t="n">
        <v>0.38</v>
      </c>
      <c r="AF27" s="14" t="n">
        <v>0.55</v>
      </c>
    </row>
    <row r="28">
      <c r="A28" s="20" t="n"/>
      <c r="B28" s="11" t="inlineStr">
        <is>
          <t>Détermination</t>
        </is>
      </c>
      <c r="C28" s="12" t="n">
        <v>5470</v>
      </c>
      <c r="D28" s="12" t="n">
        <v>235</v>
      </c>
      <c r="E28" s="12" t="n">
        <v>255</v>
      </c>
      <c r="F28" s="12" t="n">
        <v>295</v>
      </c>
      <c r="G28" s="12" t="n">
        <v>385</v>
      </c>
      <c r="H28" s="12" t="n">
        <v>199</v>
      </c>
      <c r="I28" s="12" t="n">
        <v>251</v>
      </c>
      <c r="J28" s="12" t="n">
        <v>52</v>
      </c>
      <c r="K28" s="12" t="n">
        <v>284</v>
      </c>
      <c r="L28" s="12" t="n">
        <v>220</v>
      </c>
      <c r="M28" s="12" t="n">
        <v>223</v>
      </c>
      <c r="N28" s="12" t="n">
        <v>132</v>
      </c>
      <c r="O28" s="12" t="n">
        <v>184</v>
      </c>
      <c r="P28" s="12" t="n">
        <v>456</v>
      </c>
      <c r="Q28" s="12" t="n">
        <v>219</v>
      </c>
      <c r="R28" s="12" t="n">
        <v>85</v>
      </c>
      <c r="S28" s="12" t="n">
        <v>332</v>
      </c>
      <c r="T28" s="12" t="n">
        <v>210</v>
      </c>
      <c r="U28" s="12" t="n">
        <v>132</v>
      </c>
      <c r="V28" s="12" t="n">
        <v>307</v>
      </c>
      <c r="W28" s="12" t="n">
        <v>158</v>
      </c>
      <c r="X28" s="12" t="n">
        <v>317</v>
      </c>
      <c r="Y28" s="12" t="n">
        <v>219</v>
      </c>
      <c r="Z28" s="12" t="n">
        <v>157</v>
      </c>
      <c r="AA28" s="12" t="n">
        <v>259</v>
      </c>
      <c r="AB28" s="12" t="n">
        <v>263</v>
      </c>
      <c r="AC28" s="12" t="n">
        <v>352</v>
      </c>
      <c r="AD28" s="12" t="n">
        <v>298</v>
      </c>
      <c r="AE28" s="12" t="n">
        <v>250</v>
      </c>
      <c r="AF28" s="12" t="n">
        <v>354</v>
      </c>
    </row>
    <row r="29">
      <c r="A29" s="20" t="n"/>
      <c r="B29" s="13" t="inlineStr">
        <is>
          <t>Determination</t>
        </is>
      </c>
      <c r="C29" s="14" t="n">
        <v>0.21</v>
      </c>
      <c r="D29" s="14" t="n">
        <v>0.23</v>
      </c>
      <c r="E29" s="14" t="n">
        <v>0.25</v>
      </c>
      <c r="F29" s="14" t="n">
        <v>0.28</v>
      </c>
      <c r="G29" s="14" t="n">
        <v>0.38</v>
      </c>
      <c r="H29" s="14" t="n">
        <v>0.16</v>
      </c>
      <c r="I29" s="14" t="n">
        <v>0.17</v>
      </c>
      <c r="J29" s="14" t="n">
        <v>0.18</v>
      </c>
      <c r="K29" s="14" t="n">
        <v>0.28</v>
      </c>
      <c r="L29" s="14" t="n">
        <v>0.22</v>
      </c>
      <c r="M29" s="14" t="n">
        <v>0.22</v>
      </c>
      <c r="N29" s="14" t="n">
        <v>0.13</v>
      </c>
      <c r="O29" s="14" t="n">
        <v>0.18</v>
      </c>
      <c r="P29" s="14" t="n">
        <v>0.45</v>
      </c>
      <c r="Q29" s="14" t="n">
        <v>0.21</v>
      </c>
      <c r="R29" s="14" t="n">
        <v>0.17</v>
      </c>
      <c r="S29" s="14" t="n">
        <v>0.33</v>
      </c>
      <c r="T29" s="14" t="n">
        <v>0.21</v>
      </c>
      <c r="U29" s="14" t="n">
        <v>0.26</v>
      </c>
      <c r="V29" s="14" t="n">
        <v>0.3</v>
      </c>
      <c r="W29" s="14" t="n">
        <v>0.31</v>
      </c>
      <c r="X29" s="14" t="n">
        <v>0.31</v>
      </c>
      <c r="Y29" s="14" t="n">
        <v>0.22</v>
      </c>
      <c r="Z29" s="14" t="n">
        <v>0.15</v>
      </c>
      <c r="AA29" s="14" t="n">
        <v>0.25</v>
      </c>
      <c r="AB29" s="14" t="n">
        <v>0.25</v>
      </c>
      <c r="AC29" s="14" t="n">
        <v>0.35</v>
      </c>
      <c r="AD29" s="14" t="n">
        <v>0.3</v>
      </c>
      <c r="AE29" s="14" t="n">
        <v>0.25</v>
      </c>
      <c r="AF29" s="14" t="n">
        <v>0.34</v>
      </c>
    </row>
    <row r="30">
      <c r="A30" s="20" t="n"/>
      <c r="B30" s="11" t="inlineStr">
        <is>
          <t>Bonheur</t>
        </is>
      </c>
      <c r="C30" s="12" t="n">
        <v>5734</v>
      </c>
      <c r="D30" s="12" t="n">
        <v>235</v>
      </c>
      <c r="E30" s="12" t="n">
        <v>176</v>
      </c>
      <c r="F30" s="12" t="n">
        <v>202</v>
      </c>
      <c r="G30" s="12" t="n">
        <v>313</v>
      </c>
      <c r="H30" s="12" t="n">
        <v>305</v>
      </c>
      <c r="I30" s="12" t="n">
        <v>367</v>
      </c>
      <c r="J30" s="12" t="n">
        <v>63</v>
      </c>
      <c r="K30" s="12" t="n">
        <v>138</v>
      </c>
      <c r="L30" s="12" t="n">
        <v>362</v>
      </c>
      <c r="M30" s="12" t="n">
        <v>98</v>
      </c>
      <c r="N30" s="12" t="n">
        <v>271</v>
      </c>
      <c r="O30" s="12" t="n">
        <v>155</v>
      </c>
      <c r="P30" s="12" t="n">
        <v>321</v>
      </c>
      <c r="Q30" s="12" t="n">
        <v>104</v>
      </c>
      <c r="R30" s="12" t="n">
        <v>40</v>
      </c>
      <c r="S30" s="12" t="n">
        <v>133</v>
      </c>
      <c r="T30" s="12" t="n">
        <v>192</v>
      </c>
      <c r="U30" s="12" t="n">
        <v>143</v>
      </c>
      <c r="V30" s="12" t="n">
        <v>295</v>
      </c>
      <c r="W30" s="12" t="n">
        <v>119</v>
      </c>
      <c r="X30" s="12" t="n">
        <v>372</v>
      </c>
      <c r="Y30" s="12" t="n">
        <v>295</v>
      </c>
      <c r="Z30" s="12" t="n">
        <v>246</v>
      </c>
      <c r="AA30" s="12" t="n">
        <v>195</v>
      </c>
      <c r="AB30" s="12" t="n">
        <v>182</v>
      </c>
      <c r="AC30" s="12" t="n">
        <v>355</v>
      </c>
      <c r="AD30" s="12" t="n">
        <v>214</v>
      </c>
      <c r="AE30" s="12" t="n">
        <v>352</v>
      </c>
      <c r="AF30" s="12" t="n">
        <v>440</v>
      </c>
    </row>
    <row r="31">
      <c r="A31" s="20" t="n"/>
      <c r="B31" s="13" t="inlineStr">
        <is>
          <t>Happiness</t>
        </is>
      </c>
      <c r="C31" s="14" t="n">
        <v>0.22</v>
      </c>
      <c r="D31" s="14" t="n">
        <v>0.23</v>
      </c>
      <c r="E31" s="14" t="n">
        <v>0.17</v>
      </c>
      <c r="F31" s="14" t="n">
        <v>0.19</v>
      </c>
      <c r="G31" s="14" t="n">
        <v>0.31</v>
      </c>
      <c r="H31" s="14" t="n">
        <v>0.25</v>
      </c>
      <c r="I31" s="14" t="n">
        <v>0.24</v>
      </c>
      <c r="J31" s="14" t="n">
        <v>0.21</v>
      </c>
      <c r="K31" s="14" t="n">
        <v>0.14</v>
      </c>
      <c r="L31" s="14" t="n">
        <v>0.36</v>
      </c>
      <c r="M31" s="14" t="n">
        <v>0.1</v>
      </c>
      <c r="N31" s="14" t="n">
        <v>0.27</v>
      </c>
      <c r="O31" s="14" t="n">
        <v>0.15</v>
      </c>
      <c r="P31" s="14" t="n">
        <v>0.32</v>
      </c>
      <c r="Q31" s="14" t="n">
        <v>0.1</v>
      </c>
      <c r="R31" s="14" t="n">
        <v>0.08</v>
      </c>
      <c r="S31" s="14" t="n">
        <v>0.13</v>
      </c>
      <c r="T31" s="14" t="n">
        <v>0.19</v>
      </c>
      <c r="U31" s="14" t="n">
        <v>0.28</v>
      </c>
      <c r="V31" s="14" t="n">
        <v>0.29</v>
      </c>
      <c r="W31" s="14" t="n">
        <v>0.24</v>
      </c>
      <c r="X31" s="14" t="n">
        <v>0.36</v>
      </c>
      <c r="Y31" s="14" t="n">
        <v>0.29</v>
      </c>
      <c r="Z31" s="14" t="n">
        <v>0.24</v>
      </c>
      <c r="AA31" s="14" t="n">
        <v>0.19</v>
      </c>
      <c r="AB31" s="14" t="n">
        <v>0.17</v>
      </c>
      <c r="AC31" s="14" t="n">
        <v>0.35</v>
      </c>
      <c r="AD31" s="14" t="n">
        <v>0.21</v>
      </c>
      <c r="AE31" s="14" t="n">
        <v>0.35</v>
      </c>
      <c r="AF31" s="14" t="n">
        <v>0.42</v>
      </c>
    </row>
    <row r="32">
      <c r="A32" s="20" t="n"/>
      <c r="B32" s="11" t="inlineStr">
        <is>
          <t>Autre (SPONTANÉ)</t>
        </is>
      </c>
      <c r="C32" s="12" t="n">
        <v>488</v>
      </c>
      <c r="D32" s="12" t="n">
        <v>10</v>
      </c>
      <c r="E32" s="12" t="n">
        <v>4</v>
      </c>
      <c r="F32" s="12" t="n">
        <v>23</v>
      </c>
      <c r="G32" s="12" t="n">
        <v>23</v>
      </c>
      <c r="H32" s="12" t="n">
        <v>49</v>
      </c>
      <c r="I32" s="12" t="n">
        <v>54</v>
      </c>
      <c r="J32" s="12" t="n">
        <v>5</v>
      </c>
      <c r="K32" s="12" t="n">
        <v>96</v>
      </c>
      <c r="L32" s="12" t="n">
        <v>15</v>
      </c>
      <c r="M32" s="12" t="n">
        <v>8</v>
      </c>
      <c r="N32" s="12" t="n">
        <v>20</v>
      </c>
      <c r="O32" s="12" t="n">
        <v>10</v>
      </c>
      <c r="P32" s="12" t="n">
        <v>4</v>
      </c>
      <c r="Q32" s="12" t="n">
        <v>12</v>
      </c>
      <c r="R32" s="12" t="n">
        <v>0</v>
      </c>
      <c r="S32" s="12" t="n">
        <v>16</v>
      </c>
      <c r="T32" s="12" t="n">
        <v>23</v>
      </c>
      <c r="U32" s="12" t="n">
        <v>8</v>
      </c>
      <c r="V32" s="12" t="n">
        <v>10</v>
      </c>
      <c r="W32" s="12" t="n">
        <v>9</v>
      </c>
      <c r="X32" s="12" t="n">
        <v>20</v>
      </c>
      <c r="Y32" s="12" t="n">
        <v>74</v>
      </c>
      <c r="Z32" s="12" t="n">
        <v>4</v>
      </c>
      <c r="AA32" s="12" t="n">
        <v>11</v>
      </c>
      <c r="AB32" s="12" t="n">
        <v>5</v>
      </c>
      <c r="AC32" s="12" t="n">
        <v>51</v>
      </c>
      <c r="AD32" s="12" t="n">
        <v>37</v>
      </c>
      <c r="AE32" s="12" t="n">
        <v>14</v>
      </c>
      <c r="AF32" s="12" t="n">
        <v>18</v>
      </c>
    </row>
    <row r="33">
      <c r="A33" s="20" t="n"/>
      <c r="B33" s="13" t="inlineStr">
        <is>
          <t>Other (SPONTANEOUS)</t>
        </is>
      </c>
      <c r="C33" s="14" t="n">
        <v>0.02</v>
      </c>
      <c r="D33" s="14" t="n">
        <v>0.01</v>
      </c>
      <c r="E33" s="15" t="inlineStr">
        <is>
          <t>-</t>
        </is>
      </c>
      <c r="F33" s="14" t="n">
        <v>0.02</v>
      </c>
      <c r="G33" s="14" t="n">
        <v>0.02</v>
      </c>
      <c r="H33" s="14" t="n">
        <v>0.04</v>
      </c>
      <c r="I33" s="14" t="n">
        <v>0.04</v>
      </c>
      <c r="J33" s="14" t="n">
        <v>0.02</v>
      </c>
      <c r="K33" s="14" t="n">
        <v>0.1</v>
      </c>
      <c r="L33" s="14" t="n">
        <v>0.01</v>
      </c>
      <c r="M33" s="14" t="n">
        <v>0.01</v>
      </c>
      <c r="N33" s="14" t="n">
        <v>0.02</v>
      </c>
      <c r="O33" s="14" t="n">
        <v>0.01</v>
      </c>
      <c r="P33" s="15" t="inlineStr">
        <is>
          <t>-</t>
        </is>
      </c>
      <c r="Q33" s="14" t="n">
        <v>0.01</v>
      </c>
      <c r="R33" s="15" t="inlineStr">
        <is>
          <t>-</t>
        </is>
      </c>
      <c r="S33" s="14" t="n">
        <v>0.02</v>
      </c>
      <c r="T33" s="14" t="n">
        <v>0.02</v>
      </c>
      <c r="U33" s="14" t="n">
        <v>0.02</v>
      </c>
      <c r="V33" s="14" t="n">
        <v>0.01</v>
      </c>
      <c r="W33" s="14" t="n">
        <v>0.02</v>
      </c>
      <c r="X33" s="14" t="n">
        <v>0.02</v>
      </c>
      <c r="Y33" s="14" t="n">
        <v>0.07000000000000001</v>
      </c>
      <c r="Z33" s="15" t="inlineStr">
        <is>
          <t>-</t>
        </is>
      </c>
      <c r="AA33" s="14" t="n">
        <v>0.01</v>
      </c>
      <c r="AB33" s="15" t="inlineStr">
        <is>
          <t>-</t>
        </is>
      </c>
      <c r="AC33" s="14" t="n">
        <v>0.05</v>
      </c>
      <c r="AD33" s="14" t="n">
        <v>0.04</v>
      </c>
      <c r="AE33" s="14" t="n">
        <v>0.01</v>
      </c>
      <c r="AF33" s="14" t="n">
        <v>0.02</v>
      </c>
    </row>
    <row r="34">
      <c r="A34" s="20" t="n"/>
      <c r="B34" s="11" t="inlineStr">
        <is>
          <t>Ne sait pas</t>
        </is>
      </c>
      <c r="C34" s="12" t="n">
        <v>228</v>
      </c>
      <c r="D34" s="12" t="n">
        <v>1</v>
      </c>
      <c r="E34" s="12" t="n">
        <v>15</v>
      </c>
      <c r="F34" s="12" t="n">
        <v>24</v>
      </c>
      <c r="G34" s="12" t="n">
        <v>20</v>
      </c>
      <c r="H34" s="12" t="n">
        <v>2</v>
      </c>
      <c r="I34" s="12" t="n">
        <v>5</v>
      </c>
      <c r="J34" s="12" t="n">
        <v>2</v>
      </c>
      <c r="K34" s="12" t="n">
        <v>22</v>
      </c>
      <c r="L34" s="12" t="n">
        <v>19</v>
      </c>
      <c r="M34" s="12" t="n">
        <v>0</v>
      </c>
      <c r="N34" s="12" t="n">
        <v>5</v>
      </c>
      <c r="O34" s="12" t="n">
        <v>6</v>
      </c>
      <c r="P34" s="12" t="n">
        <v>2</v>
      </c>
      <c r="Q34" s="12" t="n">
        <v>3</v>
      </c>
      <c r="R34" s="12" t="n">
        <v>10</v>
      </c>
      <c r="S34" s="12" t="n">
        <v>7</v>
      </c>
      <c r="T34" s="12" t="n">
        <v>5</v>
      </c>
      <c r="U34" s="12" t="n">
        <v>1</v>
      </c>
      <c r="V34" s="12" t="n">
        <v>5</v>
      </c>
      <c r="W34" s="12" t="n">
        <v>13</v>
      </c>
      <c r="X34" s="12" t="n">
        <v>1</v>
      </c>
      <c r="Y34" s="12" t="n">
        <v>10</v>
      </c>
      <c r="Z34" s="12" t="n">
        <v>45</v>
      </c>
      <c r="AA34" s="12" t="n">
        <v>16</v>
      </c>
      <c r="AB34" s="12" t="n">
        <v>3</v>
      </c>
      <c r="AC34" s="12" t="n">
        <v>5</v>
      </c>
      <c r="AD34" s="12" t="n">
        <v>3</v>
      </c>
      <c r="AE34" s="12" t="n">
        <v>5</v>
      </c>
      <c r="AF34" s="12" t="n">
        <v>8</v>
      </c>
    </row>
    <row r="35">
      <c r="A35" s="23" t="n"/>
      <c r="B35" s="13" t="inlineStr">
        <is>
          <t>Don’t know</t>
        </is>
      </c>
      <c r="C35" s="14" t="n">
        <v>0.01</v>
      </c>
      <c r="D35" s="15" t="inlineStr">
        <is>
          <t>-</t>
        </is>
      </c>
      <c r="E35" s="14" t="n">
        <v>0.01</v>
      </c>
      <c r="F35" s="14" t="n">
        <v>0.02</v>
      </c>
      <c r="G35" s="14" t="n">
        <v>0.02</v>
      </c>
      <c r="H35" s="15" t="inlineStr">
        <is>
          <t>-</t>
        </is>
      </c>
      <c r="I35" s="15" t="inlineStr">
        <is>
          <t>-</t>
        </is>
      </c>
      <c r="J35" s="14" t="n">
        <v>0.01</v>
      </c>
      <c r="K35" s="14" t="n">
        <v>0.02</v>
      </c>
      <c r="L35" s="14" t="n">
        <v>0.02</v>
      </c>
      <c r="M35" s="15" t="inlineStr">
        <is>
          <t>-</t>
        </is>
      </c>
      <c r="N35" s="14" t="n">
        <v>0.01</v>
      </c>
      <c r="O35" s="14" t="n">
        <v>0.01</v>
      </c>
      <c r="P35" s="15" t="inlineStr">
        <is>
          <t>-</t>
        </is>
      </c>
      <c r="Q35" s="15" t="inlineStr">
        <is>
          <t>-</t>
        </is>
      </c>
      <c r="R35" s="14" t="n">
        <v>0.02</v>
      </c>
      <c r="S35" s="14" t="n">
        <v>0.01</v>
      </c>
      <c r="T35" s="14" t="n">
        <v>0.01</v>
      </c>
      <c r="U35" s="15" t="inlineStr">
        <is>
          <t>-</t>
        </is>
      </c>
      <c r="V35" s="15" t="inlineStr">
        <is>
          <t>-</t>
        </is>
      </c>
      <c r="W35" s="14" t="n">
        <v>0.03</v>
      </c>
      <c r="X35" s="15" t="inlineStr">
        <is>
          <t>-</t>
        </is>
      </c>
      <c r="Y35" s="14" t="n">
        <v>0.01</v>
      </c>
      <c r="Z35" s="14" t="n">
        <v>0.04</v>
      </c>
      <c r="AA35" s="14" t="n">
        <v>0.02</v>
      </c>
      <c r="AB35" s="15" t="inlineStr">
        <is>
          <t>-</t>
        </is>
      </c>
      <c r="AC35" s="15" t="inlineStr">
        <is>
          <t>-</t>
        </is>
      </c>
      <c r="AD35" s="15" t="inlineStr">
        <is>
          <t>-</t>
        </is>
      </c>
      <c r="AE35" s="14" t="n">
        <v>0.01</v>
      </c>
      <c r="AF35" s="14" t="n">
        <v>0.01</v>
      </c>
    </row>
  </sheetData>
  <mergeCells count="9">
    <mergeCell ref="B4:F4"/>
    <mergeCell ref="H3:L3"/>
    <mergeCell ref="C8:AF8"/>
    <mergeCell ref="B3:F3"/>
    <mergeCell ref="B5:F5"/>
    <mergeCell ref="H5:L5"/>
    <mergeCell ref="B10:B11"/>
    <mergeCell ref="H4:L4"/>
    <mergeCell ref="A10:A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47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24" customHeight="1" s="18">
      <c r="B3" s="21" t="inlineStr">
        <is>
          <t>QA7a. Parmi les sujets suivants, lesquels souhaiteriez-vous que le Parlement européen traite en priorité ? En premier ?</t>
        </is>
      </c>
      <c r="H3" s="21" t="inlineStr">
        <is>
          <t>QA7a. Which of the following topics would you like to see addressed in priority by the European Parliament? Firstly?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HYPERLINK("#Content!A18","&lt;&lt;Back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La santé publique</t>
        </is>
      </c>
      <c r="C12" s="12" t="n">
        <v>1959</v>
      </c>
      <c r="D12" s="12" t="n">
        <v>58</v>
      </c>
      <c r="E12" s="12" t="n">
        <v>48</v>
      </c>
      <c r="F12" s="12" t="n">
        <v>39</v>
      </c>
      <c r="G12" s="12" t="n">
        <v>50</v>
      </c>
      <c r="H12" s="12" t="n">
        <v>24</v>
      </c>
      <c r="I12" s="12" t="n">
        <v>38</v>
      </c>
      <c r="J12" s="12" t="n">
        <v>14</v>
      </c>
      <c r="K12" s="12" t="n">
        <v>69</v>
      </c>
      <c r="L12" s="12" t="n">
        <v>121</v>
      </c>
      <c r="M12" s="12" t="n">
        <v>117</v>
      </c>
      <c r="N12" s="12" t="n">
        <v>140</v>
      </c>
      <c r="O12" s="12" t="n">
        <v>86</v>
      </c>
      <c r="P12" s="12" t="n">
        <v>63</v>
      </c>
      <c r="Q12" s="12" t="n">
        <v>67</v>
      </c>
      <c r="R12" s="12" t="n">
        <v>41</v>
      </c>
      <c r="S12" s="12" t="n">
        <v>139</v>
      </c>
      <c r="T12" s="12" t="n">
        <v>114</v>
      </c>
      <c r="U12" s="12" t="n">
        <v>31</v>
      </c>
      <c r="V12" s="12" t="n">
        <v>110</v>
      </c>
      <c r="W12" s="12" t="n">
        <v>66</v>
      </c>
      <c r="X12" s="12" t="n">
        <v>30</v>
      </c>
      <c r="Y12" s="12" t="n">
        <v>42</v>
      </c>
      <c r="Z12" s="12" t="n">
        <v>98</v>
      </c>
      <c r="AA12" s="12" t="n">
        <v>212</v>
      </c>
      <c r="AB12" s="12" t="n">
        <v>71</v>
      </c>
      <c r="AC12" s="12" t="n">
        <v>155</v>
      </c>
      <c r="AD12" s="12" t="n">
        <v>71</v>
      </c>
      <c r="AE12" s="12" t="n">
        <v>18</v>
      </c>
      <c r="AF12" s="12" t="n">
        <v>37</v>
      </c>
    </row>
    <row r="13">
      <c r="A13" s="20" t="n"/>
      <c r="B13" s="13" t="inlineStr">
        <is>
          <t>Public health</t>
        </is>
      </c>
      <c r="C13" s="14" t="n">
        <v>0.07000000000000001</v>
      </c>
      <c r="D13" s="14" t="n">
        <v>0.06</v>
      </c>
      <c r="E13" s="14" t="n">
        <v>0.05</v>
      </c>
      <c r="F13" s="14" t="n">
        <v>0.04</v>
      </c>
      <c r="G13" s="14" t="n">
        <v>0.05</v>
      </c>
      <c r="H13" s="14" t="n">
        <v>0.02</v>
      </c>
      <c r="I13" s="14" t="n">
        <v>0.02</v>
      </c>
      <c r="J13" s="14" t="n">
        <v>0.05</v>
      </c>
      <c r="K13" s="14" t="n">
        <v>0.07000000000000001</v>
      </c>
      <c r="L13" s="14" t="n">
        <v>0.12</v>
      </c>
      <c r="M13" s="14" t="n">
        <v>0.12</v>
      </c>
      <c r="N13" s="14" t="n">
        <v>0.14</v>
      </c>
      <c r="O13" s="14" t="n">
        <v>0.08</v>
      </c>
      <c r="P13" s="14" t="n">
        <v>0.06</v>
      </c>
      <c r="Q13" s="14" t="n">
        <v>0.07000000000000001</v>
      </c>
      <c r="R13" s="14" t="n">
        <v>0.08</v>
      </c>
      <c r="S13" s="14" t="n">
        <v>0.14</v>
      </c>
      <c r="T13" s="14" t="n">
        <v>0.11</v>
      </c>
      <c r="U13" s="14" t="n">
        <v>0.06</v>
      </c>
      <c r="V13" s="14" t="n">
        <v>0.11</v>
      </c>
      <c r="W13" s="14" t="n">
        <v>0.13</v>
      </c>
      <c r="X13" s="14" t="n">
        <v>0.03</v>
      </c>
      <c r="Y13" s="14" t="n">
        <v>0.04</v>
      </c>
      <c r="Z13" s="14" t="n">
        <v>0.1</v>
      </c>
      <c r="AA13" s="14" t="n">
        <v>0.21</v>
      </c>
      <c r="AB13" s="14" t="n">
        <v>0.07000000000000001</v>
      </c>
      <c r="AC13" s="14" t="n">
        <v>0.15</v>
      </c>
      <c r="AD13" s="14" t="n">
        <v>0.07000000000000001</v>
      </c>
      <c r="AE13" s="14" t="n">
        <v>0.02</v>
      </c>
      <c r="AF13" s="14" t="n">
        <v>0.04</v>
      </c>
    </row>
    <row r="14">
      <c r="A14" s="20" t="n"/>
      <c r="B14" s="11" t="inlineStr">
        <is>
          <t>L’environnement et le changement climatique</t>
        </is>
      </c>
      <c r="C14" s="12" t="n">
        <v>1496</v>
      </c>
      <c r="D14" s="12" t="n">
        <v>71</v>
      </c>
      <c r="E14" s="12" t="n">
        <v>17</v>
      </c>
      <c r="F14" s="12" t="n">
        <v>34</v>
      </c>
      <c r="G14" s="12" t="n">
        <v>175</v>
      </c>
      <c r="H14" s="12" t="n">
        <v>107</v>
      </c>
      <c r="I14" s="12" t="n">
        <v>121</v>
      </c>
      <c r="J14" s="12" t="n">
        <v>14</v>
      </c>
      <c r="K14" s="12" t="n">
        <v>19</v>
      </c>
      <c r="L14" s="12" t="n">
        <v>46</v>
      </c>
      <c r="M14" s="12" t="n">
        <v>26</v>
      </c>
      <c r="N14" s="12" t="n">
        <v>22</v>
      </c>
      <c r="O14" s="12" t="n">
        <v>66</v>
      </c>
      <c r="P14" s="12" t="n">
        <v>19</v>
      </c>
      <c r="Q14" s="12" t="n">
        <v>50</v>
      </c>
      <c r="R14" s="12" t="n">
        <v>12</v>
      </c>
      <c r="S14" s="12" t="n">
        <v>15</v>
      </c>
      <c r="T14" s="12" t="n">
        <v>10</v>
      </c>
      <c r="U14" s="12" t="n">
        <v>35</v>
      </c>
      <c r="V14" s="12" t="n">
        <v>36</v>
      </c>
      <c r="W14" s="12" t="n">
        <v>45</v>
      </c>
      <c r="X14" s="12" t="n">
        <v>90</v>
      </c>
      <c r="Y14" s="12" t="n">
        <v>70</v>
      </c>
      <c r="Z14" s="12" t="n">
        <v>29</v>
      </c>
      <c r="AA14" s="12" t="n">
        <v>12</v>
      </c>
      <c r="AB14" s="12" t="n">
        <v>27</v>
      </c>
      <c r="AC14" s="12" t="n">
        <v>40</v>
      </c>
      <c r="AD14" s="12" t="n">
        <v>24</v>
      </c>
      <c r="AE14" s="12" t="n">
        <v>99</v>
      </c>
      <c r="AF14" s="12" t="n">
        <v>236</v>
      </c>
    </row>
    <row r="15">
      <c r="A15" s="20" t="n"/>
      <c r="B15" s="13" t="inlineStr">
        <is>
          <t>Environment and climate change</t>
        </is>
      </c>
      <c r="C15" s="14" t="n">
        <v>0.06</v>
      </c>
      <c r="D15" s="14" t="n">
        <v>0.07000000000000001</v>
      </c>
      <c r="E15" s="14" t="n">
        <v>0.02</v>
      </c>
      <c r="F15" s="14" t="n">
        <v>0.03</v>
      </c>
      <c r="G15" s="14" t="n">
        <v>0.17</v>
      </c>
      <c r="H15" s="14" t="n">
        <v>0.09</v>
      </c>
      <c r="I15" s="14" t="n">
        <v>0.08</v>
      </c>
      <c r="J15" s="14" t="n">
        <v>0.05</v>
      </c>
      <c r="K15" s="14" t="n">
        <v>0.02</v>
      </c>
      <c r="L15" s="14" t="n">
        <v>0.05</v>
      </c>
      <c r="M15" s="14" t="n">
        <v>0.03</v>
      </c>
      <c r="N15" s="14" t="n">
        <v>0.02</v>
      </c>
      <c r="O15" s="14" t="n">
        <v>0.06</v>
      </c>
      <c r="P15" s="14" t="n">
        <v>0.02</v>
      </c>
      <c r="Q15" s="14" t="n">
        <v>0.05</v>
      </c>
      <c r="R15" s="14" t="n">
        <v>0.02</v>
      </c>
      <c r="S15" s="14" t="n">
        <v>0.01</v>
      </c>
      <c r="T15" s="14" t="n">
        <v>0.01</v>
      </c>
      <c r="U15" s="14" t="n">
        <v>0.07000000000000001</v>
      </c>
      <c r="V15" s="14" t="n">
        <v>0.04</v>
      </c>
      <c r="W15" s="14" t="n">
        <v>0.09</v>
      </c>
      <c r="X15" s="14" t="n">
        <v>0.09</v>
      </c>
      <c r="Y15" s="14" t="n">
        <v>0.07000000000000001</v>
      </c>
      <c r="Z15" s="14" t="n">
        <v>0.03</v>
      </c>
      <c r="AA15" s="14" t="n">
        <v>0.01</v>
      </c>
      <c r="AB15" s="14" t="n">
        <v>0.03</v>
      </c>
      <c r="AC15" s="14" t="n">
        <v>0.04</v>
      </c>
      <c r="AD15" s="14" t="n">
        <v>0.02</v>
      </c>
      <c r="AE15" s="14" t="n">
        <v>0.1</v>
      </c>
      <c r="AF15" s="14" t="n">
        <v>0.23</v>
      </c>
    </row>
    <row r="16">
      <c r="A16" s="20" t="n"/>
      <c r="B16" s="11" t="inlineStr">
        <is>
          <t>La pauvreté et l’exclusion sociale</t>
        </is>
      </c>
      <c r="C16" s="12" t="n">
        <v>1810</v>
      </c>
      <c r="D16" s="12" t="n">
        <v>98</v>
      </c>
      <c r="E16" s="12" t="n">
        <v>135</v>
      </c>
      <c r="F16" s="12" t="n">
        <v>54</v>
      </c>
      <c r="G16" s="12" t="n">
        <v>32</v>
      </c>
      <c r="H16" s="12" t="n">
        <v>73</v>
      </c>
      <c r="I16" s="12" t="n">
        <v>87</v>
      </c>
      <c r="J16" s="12" t="n">
        <v>14</v>
      </c>
      <c r="K16" s="12" t="n">
        <v>43</v>
      </c>
      <c r="L16" s="12" t="n">
        <v>57</v>
      </c>
      <c r="M16" s="12" t="n">
        <v>147</v>
      </c>
      <c r="N16" s="12" t="n">
        <v>67</v>
      </c>
      <c r="O16" s="12" t="n">
        <v>100</v>
      </c>
      <c r="P16" s="12" t="n">
        <v>96</v>
      </c>
      <c r="Q16" s="12" t="n">
        <v>43</v>
      </c>
      <c r="R16" s="12" t="n">
        <v>42</v>
      </c>
      <c r="S16" s="12" t="n">
        <v>78</v>
      </c>
      <c r="T16" s="12" t="n">
        <v>126</v>
      </c>
      <c r="U16" s="12" t="n">
        <v>55</v>
      </c>
      <c r="V16" s="12" t="n">
        <v>70</v>
      </c>
      <c r="W16" s="12" t="n">
        <v>37</v>
      </c>
      <c r="X16" s="12" t="n">
        <v>51</v>
      </c>
      <c r="Y16" s="12" t="n">
        <v>69</v>
      </c>
      <c r="Z16" s="12" t="n">
        <v>35</v>
      </c>
      <c r="AA16" s="12" t="n">
        <v>118</v>
      </c>
      <c r="AB16" s="12" t="n">
        <v>81</v>
      </c>
      <c r="AC16" s="12" t="n">
        <v>77</v>
      </c>
      <c r="AD16" s="12" t="n">
        <v>87</v>
      </c>
      <c r="AE16" s="12" t="n">
        <v>98</v>
      </c>
      <c r="AF16" s="12" t="n">
        <v>62</v>
      </c>
    </row>
    <row r="17">
      <c r="A17" s="20" t="n"/>
      <c r="B17" s="13" t="inlineStr">
        <is>
          <t>Poverty and social exclusion</t>
        </is>
      </c>
      <c r="C17" s="14" t="n">
        <v>0.07000000000000001</v>
      </c>
      <c r="D17" s="14" t="n">
        <v>0.09</v>
      </c>
      <c r="E17" s="14" t="n">
        <v>0.13</v>
      </c>
      <c r="F17" s="14" t="n">
        <v>0.05</v>
      </c>
      <c r="G17" s="14" t="n">
        <v>0.03</v>
      </c>
      <c r="H17" s="14" t="n">
        <v>0.06</v>
      </c>
      <c r="I17" s="14" t="n">
        <v>0.06</v>
      </c>
      <c r="J17" s="14" t="n">
        <v>0.05</v>
      </c>
      <c r="K17" s="14" t="n">
        <v>0.04</v>
      </c>
      <c r="L17" s="14" t="n">
        <v>0.06</v>
      </c>
      <c r="M17" s="14" t="n">
        <v>0.15</v>
      </c>
      <c r="N17" s="14" t="n">
        <v>0.07000000000000001</v>
      </c>
      <c r="O17" s="14" t="n">
        <v>0.1</v>
      </c>
      <c r="P17" s="14" t="n">
        <v>0.1</v>
      </c>
      <c r="Q17" s="14" t="n">
        <v>0.04</v>
      </c>
      <c r="R17" s="14" t="n">
        <v>0.09</v>
      </c>
      <c r="S17" s="14" t="n">
        <v>0.08</v>
      </c>
      <c r="T17" s="14" t="n">
        <v>0.12</v>
      </c>
      <c r="U17" s="14" t="n">
        <v>0.11</v>
      </c>
      <c r="V17" s="14" t="n">
        <v>0.07000000000000001</v>
      </c>
      <c r="W17" s="14" t="n">
        <v>0.07000000000000001</v>
      </c>
      <c r="X17" s="14" t="n">
        <v>0.05</v>
      </c>
      <c r="Y17" s="14" t="n">
        <v>0.07000000000000001</v>
      </c>
      <c r="Z17" s="14" t="n">
        <v>0.03</v>
      </c>
      <c r="AA17" s="14" t="n">
        <v>0.11</v>
      </c>
      <c r="AB17" s="14" t="n">
        <v>0.08</v>
      </c>
      <c r="AC17" s="14" t="n">
        <v>0.08</v>
      </c>
      <c r="AD17" s="14" t="n">
        <v>0.09</v>
      </c>
      <c r="AE17" s="14" t="n">
        <v>0.1</v>
      </c>
      <c r="AF17" s="14" t="n">
        <v>0.06</v>
      </c>
    </row>
    <row r="18">
      <c r="A18" s="20" t="n"/>
      <c r="B18" s="11" t="inlineStr">
        <is>
          <t>L’économie et la création de nouveaux emplois</t>
        </is>
      </c>
      <c r="C18" s="12" t="n">
        <v>2559</v>
      </c>
      <c r="D18" s="12" t="n">
        <v>64</v>
      </c>
      <c r="E18" s="12" t="n">
        <v>134</v>
      </c>
      <c r="F18" s="12" t="n">
        <v>82</v>
      </c>
      <c r="G18" s="12" t="n">
        <v>45</v>
      </c>
      <c r="H18" s="12" t="n">
        <v>88</v>
      </c>
      <c r="I18" s="12" t="n">
        <v>114</v>
      </c>
      <c r="J18" s="12" t="n">
        <v>26</v>
      </c>
      <c r="K18" s="12" t="n">
        <v>137</v>
      </c>
      <c r="L18" s="12" t="n">
        <v>76</v>
      </c>
      <c r="M18" s="12" t="n">
        <v>162</v>
      </c>
      <c r="N18" s="12" t="n">
        <v>157</v>
      </c>
      <c r="O18" s="12" t="n">
        <v>64</v>
      </c>
      <c r="P18" s="12" t="n">
        <v>120</v>
      </c>
      <c r="Q18" s="12" t="n">
        <v>109</v>
      </c>
      <c r="R18" s="12" t="n">
        <v>76</v>
      </c>
      <c r="S18" s="12" t="n">
        <v>161</v>
      </c>
      <c r="T18" s="12" t="n">
        <v>140</v>
      </c>
      <c r="U18" s="12" t="n">
        <v>46</v>
      </c>
      <c r="V18" s="12" t="n">
        <v>126</v>
      </c>
      <c r="W18" s="12" t="n">
        <v>57</v>
      </c>
      <c r="X18" s="12" t="n">
        <v>24</v>
      </c>
      <c r="Y18" s="12" t="n">
        <v>90</v>
      </c>
      <c r="Z18" s="12" t="n">
        <v>101</v>
      </c>
      <c r="AA18" s="12" t="n">
        <v>90</v>
      </c>
      <c r="AB18" s="12" t="n">
        <v>151</v>
      </c>
      <c r="AC18" s="12" t="n">
        <v>138</v>
      </c>
      <c r="AD18" s="12" t="n">
        <v>126</v>
      </c>
      <c r="AE18" s="12" t="n">
        <v>179</v>
      </c>
      <c r="AF18" s="12" t="n">
        <v>76</v>
      </c>
    </row>
    <row r="19">
      <c r="A19" s="20" t="n"/>
      <c r="B19" s="13" t="inlineStr">
        <is>
          <t>Economy and job creation</t>
        </is>
      </c>
      <c r="C19" s="14" t="n">
        <v>0.1</v>
      </c>
      <c r="D19" s="14" t="n">
        <v>0.06</v>
      </c>
      <c r="E19" s="14" t="n">
        <v>0.13</v>
      </c>
      <c r="F19" s="14" t="n">
        <v>0.08</v>
      </c>
      <c r="G19" s="14" t="n">
        <v>0.05</v>
      </c>
      <c r="H19" s="14" t="n">
        <v>0.07000000000000001</v>
      </c>
      <c r="I19" s="14" t="n">
        <v>0.08</v>
      </c>
      <c r="J19" s="14" t="n">
        <v>0.09</v>
      </c>
      <c r="K19" s="14" t="n">
        <v>0.14</v>
      </c>
      <c r="L19" s="14" t="n">
        <v>0.08</v>
      </c>
      <c r="M19" s="14" t="n">
        <v>0.16</v>
      </c>
      <c r="N19" s="14" t="n">
        <v>0.16</v>
      </c>
      <c r="O19" s="14" t="n">
        <v>0.06</v>
      </c>
      <c r="P19" s="14" t="n">
        <v>0.12</v>
      </c>
      <c r="Q19" s="14" t="n">
        <v>0.11</v>
      </c>
      <c r="R19" s="14" t="n">
        <v>0.15</v>
      </c>
      <c r="S19" s="14" t="n">
        <v>0.16</v>
      </c>
      <c r="T19" s="14" t="n">
        <v>0.14</v>
      </c>
      <c r="U19" s="14" t="n">
        <v>0.09</v>
      </c>
      <c r="V19" s="14" t="n">
        <v>0.12</v>
      </c>
      <c r="W19" s="14" t="n">
        <v>0.11</v>
      </c>
      <c r="X19" s="14" t="n">
        <v>0.02</v>
      </c>
      <c r="Y19" s="14" t="n">
        <v>0.09</v>
      </c>
      <c r="Z19" s="14" t="n">
        <v>0.1</v>
      </c>
      <c r="AA19" s="14" t="n">
        <v>0.09</v>
      </c>
      <c r="AB19" s="14" t="n">
        <v>0.15</v>
      </c>
      <c r="AC19" s="14" t="n">
        <v>0.14</v>
      </c>
      <c r="AD19" s="14" t="n">
        <v>0.13</v>
      </c>
      <c r="AE19" s="14" t="n">
        <v>0.18</v>
      </c>
      <c r="AF19" s="14" t="n">
        <v>0.07000000000000001</v>
      </c>
    </row>
    <row r="20">
      <c r="A20" s="20" t="n"/>
      <c r="B20" s="11" t="inlineStr">
        <is>
          <t>L’inflation, la hausse des prix et le coût de la vie</t>
        </is>
      </c>
      <c r="C20" s="12" t="n">
        <v>5242</v>
      </c>
      <c r="D20" s="12" t="n">
        <v>211</v>
      </c>
      <c r="E20" s="12" t="n">
        <v>325</v>
      </c>
      <c r="F20" s="12" t="n">
        <v>181</v>
      </c>
      <c r="G20" s="12" t="n">
        <v>66</v>
      </c>
      <c r="H20" s="12" t="n">
        <v>235</v>
      </c>
      <c r="I20" s="12" t="n">
        <v>306</v>
      </c>
      <c r="J20" s="12" t="n">
        <v>71</v>
      </c>
      <c r="K20" s="12" t="n">
        <v>201</v>
      </c>
      <c r="L20" s="12" t="n">
        <v>308</v>
      </c>
      <c r="M20" s="12" t="n">
        <v>205</v>
      </c>
      <c r="N20" s="12" t="n">
        <v>177</v>
      </c>
      <c r="O20" s="12" t="n">
        <v>278</v>
      </c>
      <c r="P20" s="12" t="n">
        <v>272</v>
      </c>
      <c r="Q20" s="12" t="n">
        <v>196</v>
      </c>
      <c r="R20" s="12" t="n">
        <v>70</v>
      </c>
      <c r="S20" s="12" t="n">
        <v>171</v>
      </c>
      <c r="T20" s="12" t="n">
        <v>147</v>
      </c>
      <c r="U20" s="12" t="n">
        <v>82</v>
      </c>
      <c r="V20" s="12" t="n">
        <v>177</v>
      </c>
      <c r="W20" s="12" t="n">
        <v>77</v>
      </c>
      <c r="X20" s="12" t="n">
        <v>154</v>
      </c>
      <c r="Y20" s="12" t="n">
        <v>232</v>
      </c>
      <c r="Z20" s="12" t="n">
        <v>143</v>
      </c>
      <c r="AA20" s="12" t="n">
        <v>329</v>
      </c>
      <c r="AB20" s="12" t="n">
        <v>183</v>
      </c>
      <c r="AC20" s="12" t="n">
        <v>115</v>
      </c>
      <c r="AD20" s="12" t="n">
        <v>234</v>
      </c>
      <c r="AE20" s="12" t="n">
        <v>73</v>
      </c>
      <c r="AF20" s="12" t="n">
        <v>59</v>
      </c>
    </row>
    <row r="21">
      <c r="A21" s="20" t="n"/>
      <c r="B21" s="13" t="inlineStr">
        <is>
          <t>Inflation, rising prices and the cost of living</t>
        </is>
      </c>
      <c r="C21" s="14" t="n">
        <v>0.2</v>
      </c>
      <c r="D21" s="14" t="n">
        <v>0.21</v>
      </c>
      <c r="E21" s="14" t="n">
        <v>0.32</v>
      </c>
      <c r="F21" s="14" t="n">
        <v>0.17</v>
      </c>
      <c r="G21" s="14" t="n">
        <v>0.07000000000000001</v>
      </c>
      <c r="H21" s="14" t="n">
        <v>0.2</v>
      </c>
      <c r="I21" s="14" t="n">
        <v>0.2</v>
      </c>
      <c r="J21" s="14" t="n">
        <v>0.24</v>
      </c>
      <c r="K21" s="14" t="n">
        <v>0.2</v>
      </c>
      <c r="L21" s="14" t="n">
        <v>0.31</v>
      </c>
      <c r="M21" s="14" t="n">
        <v>0.2</v>
      </c>
      <c r="N21" s="14" t="n">
        <v>0.18</v>
      </c>
      <c r="O21" s="14" t="n">
        <v>0.27</v>
      </c>
      <c r="P21" s="14" t="n">
        <v>0.27</v>
      </c>
      <c r="Q21" s="14" t="n">
        <v>0.19</v>
      </c>
      <c r="R21" s="14" t="n">
        <v>0.14</v>
      </c>
      <c r="S21" s="14" t="n">
        <v>0.17</v>
      </c>
      <c r="T21" s="14" t="n">
        <v>0.14</v>
      </c>
      <c r="U21" s="14" t="n">
        <v>0.16</v>
      </c>
      <c r="V21" s="14" t="n">
        <v>0.17</v>
      </c>
      <c r="W21" s="14" t="n">
        <v>0.15</v>
      </c>
      <c r="X21" s="14" t="n">
        <v>0.15</v>
      </c>
      <c r="Y21" s="14" t="n">
        <v>0.23</v>
      </c>
      <c r="Z21" s="14" t="n">
        <v>0.14</v>
      </c>
      <c r="AA21" s="14" t="n">
        <v>0.32</v>
      </c>
      <c r="AB21" s="14" t="n">
        <v>0.18</v>
      </c>
      <c r="AC21" s="14" t="n">
        <v>0.11</v>
      </c>
      <c r="AD21" s="14" t="n">
        <v>0.23</v>
      </c>
      <c r="AE21" s="14" t="n">
        <v>0.07000000000000001</v>
      </c>
      <c r="AF21" s="14" t="n">
        <v>0.06</v>
      </c>
    </row>
    <row r="22">
      <c r="A22" s="20" t="n"/>
      <c r="B22" s="11" t="inlineStr">
        <is>
          <t>La digitalisation et l’intelligence artificielle (IA)</t>
        </is>
      </c>
      <c r="C22" s="12" t="n">
        <v>570</v>
      </c>
      <c r="D22" s="12" t="n">
        <v>11</v>
      </c>
      <c r="E22" s="12" t="n">
        <v>26</v>
      </c>
      <c r="F22" s="12" t="n">
        <v>27</v>
      </c>
      <c r="G22" s="12" t="n">
        <v>32</v>
      </c>
      <c r="H22" s="12" t="n">
        <v>26</v>
      </c>
      <c r="I22" s="12" t="n">
        <v>30</v>
      </c>
      <c r="J22" s="12" t="n">
        <v>4</v>
      </c>
      <c r="K22" s="12" t="n">
        <v>26</v>
      </c>
      <c r="L22" s="12" t="n">
        <v>17</v>
      </c>
      <c r="M22" s="12" t="n">
        <v>11</v>
      </c>
      <c r="N22" s="12" t="n">
        <v>16</v>
      </c>
      <c r="O22" s="12" t="n">
        <v>17</v>
      </c>
      <c r="P22" s="12" t="n">
        <v>21</v>
      </c>
      <c r="Q22" s="12" t="n">
        <v>37</v>
      </c>
      <c r="R22" s="12" t="n">
        <v>1</v>
      </c>
      <c r="S22" s="12" t="n">
        <v>13</v>
      </c>
      <c r="T22" s="12" t="n">
        <v>15</v>
      </c>
      <c r="U22" s="12" t="n">
        <v>19</v>
      </c>
      <c r="V22" s="12" t="n">
        <v>37</v>
      </c>
      <c r="W22" s="12" t="n">
        <v>25</v>
      </c>
      <c r="X22" s="12" t="n">
        <v>35</v>
      </c>
      <c r="Y22" s="12" t="n">
        <v>25</v>
      </c>
      <c r="Z22" s="12" t="n">
        <v>19</v>
      </c>
      <c r="AA22" s="12" t="n">
        <v>12</v>
      </c>
      <c r="AB22" s="12" t="n">
        <v>22</v>
      </c>
      <c r="AC22" s="12" t="n">
        <v>15</v>
      </c>
      <c r="AD22" s="12" t="n">
        <v>25</v>
      </c>
      <c r="AE22" s="12" t="n">
        <v>13</v>
      </c>
      <c r="AF22" s="12" t="n">
        <v>13</v>
      </c>
    </row>
    <row r="23">
      <c r="A23" s="20" t="n"/>
      <c r="B23" s="13" t="inlineStr">
        <is>
          <t>Digitalisation and Artificial Intelligence (AI)</t>
        </is>
      </c>
      <c r="C23" s="14" t="n">
        <v>0.02</v>
      </c>
      <c r="D23" s="14" t="n">
        <v>0.01</v>
      </c>
      <c r="E23" s="14" t="n">
        <v>0.03</v>
      </c>
      <c r="F23" s="14" t="n">
        <v>0.03</v>
      </c>
      <c r="G23" s="14" t="n">
        <v>0.03</v>
      </c>
      <c r="H23" s="14" t="n">
        <v>0.02</v>
      </c>
      <c r="I23" s="14" t="n">
        <v>0.02</v>
      </c>
      <c r="J23" s="14" t="n">
        <v>0.01</v>
      </c>
      <c r="K23" s="14" t="n">
        <v>0.03</v>
      </c>
      <c r="L23" s="14" t="n">
        <v>0.02</v>
      </c>
      <c r="M23" s="14" t="n">
        <v>0.01</v>
      </c>
      <c r="N23" s="14" t="n">
        <v>0.02</v>
      </c>
      <c r="O23" s="14" t="n">
        <v>0.02</v>
      </c>
      <c r="P23" s="14" t="n">
        <v>0.02</v>
      </c>
      <c r="Q23" s="14" t="n">
        <v>0.04</v>
      </c>
      <c r="R23" s="15" t="inlineStr">
        <is>
          <t>-</t>
        </is>
      </c>
      <c r="S23" s="14" t="n">
        <v>0.01</v>
      </c>
      <c r="T23" s="14" t="n">
        <v>0.02</v>
      </c>
      <c r="U23" s="14" t="n">
        <v>0.04</v>
      </c>
      <c r="V23" s="14" t="n">
        <v>0.04</v>
      </c>
      <c r="W23" s="14" t="n">
        <v>0.05</v>
      </c>
      <c r="X23" s="14" t="n">
        <v>0.03</v>
      </c>
      <c r="Y23" s="14" t="n">
        <v>0.02</v>
      </c>
      <c r="Z23" s="14" t="n">
        <v>0.02</v>
      </c>
      <c r="AA23" s="14" t="n">
        <v>0.01</v>
      </c>
      <c r="AB23" s="14" t="n">
        <v>0.02</v>
      </c>
      <c r="AC23" s="14" t="n">
        <v>0.02</v>
      </c>
      <c r="AD23" s="14" t="n">
        <v>0.02</v>
      </c>
      <c r="AE23" s="14" t="n">
        <v>0.01</v>
      </c>
      <c r="AF23" s="14" t="n">
        <v>0.01</v>
      </c>
    </row>
    <row r="24">
      <c r="A24" s="20" t="n"/>
      <c r="B24" s="11" t="inlineStr">
        <is>
          <t>L'aide humanitaire et l'aide au développement</t>
        </is>
      </c>
      <c r="C24" s="12" t="n">
        <v>708</v>
      </c>
      <c r="D24" s="12" t="n">
        <v>27</v>
      </c>
      <c r="E24" s="12" t="n">
        <v>23</v>
      </c>
      <c r="F24" s="12" t="n">
        <v>12</v>
      </c>
      <c r="G24" s="12" t="n">
        <v>21</v>
      </c>
      <c r="H24" s="12" t="n">
        <v>26</v>
      </c>
      <c r="I24" s="12" t="n">
        <v>28</v>
      </c>
      <c r="J24" s="12" t="n">
        <v>2</v>
      </c>
      <c r="K24" s="12" t="n">
        <v>12</v>
      </c>
      <c r="L24" s="12" t="n">
        <v>22</v>
      </c>
      <c r="M24" s="12" t="n">
        <v>40</v>
      </c>
      <c r="N24" s="12" t="n">
        <v>35</v>
      </c>
      <c r="O24" s="12" t="n">
        <v>23</v>
      </c>
      <c r="P24" s="12" t="n">
        <v>20</v>
      </c>
      <c r="Q24" s="12" t="n">
        <v>54</v>
      </c>
      <c r="R24" s="12" t="n">
        <v>20</v>
      </c>
      <c r="S24" s="12" t="n">
        <v>13</v>
      </c>
      <c r="T24" s="12" t="n">
        <v>12</v>
      </c>
      <c r="U24" s="12" t="n">
        <v>10</v>
      </c>
      <c r="V24" s="12" t="n">
        <v>11</v>
      </c>
      <c r="W24" s="12" t="n">
        <v>12</v>
      </c>
      <c r="X24" s="12" t="n">
        <v>20</v>
      </c>
      <c r="Y24" s="12" t="n">
        <v>14</v>
      </c>
      <c r="Z24" s="12" t="n">
        <v>27</v>
      </c>
      <c r="AA24" s="12" t="n">
        <v>20</v>
      </c>
      <c r="AB24" s="12" t="n">
        <v>34</v>
      </c>
      <c r="AC24" s="12" t="n">
        <v>13</v>
      </c>
      <c r="AD24" s="12" t="n">
        <v>22</v>
      </c>
      <c r="AE24" s="12" t="n">
        <v>7</v>
      </c>
      <c r="AF24" s="12" t="n">
        <v>11</v>
      </c>
    </row>
    <row r="25">
      <c r="A25" s="20" t="n"/>
      <c r="B25" s="13" t="inlineStr">
        <is>
          <t>Humanitarian aid and development assistance</t>
        </is>
      </c>
      <c r="C25" s="14" t="n">
        <v>0.03</v>
      </c>
      <c r="D25" s="14" t="n">
        <v>0.03</v>
      </c>
      <c r="E25" s="14" t="n">
        <v>0.02</v>
      </c>
      <c r="F25" s="14" t="n">
        <v>0.01</v>
      </c>
      <c r="G25" s="14" t="n">
        <v>0.02</v>
      </c>
      <c r="H25" s="14" t="n">
        <v>0.02</v>
      </c>
      <c r="I25" s="14" t="n">
        <v>0.02</v>
      </c>
      <c r="J25" s="14" t="n">
        <v>0.01</v>
      </c>
      <c r="K25" s="14" t="n">
        <v>0.01</v>
      </c>
      <c r="L25" s="14" t="n">
        <v>0.02</v>
      </c>
      <c r="M25" s="14" t="n">
        <v>0.04</v>
      </c>
      <c r="N25" s="14" t="n">
        <v>0.03</v>
      </c>
      <c r="O25" s="14" t="n">
        <v>0.02</v>
      </c>
      <c r="P25" s="14" t="n">
        <v>0.02</v>
      </c>
      <c r="Q25" s="14" t="n">
        <v>0.05</v>
      </c>
      <c r="R25" s="14" t="n">
        <v>0.04</v>
      </c>
      <c r="S25" s="14" t="n">
        <v>0.01</v>
      </c>
      <c r="T25" s="14" t="n">
        <v>0.01</v>
      </c>
      <c r="U25" s="14" t="n">
        <v>0.02</v>
      </c>
      <c r="V25" s="14" t="n">
        <v>0.01</v>
      </c>
      <c r="W25" s="14" t="n">
        <v>0.02</v>
      </c>
      <c r="X25" s="14" t="n">
        <v>0.02</v>
      </c>
      <c r="Y25" s="14" t="n">
        <v>0.01</v>
      </c>
      <c r="Z25" s="14" t="n">
        <v>0.03</v>
      </c>
      <c r="AA25" s="14" t="n">
        <v>0.02</v>
      </c>
      <c r="AB25" s="14" t="n">
        <v>0.03</v>
      </c>
      <c r="AC25" s="14" t="n">
        <v>0.01</v>
      </c>
      <c r="AD25" s="14" t="n">
        <v>0.02</v>
      </c>
      <c r="AE25" s="14" t="n">
        <v>0.01</v>
      </c>
      <c r="AF25" s="14" t="n">
        <v>0.01</v>
      </c>
    </row>
    <row r="26">
      <c r="A26" s="20" t="n"/>
      <c r="B26" s="11" t="inlineStr">
        <is>
          <t>L’autonomie de l’UE dans les domaines de l’industrie et de l’énergie</t>
        </is>
      </c>
      <c r="C26" s="12" t="n">
        <v>1109</v>
      </c>
      <c r="D26" s="12" t="n">
        <v>80</v>
      </c>
      <c r="E26" s="12" t="n">
        <v>39</v>
      </c>
      <c r="F26" s="12" t="n">
        <v>149</v>
      </c>
      <c r="G26" s="12" t="n">
        <v>75</v>
      </c>
      <c r="H26" s="12" t="n">
        <v>40</v>
      </c>
      <c r="I26" s="12" t="n">
        <v>47</v>
      </c>
      <c r="J26" s="12" t="n">
        <v>8</v>
      </c>
      <c r="K26" s="12" t="n">
        <v>56</v>
      </c>
      <c r="L26" s="12" t="n">
        <v>13</v>
      </c>
      <c r="M26" s="12" t="n">
        <v>25</v>
      </c>
      <c r="N26" s="12" t="n">
        <v>38</v>
      </c>
      <c r="O26" s="12" t="n">
        <v>28</v>
      </c>
      <c r="P26" s="12" t="n">
        <v>26</v>
      </c>
      <c r="Q26" s="12" t="n">
        <v>62</v>
      </c>
      <c r="R26" s="12" t="n">
        <v>9</v>
      </c>
      <c r="S26" s="12" t="n">
        <v>32</v>
      </c>
      <c r="T26" s="12" t="n">
        <v>38</v>
      </c>
      <c r="U26" s="12" t="n">
        <v>27</v>
      </c>
      <c r="V26" s="12" t="n">
        <v>34</v>
      </c>
      <c r="W26" s="12" t="n">
        <v>14</v>
      </c>
      <c r="X26" s="12" t="n">
        <v>65</v>
      </c>
      <c r="Y26" s="12" t="n">
        <v>60</v>
      </c>
      <c r="Z26" s="12" t="n">
        <v>27</v>
      </c>
      <c r="AA26" s="12" t="n">
        <v>23</v>
      </c>
      <c r="AB26" s="12" t="n">
        <v>54</v>
      </c>
      <c r="AC26" s="12" t="n">
        <v>55</v>
      </c>
      <c r="AD26" s="12" t="n">
        <v>48</v>
      </c>
      <c r="AE26" s="12" t="n">
        <v>31</v>
      </c>
      <c r="AF26" s="12" t="n">
        <v>26</v>
      </c>
    </row>
    <row r="27">
      <c r="A27" s="20" t="n"/>
      <c r="B27" s="13" t="inlineStr">
        <is>
          <t>EU autonomy in the fields of industry and energy</t>
        </is>
      </c>
      <c r="C27" s="14" t="n">
        <v>0.04</v>
      </c>
      <c r="D27" s="14" t="n">
        <v>0.08</v>
      </c>
      <c r="E27" s="14" t="n">
        <v>0.04</v>
      </c>
      <c r="F27" s="14" t="n">
        <v>0.14</v>
      </c>
      <c r="G27" s="14" t="n">
        <v>0.07000000000000001</v>
      </c>
      <c r="H27" s="14" t="n">
        <v>0.03</v>
      </c>
      <c r="I27" s="14" t="n">
        <v>0.03</v>
      </c>
      <c r="J27" s="14" t="n">
        <v>0.03</v>
      </c>
      <c r="K27" s="14" t="n">
        <v>0.06</v>
      </c>
      <c r="L27" s="14" t="n">
        <v>0.01</v>
      </c>
      <c r="M27" s="14" t="n">
        <v>0.02</v>
      </c>
      <c r="N27" s="14" t="n">
        <v>0.04</v>
      </c>
      <c r="O27" s="14" t="n">
        <v>0.03</v>
      </c>
      <c r="P27" s="14" t="n">
        <v>0.03</v>
      </c>
      <c r="Q27" s="14" t="n">
        <v>0.06</v>
      </c>
      <c r="R27" s="14" t="n">
        <v>0.02</v>
      </c>
      <c r="S27" s="14" t="n">
        <v>0.03</v>
      </c>
      <c r="T27" s="14" t="n">
        <v>0.04</v>
      </c>
      <c r="U27" s="14" t="n">
        <v>0.05</v>
      </c>
      <c r="V27" s="14" t="n">
        <v>0.03</v>
      </c>
      <c r="W27" s="14" t="n">
        <v>0.03</v>
      </c>
      <c r="X27" s="14" t="n">
        <v>0.06</v>
      </c>
      <c r="Y27" s="14" t="n">
        <v>0.06</v>
      </c>
      <c r="Z27" s="14" t="n">
        <v>0.03</v>
      </c>
      <c r="AA27" s="14" t="n">
        <v>0.02</v>
      </c>
      <c r="AB27" s="14" t="n">
        <v>0.05</v>
      </c>
      <c r="AC27" s="14" t="n">
        <v>0.06</v>
      </c>
      <c r="AD27" s="14" t="n">
        <v>0.05</v>
      </c>
      <c r="AE27" s="14" t="n">
        <v>0.03</v>
      </c>
      <c r="AF27" s="14" t="n">
        <v>0.03</v>
      </c>
    </row>
    <row r="28">
      <c r="A28" s="20" t="n"/>
      <c r="B28" s="11" t="inlineStr">
        <is>
          <t>La protection des consommateurs</t>
        </is>
      </c>
      <c r="C28" s="12" t="n">
        <v>667</v>
      </c>
      <c r="D28" s="12" t="n">
        <v>29</v>
      </c>
      <c r="E28" s="12" t="n">
        <v>35</v>
      </c>
      <c r="F28" s="12" t="n">
        <v>20</v>
      </c>
      <c r="G28" s="12" t="n">
        <v>14</v>
      </c>
      <c r="H28" s="12" t="n">
        <v>11</v>
      </c>
      <c r="I28" s="12" t="n">
        <v>18</v>
      </c>
      <c r="J28" s="12" t="n">
        <v>7</v>
      </c>
      <c r="K28" s="12" t="n">
        <v>18</v>
      </c>
      <c r="L28" s="12" t="n">
        <v>20</v>
      </c>
      <c r="M28" s="12" t="n">
        <v>40</v>
      </c>
      <c r="N28" s="12" t="n">
        <v>15</v>
      </c>
      <c r="O28" s="12" t="n">
        <v>39</v>
      </c>
      <c r="P28" s="12" t="n">
        <v>33</v>
      </c>
      <c r="Q28" s="12" t="n">
        <v>45</v>
      </c>
      <c r="R28" s="12" t="n">
        <v>15</v>
      </c>
      <c r="S28" s="12" t="n">
        <v>24</v>
      </c>
      <c r="T28" s="12" t="n">
        <v>9</v>
      </c>
      <c r="U28" s="12" t="n">
        <v>10</v>
      </c>
      <c r="V28" s="12" t="n">
        <v>26</v>
      </c>
      <c r="W28" s="12" t="n">
        <v>17</v>
      </c>
      <c r="X28" s="12" t="n">
        <v>5</v>
      </c>
      <c r="Y28" s="12" t="n">
        <v>30</v>
      </c>
      <c r="Z28" s="12" t="n">
        <v>36</v>
      </c>
      <c r="AA28" s="12" t="n">
        <v>16</v>
      </c>
      <c r="AB28" s="12" t="n">
        <v>25</v>
      </c>
      <c r="AC28" s="12" t="n">
        <v>11</v>
      </c>
      <c r="AD28" s="12" t="n">
        <v>29</v>
      </c>
      <c r="AE28" s="12" t="n">
        <v>11</v>
      </c>
      <c r="AF28" s="12" t="n">
        <v>1</v>
      </c>
    </row>
    <row r="29">
      <c r="A29" s="20" t="n"/>
      <c r="B29" s="13" t="inlineStr">
        <is>
          <t>Consumer protection</t>
        </is>
      </c>
      <c r="C29" s="14" t="n">
        <v>0.02</v>
      </c>
      <c r="D29" s="14" t="n">
        <v>0.03</v>
      </c>
      <c r="E29" s="14" t="n">
        <v>0.04</v>
      </c>
      <c r="F29" s="14" t="n">
        <v>0.02</v>
      </c>
      <c r="G29" s="14" t="n">
        <v>0.01</v>
      </c>
      <c r="H29" s="14" t="n">
        <v>0.01</v>
      </c>
      <c r="I29" s="14" t="n">
        <v>0.01</v>
      </c>
      <c r="J29" s="14" t="n">
        <v>0.02</v>
      </c>
      <c r="K29" s="14" t="n">
        <v>0.02</v>
      </c>
      <c r="L29" s="14" t="n">
        <v>0.02</v>
      </c>
      <c r="M29" s="14" t="n">
        <v>0.04</v>
      </c>
      <c r="N29" s="14" t="n">
        <v>0.01</v>
      </c>
      <c r="O29" s="14" t="n">
        <v>0.04</v>
      </c>
      <c r="P29" s="14" t="n">
        <v>0.03</v>
      </c>
      <c r="Q29" s="14" t="n">
        <v>0.04</v>
      </c>
      <c r="R29" s="14" t="n">
        <v>0.03</v>
      </c>
      <c r="S29" s="14" t="n">
        <v>0.02</v>
      </c>
      <c r="T29" s="14" t="n">
        <v>0.01</v>
      </c>
      <c r="U29" s="14" t="n">
        <v>0.02</v>
      </c>
      <c r="V29" s="14" t="n">
        <v>0.02</v>
      </c>
      <c r="W29" s="14" t="n">
        <v>0.04</v>
      </c>
      <c r="X29" s="14" t="n">
        <v>0.01</v>
      </c>
      <c r="Y29" s="14" t="n">
        <v>0.03</v>
      </c>
      <c r="Z29" s="14" t="n">
        <v>0.03</v>
      </c>
      <c r="AA29" s="14" t="n">
        <v>0.02</v>
      </c>
      <c r="AB29" s="14" t="n">
        <v>0.02</v>
      </c>
      <c r="AC29" s="14" t="n">
        <v>0.01</v>
      </c>
      <c r="AD29" s="14" t="n">
        <v>0.03</v>
      </c>
      <c r="AE29" s="14" t="n">
        <v>0.01</v>
      </c>
      <c r="AF29" s="15" t="inlineStr">
        <is>
          <t>-</t>
        </is>
      </c>
    </row>
    <row r="30">
      <c r="A30" s="20" t="n"/>
      <c r="B30" s="11" t="inlineStr">
        <is>
          <t>La migration et l'asile</t>
        </is>
      </c>
      <c r="C30" s="12" t="n">
        <v>1625</v>
      </c>
      <c r="D30" s="12" t="n">
        <v>101</v>
      </c>
      <c r="E30" s="12" t="n">
        <v>8</v>
      </c>
      <c r="F30" s="12" t="n">
        <v>76</v>
      </c>
      <c r="G30" s="12" t="n">
        <v>45</v>
      </c>
      <c r="H30" s="12" t="n">
        <v>101</v>
      </c>
      <c r="I30" s="12" t="n">
        <v>135</v>
      </c>
      <c r="J30" s="12" t="n">
        <v>35</v>
      </c>
      <c r="K30" s="12" t="n">
        <v>33</v>
      </c>
      <c r="L30" s="12" t="n">
        <v>111</v>
      </c>
      <c r="M30" s="12" t="n">
        <v>27</v>
      </c>
      <c r="N30" s="12" t="n">
        <v>70</v>
      </c>
      <c r="O30" s="12" t="n">
        <v>61</v>
      </c>
      <c r="P30" s="12" t="n">
        <v>33</v>
      </c>
      <c r="Q30" s="12" t="n">
        <v>34</v>
      </c>
      <c r="R30" s="12" t="n">
        <v>56</v>
      </c>
      <c r="S30" s="12" t="n">
        <v>35</v>
      </c>
      <c r="T30" s="12" t="n">
        <v>40</v>
      </c>
      <c r="U30" s="12" t="n">
        <v>24</v>
      </c>
      <c r="V30" s="12" t="n">
        <v>61</v>
      </c>
      <c r="W30" s="12" t="n">
        <v>38</v>
      </c>
      <c r="X30" s="12" t="n">
        <v>155</v>
      </c>
      <c r="Y30" s="12" t="n">
        <v>76</v>
      </c>
      <c r="Z30" s="12" t="n">
        <v>43</v>
      </c>
      <c r="AA30" s="12" t="n">
        <v>14</v>
      </c>
      <c r="AB30" s="12" t="n">
        <v>23</v>
      </c>
      <c r="AC30" s="12" t="n">
        <v>57</v>
      </c>
      <c r="AD30" s="12" t="n">
        <v>36</v>
      </c>
      <c r="AE30" s="12" t="n">
        <v>37</v>
      </c>
      <c r="AF30" s="12" t="n">
        <v>43</v>
      </c>
    </row>
    <row r="31">
      <c r="A31" s="20" t="n"/>
      <c r="B31" s="13" t="inlineStr">
        <is>
          <t>Migration and asylum</t>
        </is>
      </c>
      <c r="C31" s="14" t="n">
        <v>0.06</v>
      </c>
      <c r="D31" s="14" t="n">
        <v>0.1</v>
      </c>
      <c r="E31" s="14" t="n">
        <v>0.01</v>
      </c>
      <c r="F31" s="14" t="n">
        <v>0.07000000000000001</v>
      </c>
      <c r="G31" s="14" t="n">
        <v>0.05</v>
      </c>
      <c r="H31" s="14" t="n">
        <v>0.08</v>
      </c>
      <c r="I31" s="14" t="n">
        <v>0.09</v>
      </c>
      <c r="J31" s="14" t="n">
        <v>0.12</v>
      </c>
      <c r="K31" s="14" t="n">
        <v>0.03</v>
      </c>
      <c r="L31" s="14" t="n">
        <v>0.11</v>
      </c>
      <c r="M31" s="14" t="n">
        <v>0.03</v>
      </c>
      <c r="N31" s="14" t="n">
        <v>0.07000000000000001</v>
      </c>
      <c r="O31" s="14" t="n">
        <v>0.06</v>
      </c>
      <c r="P31" s="14" t="n">
        <v>0.03</v>
      </c>
      <c r="Q31" s="14" t="n">
        <v>0.03</v>
      </c>
      <c r="R31" s="14" t="n">
        <v>0.11</v>
      </c>
      <c r="S31" s="14" t="n">
        <v>0.04</v>
      </c>
      <c r="T31" s="14" t="n">
        <v>0.04</v>
      </c>
      <c r="U31" s="14" t="n">
        <v>0.05</v>
      </c>
      <c r="V31" s="14" t="n">
        <v>0.06</v>
      </c>
      <c r="W31" s="14" t="n">
        <v>0.08</v>
      </c>
      <c r="X31" s="14" t="n">
        <v>0.15</v>
      </c>
      <c r="Y31" s="14" t="n">
        <v>0.08</v>
      </c>
      <c r="Z31" s="14" t="n">
        <v>0.04</v>
      </c>
      <c r="AA31" s="14" t="n">
        <v>0.01</v>
      </c>
      <c r="AB31" s="14" t="n">
        <v>0.02</v>
      </c>
      <c r="AC31" s="14" t="n">
        <v>0.06</v>
      </c>
      <c r="AD31" s="14" t="n">
        <v>0.04</v>
      </c>
      <c r="AE31" s="14" t="n">
        <v>0.04</v>
      </c>
      <c r="AF31" s="14" t="n">
        <v>0.04</v>
      </c>
    </row>
    <row r="32">
      <c r="A32" s="20" t="n"/>
      <c r="B32" s="11" t="inlineStr">
        <is>
          <t>Le terrorisme et le crime organisé</t>
        </is>
      </c>
      <c r="C32" s="12" t="n">
        <v>856</v>
      </c>
      <c r="D32" s="12" t="n">
        <v>46</v>
      </c>
      <c r="E32" s="12" t="n">
        <v>19</v>
      </c>
      <c r="F32" s="12" t="n">
        <v>43</v>
      </c>
      <c r="G32" s="12" t="n">
        <v>41</v>
      </c>
      <c r="H32" s="12" t="n">
        <v>25</v>
      </c>
      <c r="I32" s="12" t="n">
        <v>42</v>
      </c>
      <c r="J32" s="12" t="n">
        <v>17</v>
      </c>
      <c r="K32" s="12" t="n">
        <v>23</v>
      </c>
      <c r="L32" s="12" t="n">
        <v>24</v>
      </c>
      <c r="M32" s="12" t="n">
        <v>13</v>
      </c>
      <c r="N32" s="12" t="n">
        <v>10</v>
      </c>
      <c r="O32" s="12" t="n">
        <v>46</v>
      </c>
      <c r="P32" s="12" t="n">
        <v>38</v>
      </c>
      <c r="Q32" s="12" t="n">
        <v>46</v>
      </c>
      <c r="R32" s="12" t="n">
        <v>25</v>
      </c>
      <c r="S32" s="12" t="n">
        <v>11</v>
      </c>
      <c r="T32" s="12" t="n">
        <v>8</v>
      </c>
      <c r="U32" s="12" t="n">
        <v>20</v>
      </c>
      <c r="V32" s="12" t="n">
        <v>15</v>
      </c>
      <c r="W32" s="12" t="n">
        <v>10</v>
      </c>
      <c r="X32" s="12" t="n">
        <v>31</v>
      </c>
      <c r="Y32" s="12" t="n">
        <v>42</v>
      </c>
      <c r="Z32" s="12" t="n">
        <v>41</v>
      </c>
      <c r="AA32" s="12" t="n">
        <v>29</v>
      </c>
      <c r="AB32" s="12" t="n">
        <v>24</v>
      </c>
      <c r="AC32" s="12" t="n">
        <v>35</v>
      </c>
      <c r="AD32" s="12" t="n">
        <v>17</v>
      </c>
      <c r="AE32" s="12" t="n">
        <v>30</v>
      </c>
      <c r="AF32" s="12" t="n">
        <v>56</v>
      </c>
    </row>
    <row r="33">
      <c r="A33" s="20" t="n"/>
      <c r="B33" s="13" t="inlineStr">
        <is>
          <t>Terrorism and organised crime</t>
        </is>
      </c>
      <c r="C33" s="14" t="n">
        <v>0.03</v>
      </c>
      <c r="D33" s="14" t="n">
        <v>0.04</v>
      </c>
      <c r="E33" s="14" t="n">
        <v>0.02</v>
      </c>
      <c r="F33" s="14" t="n">
        <v>0.04</v>
      </c>
      <c r="G33" s="14" t="n">
        <v>0.04</v>
      </c>
      <c r="H33" s="14" t="n">
        <v>0.02</v>
      </c>
      <c r="I33" s="14" t="n">
        <v>0.03</v>
      </c>
      <c r="J33" s="14" t="n">
        <v>0.06</v>
      </c>
      <c r="K33" s="14" t="n">
        <v>0.02</v>
      </c>
      <c r="L33" s="14" t="n">
        <v>0.02</v>
      </c>
      <c r="M33" s="14" t="n">
        <v>0.01</v>
      </c>
      <c r="N33" s="14" t="n">
        <v>0.01</v>
      </c>
      <c r="O33" s="14" t="n">
        <v>0.05</v>
      </c>
      <c r="P33" s="14" t="n">
        <v>0.04</v>
      </c>
      <c r="Q33" s="14" t="n">
        <v>0.04</v>
      </c>
      <c r="R33" s="14" t="n">
        <v>0.05</v>
      </c>
      <c r="S33" s="14" t="n">
        <v>0.01</v>
      </c>
      <c r="T33" s="14" t="n">
        <v>0.01</v>
      </c>
      <c r="U33" s="14" t="n">
        <v>0.04</v>
      </c>
      <c r="V33" s="14" t="n">
        <v>0.02</v>
      </c>
      <c r="W33" s="14" t="n">
        <v>0.02</v>
      </c>
      <c r="X33" s="14" t="n">
        <v>0.03</v>
      </c>
      <c r="Y33" s="14" t="n">
        <v>0.04</v>
      </c>
      <c r="Z33" s="14" t="n">
        <v>0.04</v>
      </c>
      <c r="AA33" s="14" t="n">
        <v>0.03</v>
      </c>
      <c r="AB33" s="14" t="n">
        <v>0.02</v>
      </c>
      <c r="AC33" s="14" t="n">
        <v>0.03</v>
      </c>
      <c r="AD33" s="14" t="n">
        <v>0.02</v>
      </c>
      <c r="AE33" s="14" t="n">
        <v>0.03</v>
      </c>
      <c r="AF33" s="14" t="n">
        <v>0.05</v>
      </c>
    </row>
    <row r="34">
      <c r="A34" s="20" t="n"/>
      <c r="B34" s="11" t="inlineStr">
        <is>
          <t>La démocratie et l'État de droit</t>
        </is>
      </c>
      <c r="C34" s="12" t="n">
        <v>1622</v>
      </c>
      <c r="D34" s="12" t="n">
        <v>47</v>
      </c>
      <c r="E34" s="12" t="n">
        <v>41</v>
      </c>
      <c r="F34" s="12" t="n">
        <v>35</v>
      </c>
      <c r="G34" s="12" t="n">
        <v>78</v>
      </c>
      <c r="H34" s="12" t="n">
        <v>103</v>
      </c>
      <c r="I34" s="12" t="n">
        <v>119</v>
      </c>
      <c r="J34" s="12" t="n">
        <v>16</v>
      </c>
      <c r="K34" s="12" t="n">
        <v>30</v>
      </c>
      <c r="L34" s="12" t="n">
        <v>35</v>
      </c>
      <c r="M34" s="12" t="n">
        <v>72</v>
      </c>
      <c r="N34" s="12" t="n">
        <v>72</v>
      </c>
      <c r="O34" s="12" t="n">
        <v>38</v>
      </c>
      <c r="P34" s="12" t="n">
        <v>43</v>
      </c>
      <c r="Q34" s="12" t="n">
        <v>62</v>
      </c>
      <c r="R34" s="12" t="n">
        <v>45</v>
      </c>
      <c r="S34" s="12" t="n">
        <v>26</v>
      </c>
      <c r="T34" s="12" t="n">
        <v>24</v>
      </c>
      <c r="U34" s="12" t="n">
        <v>26</v>
      </c>
      <c r="V34" s="12" t="n">
        <v>92</v>
      </c>
      <c r="W34" s="12" t="n">
        <v>22</v>
      </c>
      <c r="X34" s="12" t="n">
        <v>58</v>
      </c>
      <c r="Y34" s="12" t="n">
        <v>63</v>
      </c>
      <c r="Z34" s="12" t="n">
        <v>50</v>
      </c>
      <c r="AA34" s="12" t="n">
        <v>20</v>
      </c>
      <c r="AB34" s="12" t="n">
        <v>72</v>
      </c>
      <c r="AC34" s="12" t="n">
        <v>55</v>
      </c>
      <c r="AD34" s="12" t="n">
        <v>66</v>
      </c>
      <c r="AE34" s="12" t="n">
        <v>86</v>
      </c>
      <c r="AF34" s="12" t="n">
        <v>150</v>
      </c>
    </row>
    <row r="35">
      <c r="A35" s="20" t="n"/>
      <c r="B35" s="13" t="inlineStr">
        <is>
          <t>Democracy and the rule of law</t>
        </is>
      </c>
      <c r="C35" s="14" t="n">
        <v>0.06</v>
      </c>
      <c r="D35" s="14" t="n">
        <v>0.05</v>
      </c>
      <c r="E35" s="14" t="n">
        <v>0.04</v>
      </c>
      <c r="F35" s="14" t="n">
        <v>0.03</v>
      </c>
      <c r="G35" s="14" t="n">
        <v>0.08</v>
      </c>
      <c r="H35" s="14" t="n">
        <v>0.09</v>
      </c>
      <c r="I35" s="14" t="n">
        <v>0.08</v>
      </c>
      <c r="J35" s="14" t="n">
        <v>0.05</v>
      </c>
      <c r="K35" s="14" t="n">
        <v>0.03</v>
      </c>
      <c r="L35" s="14" t="n">
        <v>0.03</v>
      </c>
      <c r="M35" s="14" t="n">
        <v>0.07000000000000001</v>
      </c>
      <c r="N35" s="14" t="n">
        <v>0.07000000000000001</v>
      </c>
      <c r="O35" s="14" t="n">
        <v>0.04</v>
      </c>
      <c r="P35" s="14" t="n">
        <v>0.04</v>
      </c>
      <c r="Q35" s="14" t="n">
        <v>0.06</v>
      </c>
      <c r="R35" s="14" t="n">
        <v>0.09</v>
      </c>
      <c r="S35" s="14" t="n">
        <v>0.03</v>
      </c>
      <c r="T35" s="14" t="n">
        <v>0.02</v>
      </c>
      <c r="U35" s="14" t="n">
        <v>0.05</v>
      </c>
      <c r="V35" s="14" t="n">
        <v>0.09</v>
      </c>
      <c r="W35" s="14" t="n">
        <v>0.04</v>
      </c>
      <c r="X35" s="14" t="n">
        <v>0.06</v>
      </c>
      <c r="Y35" s="14" t="n">
        <v>0.06</v>
      </c>
      <c r="Z35" s="14" t="n">
        <v>0.05</v>
      </c>
      <c r="AA35" s="14" t="n">
        <v>0.02</v>
      </c>
      <c r="AB35" s="14" t="n">
        <v>0.07000000000000001</v>
      </c>
      <c r="AC35" s="14" t="n">
        <v>0.05</v>
      </c>
      <c r="AD35" s="14" t="n">
        <v>0.07000000000000001</v>
      </c>
      <c r="AE35" s="14" t="n">
        <v>0.08</v>
      </c>
      <c r="AF35" s="14" t="n">
        <v>0.14</v>
      </c>
    </row>
    <row r="36">
      <c r="A36" s="20" t="n"/>
      <c r="B36" s="11" t="inlineStr">
        <is>
          <t>La défense et la sécurité de l’UE</t>
        </is>
      </c>
      <c r="C36" s="12" t="n">
        <v>3682</v>
      </c>
      <c r="D36" s="12" t="n">
        <v>121</v>
      </c>
      <c r="E36" s="12" t="n">
        <v>71</v>
      </c>
      <c r="F36" s="12" t="n">
        <v>185</v>
      </c>
      <c r="G36" s="12" t="n">
        <v>264</v>
      </c>
      <c r="H36" s="12" t="n">
        <v>259</v>
      </c>
      <c r="I36" s="12" t="n">
        <v>306</v>
      </c>
      <c r="J36" s="12" t="n">
        <v>46</v>
      </c>
      <c r="K36" s="12" t="n">
        <v>224</v>
      </c>
      <c r="L36" s="12" t="n">
        <v>86</v>
      </c>
      <c r="M36" s="12" t="n">
        <v>69</v>
      </c>
      <c r="N36" s="12" t="n">
        <v>74</v>
      </c>
      <c r="O36" s="12" t="n">
        <v>74</v>
      </c>
      <c r="P36" s="12" t="n">
        <v>84</v>
      </c>
      <c r="Q36" s="12" t="n">
        <v>137</v>
      </c>
      <c r="R36" s="12" t="n">
        <v>64</v>
      </c>
      <c r="S36" s="12" t="n">
        <v>215</v>
      </c>
      <c r="T36" s="12" t="n">
        <v>255</v>
      </c>
      <c r="U36" s="12" t="n">
        <v>86</v>
      </c>
      <c r="V36" s="12" t="n">
        <v>128</v>
      </c>
      <c r="W36" s="12" t="n">
        <v>43</v>
      </c>
      <c r="X36" s="12" t="n">
        <v>246</v>
      </c>
      <c r="Y36" s="12" t="n">
        <v>86</v>
      </c>
      <c r="Z36" s="12" t="n">
        <v>233</v>
      </c>
      <c r="AA36" s="12" t="n">
        <v>71</v>
      </c>
      <c r="AB36" s="12" t="n">
        <v>117</v>
      </c>
      <c r="AC36" s="12" t="n">
        <v>88</v>
      </c>
      <c r="AD36" s="12" t="n">
        <v>115</v>
      </c>
      <c r="AE36" s="12" t="n">
        <v>201</v>
      </c>
      <c r="AF36" s="12" t="n">
        <v>124</v>
      </c>
    </row>
    <row r="37">
      <c r="A37" s="20" t="n"/>
      <c r="B37" s="13" t="inlineStr">
        <is>
          <t>EU defence and security</t>
        </is>
      </c>
      <c r="C37" s="14" t="n">
        <v>0.14</v>
      </c>
      <c r="D37" s="14" t="n">
        <v>0.12</v>
      </c>
      <c r="E37" s="14" t="n">
        <v>0.07000000000000001</v>
      </c>
      <c r="F37" s="14" t="n">
        <v>0.18</v>
      </c>
      <c r="G37" s="14" t="n">
        <v>0.26</v>
      </c>
      <c r="H37" s="14" t="n">
        <v>0.22</v>
      </c>
      <c r="I37" s="14" t="n">
        <v>0.2</v>
      </c>
      <c r="J37" s="14" t="n">
        <v>0.16</v>
      </c>
      <c r="K37" s="14" t="n">
        <v>0.22</v>
      </c>
      <c r="L37" s="14" t="n">
        <v>0.08</v>
      </c>
      <c r="M37" s="14" t="n">
        <v>0.07000000000000001</v>
      </c>
      <c r="N37" s="14" t="n">
        <v>0.07000000000000001</v>
      </c>
      <c r="O37" s="14" t="n">
        <v>0.07000000000000001</v>
      </c>
      <c r="P37" s="14" t="n">
        <v>0.08</v>
      </c>
      <c r="Q37" s="14" t="n">
        <v>0.13</v>
      </c>
      <c r="R37" s="14" t="n">
        <v>0.13</v>
      </c>
      <c r="S37" s="14" t="n">
        <v>0.21</v>
      </c>
      <c r="T37" s="14" t="n">
        <v>0.25</v>
      </c>
      <c r="U37" s="14" t="n">
        <v>0.17</v>
      </c>
      <c r="V37" s="14" t="n">
        <v>0.13</v>
      </c>
      <c r="W37" s="14" t="n">
        <v>0.09</v>
      </c>
      <c r="X37" s="14" t="n">
        <v>0.24</v>
      </c>
      <c r="Y37" s="14" t="n">
        <v>0.09</v>
      </c>
      <c r="Z37" s="14" t="n">
        <v>0.23</v>
      </c>
      <c r="AA37" s="14" t="n">
        <v>0.07000000000000001</v>
      </c>
      <c r="AB37" s="14" t="n">
        <v>0.11</v>
      </c>
      <c r="AC37" s="14" t="n">
        <v>0.09</v>
      </c>
      <c r="AD37" s="14" t="n">
        <v>0.11</v>
      </c>
      <c r="AE37" s="14" t="n">
        <v>0.2</v>
      </c>
      <c r="AF37" s="14" t="n">
        <v>0.12</v>
      </c>
    </row>
    <row r="38">
      <c r="A38" s="20" t="n"/>
      <c r="B38" s="11" t="inlineStr">
        <is>
          <t>L’agriculture et la sécurité alimentaire</t>
        </is>
      </c>
      <c r="C38" s="12" t="n">
        <v>1401</v>
      </c>
      <c r="D38" s="12" t="n">
        <v>36</v>
      </c>
      <c r="E38" s="12" t="n">
        <v>43</v>
      </c>
      <c r="F38" s="12" t="n">
        <v>68</v>
      </c>
      <c r="G38" s="12" t="n">
        <v>43</v>
      </c>
      <c r="H38" s="12" t="n">
        <v>29</v>
      </c>
      <c r="I38" s="12" t="n">
        <v>42</v>
      </c>
      <c r="J38" s="12" t="n">
        <v>13</v>
      </c>
      <c r="K38" s="12" t="n">
        <v>74</v>
      </c>
      <c r="L38" s="12" t="n">
        <v>47</v>
      </c>
      <c r="M38" s="12" t="n">
        <v>42</v>
      </c>
      <c r="N38" s="12" t="n">
        <v>65</v>
      </c>
      <c r="O38" s="12" t="n">
        <v>49</v>
      </c>
      <c r="P38" s="12" t="n">
        <v>110</v>
      </c>
      <c r="Q38" s="12" t="n">
        <v>47</v>
      </c>
      <c r="R38" s="12" t="n">
        <v>17</v>
      </c>
      <c r="S38" s="12" t="n">
        <v>39</v>
      </c>
      <c r="T38" s="12" t="n">
        <v>44</v>
      </c>
      <c r="U38" s="12" t="n">
        <v>15</v>
      </c>
      <c r="V38" s="12" t="n">
        <v>79</v>
      </c>
      <c r="W38" s="12" t="n">
        <v>16</v>
      </c>
      <c r="X38" s="12" t="n">
        <v>26</v>
      </c>
      <c r="Y38" s="12" t="n">
        <v>66</v>
      </c>
      <c r="Z38" s="12" t="n">
        <v>86</v>
      </c>
      <c r="AA38" s="12" t="n">
        <v>33</v>
      </c>
      <c r="AB38" s="12" t="n">
        <v>103</v>
      </c>
      <c r="AC38" s="12" t="n">
        <v>134</v>
      </c>
      <c r="AD38" s="12" t="n">
        <v>82</v>
      </c>
      <c r="AE38" s="12" t="n">
        <v>96</v>
      </c>
      <c r="AF38" s="12" t="n">
        <v>89</v>
      </c>
    </row>
    <row r="39">
      <c r="A39" s="20" t="n"/>
      <c r="B39" s="13" t="inlineStr">
        <is>
          <t>Agriculture and food security</t>
        </is>
      </c>
      <c r="C39" s="14" t="n">
        <v>0.05</v>
      </c>
      <c r="D39" s="14" t="n">
        <v>0.03</v>
      </c>
      <c r="E39" s="14" t="n">
        <v>0.04</v>
      </c>
      <c r="F39" s="14" t="n">
        <v>0.07000000000000001</v>
      </c>
      <c r="G39" s="14" t="n">
        <v>0.04</v>
      </c>
      <c r="H39" s="14" t="n">
        <v>0.02</v>
      </c>
      <c r="I39" s="14" t="n">
        <v>0.03</v>
      </c>
      <c r="J39" s="14" t="n">
        <v>0.04</v>
      </c>
      <c r="K39" s="14" t="n">
        <v>0.07000000000000001</v>
      </c>
      <c r="L39" s="14" t="n">
        <v>0.05</v>
      </c>
      <c r="M39" s="14" t="n">
        <v>0.04</v>
      </c>
      <c r="N39" s="14" t="n">
        <v>0.06</v>
      </c>
      <c r="O39" s="14" t="n">
        <v>0.05</v>
      </c>
      <c r="P39" s="14" t="n">
        <v>0.11</v>
      </c>
      <c r="Q39" s="14" t="n">
        <v>0.05</v>
      </c>
      <c r="R39" s="14" t="n">
        <v>0.03</v>
      </c>
      <c r="S39" s="14" t="n">
        <v>0.04</v>
      </c>
      <c r="T39" s="14" t="n">
        <v>0.04</v>
      </c>
      <c r="U39" s="14" t="n">
        <v>0.03</v>
      </c>
      <c r="V39" s="14" t="n">
        <v>0.08</v>
      </c>
      <c r="W39" s="14" t="n">
        <v>0.03</v>
      </c>
      <c r="X39" s="14" t="n">
        <v>0.03</v>
      </c>
      <c r="Y39" s="14" t="n">
        <v>0.07000000000000001</v>
      </c>
      <c r="Z39" s="14" t="n">
        <v>0.08</v>
      </c>
      <c r="AA39" s="14" t="n">
        <v>0.03</v>
      </c>
      <c r="AB39" s="14" t="n">
        <v>0.1</v>
      </c>
      <c r="AC39" s="14" t="n">
        <v>0.13</v>
      </c>
      <c r="AD39" s="14" t="n">
        <v>0.08</v>
      </c>
      <c r="AE39" s="14" t="n">
        <v>0.09</v>
      </c>
      <c r="AF39" s="14" t="n">
        <v>0.09</v>
      </c>
    </row>
    <row r="40">
      <c r="A40" s="20" t="n"/>
      <c r="B40" s="11" t="inlineStr">
        <is>
          <t>L'égalité des sexes, l'inclusion et la diversité</t>
        </is>
      </c>
      <c r="C40" s="12" t="n">
        <v>611</v>
      </c>
      <c r="D40" s="12" t="n">
        <v>19</v>
      </c>
      <c r="E40" s="12" t="n">
        <v>13</v>
      </c>
      <c r="F40" s="12" t="n">
        <v>14</v>
      </c>
      <c r="G40" s="12" t="n">
        <v>16</v>
      </c>
      <c r="H40" s="12" t="n">
        <v>26</v>
      </c>
      <c r="I40" s="12" t="n">
        <v>31</v>
      </c>
      <c r="J40" s="12" t="n">
        <v>5</v>
      </c>
      <c r="K40" s="12" t="n">
        <v>11</v>
      </c>
      <c r="L40" s="12" t="n">
        <v>13</v>
      </c>
      <c r="M40" s="12" t="n">
        <v>8</v>
      </c>
      <c r="N40" s="12" t="n">
        <v>23</v>
      </c>
      <c r="O40" s="12" t="n">
        <v>24</v>
      </c>
      <c r="P40" s="12" t="n">
        <v>25</v>
      </c>
      <c r="Q40" s="12" t="n">
        <v>32</v>
      </c>
      <c r="R40" s="12" t="n">
        <v>4</v>
      </c>
      <c r="S40" s="12" t="n">
        <v>15</v>
      </c>
      <c r="T40" s="12" t="n">
        <v>12</v>
      </c>
      <c r="U40" s="12" t="n">
        <v>12</v>
      </c>
      <c r="V40" s="12" t="n">
        <v>14</v>
      </c>
      <c r="W40" s="12" t="n">
        <v>22</v>
      </c>
      <c r="X40" s="12" t="n">
        <v>10</v>
      </c>
      <c r="Y40" s="12" t="n">
        <v>27</v>
      </c>
      <c r="Z40" s="12" t="n">
        <v>27</v>
      </c>
      <c r="AA40" s="12" t="n">
        <v>26</v>
      </c>
      <c r="AB40" s="12" t="n">
        <v>32</v>
      </c>
      <c r="AC40" s="12" t="n">
        <v>15</v>
      </c>
      <c r="AD40" s="12" t="n">
        <v>17</v>
      </c>
      <c r="AE40" s="12" t="n">
        <v>24</v>
      </c>
      <c r="AF40" s="12" t="n">
        <v>54</v>
      </c>
    </row>
    <row r="41">
      <c r="A41" s="20" t="n"/>
      <c r="B41" s="13" t="inlineStr">
        <is>
          <t>Gender equality, inclusion and diversity</t>
        </is>
      </c>
      <c r="C41" s="14" t="n">
        <v>0.02</v>
      </c>
      <c r="D41" s="14" t="n">
        <v>0.02</v>
      </c>
      <c r="E41" s="14" t="n">
        <v>0.01</v>
      </c>
      <c r="F41" s="14" t="n">
        <v>0.01</v>
      </c>
      <c r="G41" s="14" t="n">
        <v>0.02</v>
      </c>
      <c r="H41" s="14" t="n">
        <v>0.02</v>
      </c>
      <c r="I41" s="14" t="n">
        <v>0.02</v>
      </c>
      <c r="J41" s="14" t="n">
        <v>0.02</v>
      </c>
      <c r="K41" s="14" t="n">
        <v>0.01</v>
      </c>
      <c r="L41" s="14" t="n">
        <v>0.01</v>
      </c>
      <c r="M41" s="14" t="n">
        <v>0.01</v>
      </c>
      <c r="N41" s="14" t="n">
        <v>0.02</v>
      </c>
      <c r="O41" s="14" t="n">
        <v>0.02</v>
      </c>
      <c r="P41" s="14" t="n">
        <v>0.03</v>
      </c>
      <c r="Q41" s="14" t="n">
        <v>0.03</v>
      </c>
      <c r="R41" s="14" t="n">
        <v>0.01</v>
      </c>
      <c r="S41" s="14" t="n">
        <v>0.02</v>
      </c>
      <c r="T41" s="14" t="n">
        <v>0.01</v>
      </c>
      <c r="U41" s="14" t="n">
        <v>0.02</v>
      </c>
      <c r="V41" s="14" t="n">
        <v>0.01</v>
      </c>
      <c r="W41" s="14" t="n">
        <v>0.04</v>
      </c>
      <c r="X41" s="14" t="n">
        <v>0.01</v>
      </c>
      <c r="Y41" s="14" t="n">
        <v>0.03</v>
      </c>
      <c r="Z41" s="14" t="n">
        <v>0.03</v>
      </c>
      <c r="AA41" s="14" t="n">
        <v>0.03</v>
      </c>
      <c r="AB41" s="14" t="n">
        <v>0.03</v>
      </c>
      <c r="AC41" s="14" t="n">
        <v>0.02</v>
      </c>
      <c r="AD41" s="14" t="n">
        <v>0.02</v>
      </c>
      <c r="AE41" s="14" t="n">
        <v>0.02</v>
      </c>
      <c r="AF41" s="14" t="n">
        <v>0.05</v>
      </c>
    </row>
    <row r="42">
      <c r="A42" s="20" t="n"/>
      <c r="B42" s="11" t="inlineStr">
        <is>
          <t>Autre (SPONTANÉ)</t>
        </is>
      </c>
      <c r="C42" s="12" t="n">
        <v>149</v>
      </c>
      <c r="D42" s="12" t="n">
        <v>1</v>
      </c>
      <c r="E42" s="12" t="n">
        <v>2</v>
      </c>
      <c r="F42" s="12" t="n">
        <v>0</v>
      </c>
      <c r="G42" s="12" t="n">
        <v>1</v>
      </c>
      <c r="H42" s="12" t="n">
        <v>24</v>
      </c>
      <c r="I42" s="12" t="n">
        <v>24</v>
      </c>
      <c r="J42" s="12" t="n">
        <v>0</v>
      </c>
      <c r="K42" s="12" t="n">
        <v>5</v>
      </c>
      <c r="L42" s="12" t="n">
        <v>0</v>
      </c>
      <c r="M42" s="12" t="n">
        <v>3</v>
      </c>
      <c r="N42" s="12" t="n">
        <v>6</v>
      </c>
      <c r="O42" s="12" t="n">
        <v>5</v>
      </c>
      <c r="P42" s="12" t="n">
        <v>0</v>
      </c>
      <c r="Q42" s="12" t="n">
        <v>5</v>
      </c>
      <c r="R42" s="12" t="n">
        <v>2</v>
      </c>
      <c r="S42" s="12" t="n">
        <v>0</v>
      </c>
      <c r="T42" s="12" t="n">
        <v>1</v>
      </c>
      <c r="U42" s="12" t="n">
        <v>3</v>
      </c>
      <c r="V42" s="12" t="n">
        <v>2</v>
      </c>
      <c r="W42" s="12" t="n">
        <v>1</v>
      </c>
      <c r="X42" s="12" t="n">
        <v>5</v>
      </c>
      <c r="Y42" s="12" t="n">
        <v>3</v>
      </c>
      <c r="Z42" s="12" t="n">
        <v>1</v>
      </c>
      <c r="AA42" s="12" t="n">
        <v>0</v>
      </c>
      <c r="AB42" s="12" t="n">
        <v>1</v>
      </c>
      <c r="AC42" s="12" t="n">
        <v>1</v>
      </c>
      <c r="AD42" s="12" t="n">
        <v>0</v>
      </c>
      <c r="AE42" s="12" t="n">
        <v>4</v>
      </c>
      <c r="AF42" s="12" t="n">
        <v>0</v>
      </c>
    </row>
    <row r="43">
      <c r="A43" s="20" t="n"/>
      <c r="B43" s="13" t="inlineStr">
        <is>
          <t>Other (SPONTANEOUS)</t>
        </is>
      </c>
      <c r="C43" s="14" t="n">
        <v>0.01</v>
      </c>
      <c r="D43" s="15" t="inlineStr">
        <is>
          <t>-</t>
        </is>
      </c>
      <c r="E43" s="15" t="inlineStr">
        <is>
          <t>-</t>
        </is>
      </c>
      <c r="F43" s="15" t="inlineStr">
        <is>
          <t>-</t>
        </is>
      </c>
      <c r="G43" s="15" t="inlineStr">
        <is>
          <t>-</t>
        </is>
      </c>
      <c r="H43" s="14" t="n">
        <v>0.02</v>
      </c>
      <c r="I43" s="14" t="n">
        <v>0.02</v>
      </c>
      <c r="J43" s="15" t="inlineStr">
        <is>
          <t>-</t>
        </is>
      </c>
      <c r="K43" s="15" t="inlineStr">
        <is>
          <t>-</t>
        </is>
      </c>
      <c r="L43" s="15" t="inlineStr">
        <is>
          <t>-</t>
        </is>
      </c>
      <c r="M43" s="15" t="inlineStr">
        <is>
          <t>-</t>
        </is>
      </c>
      <c r="N43" s="14" t="n">
        <v>0.01</v>
      </c>
      <c r="O43" s="14" t="n">
        <v>0.01</v>
      </c>
      <c r="P43" s="15" t="inlineStr">
        <is>
          <t>-</t>
        </is>
      </c>
      <c r="Q43" s="14" t="n">
        <v>0.01</v>
      </c>
      <c r="R43" s="15" t="inlineStr">
        <is>
          <t>-</t>
        </is>
      </c>
      <c r="S43" s="15" t="inlineStr">
        <is>
          <t>-</t>
        </is>
      </c>
      <c r="T43" s="15" t="inlineStr">
        <is>
          <t>-</t>
        </is>
      </c>
      <c r="U43" s="14" t="n">
        <v>0.01</v>
      </c>
      <c r="V43" s="15" t="inlineStr">
        <is>
          <t>-</t>
        </is>
      </c>
      <c r="W43" s="15" t="inlineStr">
        <is>
          <t>-</t>
        </is>
      </c>
      <c r="X43" s="15" t="inlineStr">
        <is>
          <t>-</t>
        </is>
      </c>
      <c r="Y43" s="15" t="inlineStr">
        <is>
          <t>-</t>
        </is>
      </c>
      <c r="Z43" s="15" t="inlineStr">
        <is>
          <t>-</t>
        </is>
      </c>
      <c r="AA43" s="15" t="inlineStr">
        <is>
          <t>-</t>
        </is>
      </c>
      <c r="AB43" s="15" t="inlineStr">
        <is>
          <t>-</t>
        </is>
      </c>
      <c r="AC43" s="15" t="inlineStr">
        <is>
          <t>-</t>
        </is>
      </c>
      <c r="AD43" s="15" t="inlineStr">
        <is>
          <t>-</t>
        </is>
      </c>
      <c r="AE43" s="15" t="inlineStr">
        <is>
          <t>-</t>
        </is>
      </c>
      <c r="AF43" s="15" t="inlineStr">
        <is>
          <t>-</t>
        </is>
      </c>
    </row>
    <row r="44">
      <c r="A44" s="20" t="n"/>
      <c r="B44" s="11" t="inlineStr">
        <is>
          <t>Aucun (SPONTANÉ)</t>
        </is>
      </c>
      <c r="C44" s="12" t="n">
        <v>157</v>
      </c>
      <c r="D44" s="12" t="n">
        <v>1</v>
      </c>
      <c r="E44" s="12" t="n">
        <v>15</v>
      </c>
      <c r="F44" s="12" t="n">
        <v>1</v>
      </c>
      <c r="G44" s="12" t="n">
        <v>1</v>
      </c>
      <c r="H44" s="12" t="n">
        <v>13</v>
      </c>
      <c r="I44" s="12" t="n">
        <v>14</v>
      </c>
      <c r="J44" s="12" t="n">
        <v>1</v>
      </c>
      <c r="K44" s="12" t="n">
        <v>9</v>
      </c>
      <c r="L44" s="12" t="n">
        <v>2</v>
      </c>
      <c r="M44" s="12" t="n">
        <v>0</v>
      </c>
      <c r="N44" s="12" t="n">
        <v>8</v>
      </c>
      <c r="O44" s="12" t="n">
        <v>6</v>
      </c>
      <c r="P44" s="12" t="n">
        <v>3</v>
      </c>
      <c r="Q44" s="12" t="n">
        <v>3</v>
      </c>
      <c r="R44" s="12" t="n">
        <v>0</v>
      </c>
      <c r="S44" s="12" t="n">
        <v>5</v>
      </c>
      <c r="T44" s="12" t="n">
        <v>5</v>
      </c>
      <c r="U44" s="12" t="n">
        <v>4</v>
      </c>
      <c r="V44" s="12" t="n">
        <v>2</v>
      </c>
      <c r="W44" s="12" t="n">
        <v>0</v>
      </c>
      <c r="X44" s="12" t="n">
        <v>15</v>
      </c>
      <c r="Y44" s="12" t="n">
        <v>7</v>
      </c>
      <c r="Z44" s="12" t="n">
        <v>8</v>
      </c>
      <c r="AA44" s="12" t="n">
        <v>2</v>
      </c>
      <c r="AB44" s="12" t="n">
        <v>3</v>
      </c>
      <c r="AC44" s="12" t="n">
        <v>2</v>
      </c>
      <c r="AD44" s="12" t="n">
        <v>1</v>
      </c>
      <c r="AE44" s="12" t="n">
        <v>4</v>
      </c>
      <c r="AF44" s="12" t="n">
        <v>0</v>
      </c>
    </row>
    <row r="45">
      <c r="A45" s="20" t="n"/>
      <c r="B45" s="13" t="inlineStr">
        <is>
          <t>None (SPONTANEOUS)</t>
        </is>
      </c>
      <c r="C45" s="14" t="n">
        <v>0.01</v>
      </c>
      <c r="D45" s="15" t="inlineStr">
        <is>
          <t>-</t>
        </is>
      </c>
      <c r="E45" s="14" t="n">
        <v>0.01</v>
      </c>
      <c r="F45" s="15" t="inlineStr">
        <is>
          <t>-</t>
        </is>
      </c>
      <c r="G45" s="15" t="inlineStr">
        <is>
          <t>-</t>
        </is>
      </c>
      <c r="H45" s="14" t="n">
        <v>0.01</v>
      </c>
      <c r="I45" s="14" t="n">
        <v>0.01</v>
      </c>
      <c r="J45" s="15" t="inlineStr">
        <is>
          <t>-</t>
        </is>
      </c>
      <c r="K45" s="14" t="n">
        <v>0.01</v>
      </c>
      <c r="L45" s="15" t="inlineStr">
        <is>
          <t>-</t>
        </is>
      </c>
      <c r="M45" s="15" t="inlineStr">
        <is>
          <t>-</t>
        </is>
      </c>
      <c r="N45" s="14" t="n">
        <v>0.01</v>
      </c>
      <c r="O45" s="14" t="n">
        <v>0.01</v>
      </c>
      <c r="P45" s="15" t="inlineStr">
        <is>
          <t>-</t>
        </is>
      </c>
      <c r="Q45" s="15" t="inlineStr">
        <is>
          <t>-</t>
        </is>
      </c>
      <c r="R45" s="15" t="inlineStr">
        <is>
          <t>-</t>
        </is>
      </c>
      <c r="S45" s="14" t="n">
        <v>0.01</v>
      </c>
      <c r="T45" s="14" t="n">
        <v>0.01</v>
      </c>
      <c r="U45" s="14" t="n">
        <v>0.01</v>
      </c>
      <c r="V45" s="15" t="inlineStr">
        <is>
          <t>-</t>
        </is>
      </c>
      <c r="W45" s="15" t="inlineStr">
        <is>
          <t>-</t>
        </is>
      </c>
      <c r="X45" s="14" t="n">
        <v>0.02</v>
      </c>
      <c r="Y45" s="14" t="n">
        <v>0.01</v>
      </c>
      <c r="Z45" s="14" t="n">
        <v>0.01</v>
      </c>
      <c r="AA45" s="15" t="inlineStr">
        <is>
          <t>-</t>
        </is>
      </c>
      <c r="AB45" s="15" t="inlineStr">
        <is>
          <t>-</t>
        </is>
      </c>
      <c r="AC45" s="15" t="inlineStr">
        <is>
          <t>-</t>
        </is>
      </c>
      <c r="AD45" s="15" t="inlineStr">
        <is>
          <t>-</t>
        </is>
      </c>
      <c r="AE45" s="15" t="inlineStr">
        <is>
          <t>-</t>
        </is>
      </c>
      <c r="AF45" s="15" t="inlineStr">
        <is>
          <t>-</t>
        </is>
      </c>
    </row>
    <row r="46">
      <c r="A46" s="20" t="n"/>
      <c r="B46" s="11" t="inlineStr">
        <is>
          <t>Ne sait pas</t>
        </is>
      </c>
      <c r="C46" s="12" t="n">
        <v>196</v>
      </c>
      <c r="D46" s="12" t="n">
        <v>0</v>
      </c>
      <c r="E46" s="12" t="n">
        <v>19</v>
      </c>
      <c r="F46" s="12" t="n">
        <v>30</v>
      </c>
      <c r="G46" s="12" t="n">
        <v>7</v>
      </c>
      <c r="H46" s="12" t="n">
        <v>3</v>
      </c>
      <c r="I46" s="12" t="n">
        <v>4</v>
      </c>
      <c r="J46" s="12" t="n">
        <v>1</v>
      </c>
      <c r="K46" s="12" t="n">
        <v>18</v>
      </c>
      <c r="L46" s="12" t="n">
        <v>11</v>
      </c>
      <c r="M46" s="12" t="n">
        <v>1</v>
      </c>
      <c r="N46" s="12" t="n">
        <v>11</v>
      </c>
      <c r="O46" s="12" t="n">
        <v>11</v>
      </c>
      <c r="P46" s="12" t="n">
        <v>1</v>
      </c>
      <c r="Q46" s="12" t="n">
        <v>1</v>
      </c>
      <c r="R46" s="12" t="n">
        <v>6</v>
      </c>
      <c r="S46" s="12" t="n">
        <v>15</v>
      </c>
      <c r="T46" s="12" t="n">
        <v>16</v>
      </c>
      <c r="U46" s="12" t="n">
        <v>2</v>
      </c>
      <c r="V46" s="12" t="n">
        <v>1</v>
      </c>
      <c r="W46" s="12" t="n">
        <v>4</v>
      </c>
      <c r="X46" s="12" t="n">
        <v>2</v>
      </c>
      <c r="Y46" s="12" t="n">
        <v>1</v>
      </c>
      <c r="Z46" s="12" t="n">
        <v>16</v>
      </c>
      <c r="AA46" s="12" t="n">
        <v>4</v>
      </c>
      <c r="AB46" s="12" t="n">
        <v>22</v>
      </c>
      <c r="AC46" s="12" t="n">
        <v>3</v>
      </c>
      <c r="AD46" s="12" t="n">
        <v>1</v>
      </c>
      <c r="AE46" s="12" t="n">
        <v>5</v>
      </c>
      <c r="AF46" s="12" t="n">
        <v>1</v>
      </c>
    </row>
    <row r="47">
      <c r="A47" s="23" t="n"/>
      <c r="B47" s="13" t="inlineStr">
        <is>
          <t>Don't know</t>
        </is>
      </c>
      <c r="C47" s="14" t="n">
        <v>0.01</v>
      </c>
      <c r="D47" s="15" t="inlineStr">
        <is>
          <t>-</t>
        </is>
      </c>
      <c r="E47" s="14" t="n">
        <v>0.02</v>
      </c>
      <c r="F47" s="14" t="n">
        <v>0.03</v>
      </c>
      <c r="G47" s="14" t="n">
        <v>0.01</v>
      </c>
      <c r="H47" s="15" t="inlineStr">
        <is>
          <t>-</t>
        </is>
      </c>
      <c r="I47" s="15" t="inlineStr">
        <is>
          <t>-</t>
        </is>
      </c>
      <c r="J47" s="15" t="inlineStr">
        <is>
          <t>-</t>
        </is>
      </c>
      <c r="K47" s="14" t="n">
        <v>0.02</v>
      </c>
      <c r="L47" s="14" t="n">
        <v>0.01</v>
      </c>
      <c r="M47" s="15" t="inlineStr">
        <is>
          <t>-</t>
        </is>
      </c>
      <c r="N47" s="14" t="n">
        <v>0.01</v>
      </c>
      <c r="O47" s="14" t="n">
        <v>0.01</v>
      </c>
      <c r="P47" s="15" t="inlineStr">
        <is>
          <t>-</t>
        </is>
      </c>
      <c r="Q47" s="15" t="inlineStr">
        <is>
          <t>-</t>
        </is>
      </c>
      <c r="R47" s="14" t="n">
        <v>0.01</v>
      </c>
      <c r="S47" s="14" t="n">
        <v>0.01</v>
      </c>
      <c r="T47" s="14" t="n">
        <v>0.02</v>
      </c>
      <c r="U47" s="15" t="inlineStr">
        <is>
          <t>-</t>
        </is>
      </c>
      <c r="V47" s="15" t="inlineStr">
        <is>
          <t>-</t>
        </is>
      </c>
      <c r="W47" s="14" t="n">
        <v>0.01</v>
      </c>
      <c r="X47" s="15" t="inlineStr">
        <is>
          <t>-</t>
        </is>
      </c>
      <c r="Y47" s="15" t="inlineStr">
        <is>
          <t>-</t>
        </is>
      </c>
      <c r="Z47" s="14" t="n">
        <v>0.01</v>
      </c>
      <c r="AA47" s="15" t="inlineStr">
        <is>
          <t>-</t>
        </is>
      </c>
      <c r="AB47" s="14" t="n">
        <v>0.02</v>
      </c>
      <c r="AC47" s="15" t="inlineStr">
        <is>
          <t>-</t>
        </is>
      </c>
      <c r="AD47" s="15" t="inlineStr">
        <is>
          <t>-</t>
        </is>
      </c>
      <c r="AE47" s="14" t="n">
        <v>0.01</v>
      </c>
      <c r="AF47" s="15" t="inlineStr">
        <is>
          <t>-</t>
        </is>
      </c>
    </row>
  </sheetData>
  <mergeCells count="9">
    <mergeCell ref="B4:F4"/>
    <mergeCell ref="A10:A47"/>
    <mergeCell ref="H3:L3"/>
    <mergeCell ref="C8:AF8"/>
    <mergeCell ref="B3:F3"/>
    <mergeCell ref="B5:F5"/>
    <mergeCell ref="H5:L5"/>
    <mergeCell ref="B10:B11"/>
    <mergeCell ref="H4:L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47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12" customHeight="1" s="18">
      <c r="B3" s="21" t="inlineStr">
        <is>
          <t>QA7b. Et ensuite ? (3 RÉPONSES MAX.)</t>
        </is>
      </c>
      <c r="H3" s="21" t="inlineStr">
        <is>
          <t>QA7b. And then? (MAX. 3 ANSWERS)</t>
        </is>
      </c>
    </row>
    <row r="4" ht="27" customHeight="1" s="18">
      <c r="B4" s="21" t="n"/>
      <c r="H4" s="21" t="n"/>
    </row>
    <row r="5" ht="24" customHeight="1" s="18">
      <c r="B5" s="21" t="inlineStr">
        <is>
          <t>Base: Not asked to respondents who answered "None" or "Don't know" in QA7a</t>
        </is>
      </c>
      <c r="H5" s="21" t="inlineStr">
        <is>
          <t>Base: Pas demandé aux répondants qui ont répondu “Aucun” ou “Ne sait pas” à la QA7a</t>
        </is>
      </c>
    </row>
    <row r="6" ht="0.95" customHeight="1" s="18"/>
    <row r="7" ht="0.95" customHeight="1" s="18"/>
    <row r="8">
      <c r="C8" s="22" t="n"/>
    </row>
    <row r="9">
      <c r="A9" s="5">
        <f>HYPERLINK("#Content!A19","&lt;&lt;Back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26068</v>
      </c>
      <c r="D10" s="10" t="n">
        <v>1020</v>
      </c>
      <c r="E10" s="10" t="n">
        <v>980</v>
      </c>
      <c r="F10" s="10" t="n">
        <v>1018</v>
      </c>
      <c r="G10" s="10" t="n">
        <v>999</v>
      </c>
      <c r="H10" s="10" t="n">
        <v>1197</v>
      </c>
      <c r="I10" s="10" t="n">
        <v>1489</v>
      </c>
      <c r="J10" s="10" t="n">
        <v>290</v>
      </c>
      <c r="K10" s="10" t="n">
        <v>980</v>
      </c>
      <c r="L10" s="10" t="n">
        <v>997</v>
      </c>
      <c r="M10" s="10" t="n">
        <v>1006</v>
      </c>
      <c r="N10" s="10" t="n">
        <v>987</v>
      </c>
      <c r="O10" s="10" t="n">
        <v>999</v>
      </c>
      <c r="P10" s="10" t="n">
        <v>1003</v>
      </c>
      <c r="Q10" s="10" t="n">
        <v>1025</v>
      </c>
      <c r="R10" s="10" t="n">
        <v>498</v>
      </c>
      <c r="S10" s="10" t="n">
        <v>985</v>
      </c>
      <c r="T10" s="10" t="n">
        <v>996</v>
      </c>
      <c r="U10" s="10" t="n">
        <v>502</v>
      </c>
      <c r="V10" s="10" t="n">
        <v>1017</v>
      </c>
      <c r="W10" s="10" t="n">
        <v>501</v>
      </c>
      <c r="X10" s="10" t="n">
        <v>1006</v>
      </c>
      <c r="Y10" s="10" t="n">
        <v>994</v>
      </c>
      <c r="Z10" s="10" t="n">
        <v>996</v>
      </c>
      <c r="AA10" s="10" t="n">
        <v>1026</v>
      </c>
      <c r="AB10" s="10" t="n">
        <v>1019</v>
      </c>
      <c r="AC10" s="10" t="n">
        <v>1002</v>
      </c>
      <c r="AD10" s="10" t="n">
        <v>998</v>
      </c>
      <c r="AE10" s="10" t="n">
        <v>1007</v>
      </c>
      <c r="AF10" s="10" t="n">
        <v>1035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La santé publique</t>
        </is>
      </c>
      <c r="C12" s="12" t="n">
        <v>5972</v>
      </c>
      <c r="D12" s="12" t="n">
        <v>190</v>
      </c>
      <c r="E12" s="12" t="n">
        <v>263</v>
      </c>
      <c r="F12" s="12" t="n">
        <v>196</v>
      </c>
      <c r="G12" s="12" t="n">
        <v>154</v>
      </c>
      <c r="H12" s="12" t="n">
        <v>136</v>
      </c>
      <c r="I12" s="12" t="n">
        <v>186</v>
      </c>
      <c r="J12" s="12" t="n">
        <v>51</v>
      </c>
      <c r="K12" s="12" t="n">
        <v>213</v>
      </c>
      <c r="L12" s="12" t="n">
        <v>331</v>
      </c>
      <c r="M12" s="12" t="n">
        <v>381</v>
      </c>
      <c r="N12" s="12" t="n">
        <v>308</v>
      </c>
      <c r="O12" s="12" t="n">
        <v>276</v>
      </c>
      <c r="P12" s="12" t="n">
        <v>228</v>
      </c>
      <c r="Q12" s="12" t="n">
        <v>267</v>
      </c>
      <c r="R12" s="12" t="n">
        <v>143</v>
      </c>
      <c r="S12" s="12" t="n">
        <v>316</v>
      </c>
      <c r="T12" s="12" t="n">
        <v>267</v>
      </c>
      <c r="U12" s="12" t="n">
        <v>92</v>
      </c>
      <c r="V12" s="12" t="n">
        <v>272</v>
      </c>
      <c r="W12" s="12" t="n">
        <v>118</v>
      </c>
      <c r="X12" s="12" t="n">
        <v>143</v>
      </c>
      <c r="Y12" s="12" t="n">
        <v>172</v>
      </c>
      <c r="Z12" s="12" t="n">
        <v>227</v>
      </c>
      <c r="AA12" s="12" t="n">
        <v>432</v>
      </c>
      <c r="AB12" s="12" t="n">
        <v>189</v>
      </c>
      <c r="AC12" s="12" t="n">
        <v>320</v>
      </c>
      <c r="AD12" s="12" t="n">
        <v>225</v>
      </c>
      <c r="AE12" s="12" t="n">
        <v>80</v>
      </c>
      <c r="AF12" s="12" t="n">
        <v>176</v>
      </c>
    </row>
    <row r="13">
      <c r="A13" s="20" t="n"/>
      <c r="B13" s="13" t="inlineStr">
        <is>
          <t>Public health</t>
        </is>
      </c>
      <c r="C13" s="14" t="n">
        <v>0.25</v>
      </c>
      <c r="D13" s="14" t="n">
        <v>0.2</v>
      </c>
      <c r="E13" s="14" t="n">
        <v>0.28</v>
      </c>
      <c r="F13" s="14" t="n">
        <v>0.2</v>
      </c>
      <c r="G13" s="14" t="n">
        <v>0.16</v>
      </c>
      <c r="H13" s="14" t="n">
        <v>0.12</v>
      </c>
      <c r="I13" s="14" t="n">
        <v>0.13</v>
      </c>
      <c r="J13" s="14" t="n">
        <v>0.18</v>
      </c>
      <c r="K13" s="14" t="n">
        <v>0.23</v>
      </c>
      <c r="L13" s="14" t="n">
        <v>0.38</v>
      </c>
      <c r="M13" s="14" t="n">
        <v>0.43</v>
      </c>
      <c r="N13" s="14" t="n">
        <v>0.36</v>
      </c>
      <c r="O13" s="14" t="n">
        <v>0.3</v>
      </c>
      <c r="P13" s="14" t="n">
        <v>0.24</v>
      </c>
      <c r="Q13" s="14" t="n">
        <v>0.28</v>
      </c>
      <c r="R13" s="14" t="n">
        <v>0.31</v>
      </c>
      <c r="S13" s="14" t="n">
        <v>0.37</v>
      </c>
      <c r="T13" s="14" t="n">
        <v>0.3</v>
      </c>
      <c r="U13" s="14" t="n">
        <v>0.19</v>
      </c>
      <c r="V13" s="14" t="n">
        <v>0.3</v>
      </c>
      <c r="W13" s="14" t="n">
        <v>0.27</v>
      </c>
      <c r="X13" s="14" t="n">
        <v>0.15</v>
      </c>
      <c r="Y13" s="14" t="n">
        <v>0.18</v>
      </c>
      <c r="Z13" s="14" t="n">
        <v>0.25</v>
      </c>
      <c r="AA13" s="14" t="n">
        <v>0.53</v>
      </c>
      <c r="AB13" s="14" t="n">
        <v>0.2</v>
      </c>
      <c r="AC13" s="14" t="n">
        <v>0.38</v>
      </c>
      <c r="AD13" s="14" t="n">
        <v>0.24</v>
      </c>
      <c r="AE13" s="14" t="n">
        <v>0.08</v>
      </c>
      <c r="AF13" s="14" t="n">
        <v>0.18</v>
      </c>
    </row>
    <row r="14">
      <c r="A14" s="20" t="n"/>
      <c r="B14" s="11" t="inlineStr">
        <is>
          <t>L’environnement et le changement climatique</t>
        </is>
      </c>
      <c r="C14" s="12" t="n">
        <v>4245</v>
      </c>
      <c r="D14" s="12" t="n">
        <v>179</v>
      </c>
      <c r="E14" s="12" t="n">
        <v>79</v>
      </c>
      <c r="F14" s="12" t="n">
        <v>111</v>
      </c>
      <c r="G14" s="12" t="n">
        <v>281</v>
      </c>
      <c r="H14" s="12" t="n">
        <v>232</v>
      </c>
      <c r="I14" s="12" t="n">
        <v>279</v>
      </c>
      <c r="J14" s="12" t="n">
        <v>47</v>
      </c>
      <c r="K14" s="12" t="n">
        <v>58</v>
      </c>
      <c r="L14" s="12" t="n">
        <v>137</v>
      </c>
      <c r="M14" s="12" t="n">
        <v>129</v>
      </c>
      <c r="N14" s="12" t="n">
        <v>116</v>
      </c>
      <c r="O14" s="12" t="n">
        <v>213</v>
      </c>
      <c r="P14" s="12" t="n">
        <v>114</v>
      </c>
      <c r="Q14" s="12" t="n">
        <v>174</v>
      </c>
      <c r="R14" s="12" t="n">
        <v>36</v>
      </c>
      <c r="S14" s="12" t="n">
        <v>59</v>
      </c>
      <c r="T14" s="12" t="n">
        <v>62</v>
      </c>
      <c r="U14" s="12" t="n">
        <v>76</v>
      </c>
      <c r="V14" s="12" t="n">
        <v>190</v>
      </c>
      <c r="W14" s="12" t="n">
        <v>89</v>
      </c>
      <c r="X14" s="12" t="n">
        <v>246</v>
      </c>
      <c r="Y14" s="12" t="n">
        <v>161</v>
      </c>
      <c r="Z14" s="12" t="n">
        <v>91</v>
      </c>
      <c r="AA14" s="12" t="n">
        <v>106</v>
      </c>
      <c r="AB14" s="12" t="n">
        <v>84</v>
      </c>
      <c r="AC14" s="12" t="n">
        <v>161</v>
      </c>
      <c r="AD14" s="12" t="n">
        <v>113</v>
      </c>
      <c r="AE14" s="12" t="n">
        <v>204</v>
      </c>
      <c r="AF14" s="12" t="n">
        <v>273</v>
      </c>
    </row>
    <row r="15">
      <c r="A15" s="20" t="n"/>
      <c r="B15" s="13" t="inlineStr">
        <is>
          <t>Environment and climate change</t>
        </is>
      </c>
      <c r="C15" s="14" t="n">
        <v>0.17</v>
      </c>
      <c r="D15" s="14" t="n">
        <v>0.19</v>
      </c>
      <c r="E15" s="14" t="n">
        <v>0.08</v>
      </c>
      <c r="F15" s="14" t="n">
        <v>0.11</v>
      </c>
      <c r="G15" s="14" t="n">
        <v>0.34</v>
      </c>
      <c r="H15" s="14" t="n">
        <v>0.21</v>
      </c>
      <c r="I15" s="14" t="n">
        <v>0.2</v>
      </c>
      <c r="J15" s="14" t="n">
        <v>0.17</v>
      </c>
      <c r="K15" s="14" t="n">
        <v>0.06</v>
      </c>
      <c r="L15" s="14" t="n">
        <v>0.14</v>
      </c>
      <c r="M15" s="14" t="n">
        <v>0.13</v>
      </c>
      <c r="N15" s="14" t="n">
        <v>0.12</v>
      </c>
      <c r="O15" s="14" t="n">
        <v>0.23</v>
      </c>
      <c r="P15" s="14" t="n">
        <v>0.12</v>
      </c>
      <c r="Q15" s="14" t="n">
        <v>0.18</v>
      </c>
      <c r="R15" s="14" t="n">
        <v>0.08</v>
      </c>
      <c r="S15" s="14" t="n">
        <v>0.06</v>
      </c>
      <c r="T15" s="14" t="n">
        <v>0.06</v>
      </c>
      <c r="U15" s="14" t="n">
        <v>0.16</v>
      </c>
      <c r="V15" s="14" t="n">
        <v>0.19</v>
      </c>
      <c r="W15" s="14" t="n">
        <v>0.19</v>
      </c>
      <c r="X15" s="14" t="n">
        <v>0.27</v>
      </c>
      <c r="Y15" s="14" t="n">
        <v>0.17</v>
      </c>
      <c r="Z15" s="14" t="n">
        <v>0.09</v>
      </c>
      <c r="AA15" s="14" t="n">
        <v>0.1</v>
      </c>
      <c r="AB15" s="14" t="n">
        <v>0.08</v>
      </c>
      <c r="AC15" s="14" t="n">
        <v>0.17</v>
      </c>
      <c r="AD15" s="14" t="n">
        <v>0.12</v>
      </c>
      <c r="AE15" s="14" t="n">
        <v>0.22</v>
      </c>
      <c r="AF15" s="14" t="n">
        <v>0.34</v>
      </c>
    </row>
    <row r="16">
      <c r="A16" s="20" t="n"/>
      <c r="B16" s="11" t="inlineStr">
        <is>
          <t>La pauvreté et l’exclusion sociale</t>
        </is>
      </c>
      <c r="C16" s="12" t="n">
        <v>4873</v>
      </c>
      <c r="D16" s="12" t="n">
        <v>217</v>
      </c>
      <c r="E16" s="12" t="n">
        <v>273</v>
      </c>
      <c r="F16" s="12" t="n">
        <v>123</v>
      </c>
      <c r="G16" s="12" t="n">
        <v>126</v>
      </c>
      <c r="H16" s="12" t="n">
        <v>192</v>
      </c>
      <c r="I16" s="12" t="n">
        <v>257</v>
      </c>
      <c r="J16" s="12" t="n">
        <v>66</v>
      </c>
      <c r="K16" s="12" t="n">
        <v>134</v>
      </c>
      <c r="L16" s="12" t="n">
        <v>179</v>
      </c>
      <c r="M16" s="12" t="n">
        <v>304</v>
      </c>
      <c r="N16" s="12" t="n">
        <v>157</v>
      </c>
      <c r="O16" s="12" t="n">
        <v>239</v>
      </c>
      <c r="P16" s="12" t="n">
        <v>297</v>
      </c>
      <c r="Q16" s="12" t="n">
        <v>156</v>
      </c>
      <c r="R16" s="12" t="n">
        <v>111</v>
      </c>
      <c r="S16" s="12" t="n">
        <v>196</v>
      </c>
      <c r="T16" s="12" t="n">
        <v>241</v>
      </c>
      <c r="U16" s="12" t="n">
        <v>137</v>
      </c>
      <c r="V16" s="12" t="n">
        <v>206</v>
      </c>
      <c r="W16" s="12" t="n">
        <v>87</v>
      </c>
      <c r="X16" s="12" t="n">
        <v>186</v>
      </c>
      <c r="Y16" s="12" t="n">
        <v>214</v>
      </c>
      <c r="Z16" s="12" t="n">
        <v>100</v>
      </c>
      <c r="AA16" s="12" t="n">
        <v>359</v>
      </c>
      <c r="AB16" s="12" t="n">
        <v>195</v>
      </c>
      <c r="AC16" s="12" t="n">
        <v>175</v>
      </c>
      <c r="AD16" s="12" t="n">
        <v>171</v>
      </c>
      <c r="AE16" s="12" t="n">
        <v>225</v>
      </c>
      <c r="AF16" s="12" t="n">
        <v>229</v>
      </c>
    </row>
    <row r="17">
      <c r="A17" s="20" t="n"/>
      <c r="B17" s="13" t="inlineStr">
        <is>
          <t>Poverty and social exclusion</t>
        </is>
      </c>
      <c r="C17" s="14" t="n">
        <v>0.2</v>
      </c>
      <c r="D17" s="14" t="n">
        <v>0.24</v>
      </c>
      <c r="E17" s="14" t="n">
        <v>0.32</v>
      </c>
      <c r="F17" s="14" t="n">
        <v>0.13</v>
      </c>
      <c r="G17" s="14" t="n">
        <v>0.13</v>
      </c>
      <c r="H17" s="14" t="n">
        <v>0.17</v>
      </c>
      <c r="I17" s="14" t="n">
        <v>0.18</v>
      </c>
      <c r="J17" s="14" t="n">
        <v>0.24</v>
      </c>
      <c r="K17" s="14" t="n">
        <v>0.14</v>
      </c>
      <c r="L17" s="14" t="n">
        <v>0.19</v>
      </c>
      <c r="M17" s="14" t="n">
        <v>0.35</v>
      </c>
      <c r="N17" s="14" t="n">
        <v>0.17</v>
      </c>
      <c r="O17" s="14" t="n">
        <v>0.27</v>
      </c>
      <c r="P17" s="14" t="n">
        <v>0.33</v>
      </c>
      <c r="Q17" s="14" t="n">
        <v>0.16</v>
      </c>
      <c r="R17" s="14" t="n">
        <v>0.24</v>
      </c>
      <c r="S17" s="14" t="n">
        <v>0.22</v>
      </c>
      <c r="T17" s="14" t="n">
        <v>0.28</v>
      </c>
      <c r="U17" s="14" t="n">
        <v>0.31</v>
      </c>
      <c r="V17" s="14" t="n">
        <v>0.22</v>
      </c>
      <c r="W17" s="14" t="n">
        <v>0.19</v>
      </c>
      <c r="X17" s="14" t="n">
        <v>0.2</v>
      </c>
      <c r="Y17" s="14" t="n">
        <v>0.23</v>
      </c>
      <c r="Z17" s="14" t="n">
        <v>0.1</v>
      </c>
      <c r="AA17" s="14" t="n">
        <v>0.4</v>
      </c>
      <c r="AB17" s="14" t="n">
        <v>0.21</v>
      </c>
      <c r="AC17" s="14" t="n">
        <v>0.19</v>
      </c>
      <c r="AD17" s="14" t="n">
        <v>0.19</v>
      </c>
      <c r="AE17" s="14" t="n">
        <v>0.25</v>
      </c>
      <c r="AF17" s="14" t="n">
        <v>0.23</v>
      </c>
    </row>
    <row r="18">
      <c r="A18" s="20" t="n"/>
      <c r="B18" s="11" t="inlineStr">
        <is>
          <t>L’économie et la création de nouveaux emplois</t>
        </is>
      </c>
      <c r="C18" s="12" t="n">
        <v>6576</v>
      </c>
      <c r="D18" s="12" t="n">
        <v>204</v>
      </c>
      <c r="E18" s="12" t="n">
        <v>371</v>
      </c>
      <c r="F18" s="12" t="n">
        <v>207</v>
      </c>
      <c r="G18" s="12" t="n">
        <v>204</v>
      </c>
      <c r="H18" s="12" t="n">
        <v>304</v>
      </c>
      <c r="I18" s="12" t="n">
        <v>384</v>
      </c>
      <c r="J18" s="12" t="n">
        <v>80</v>
      </c>
      <c r="K18" s="12" t="n">
        <v>320</v>
      </c>
      <c r="L18" s="12" t="n">
        <v>270</v>
      </c>
      <c r="M18" s="12" t="n">
        <v>354</v>
      </c>
      <c r="N18" s="12" t="n">
        <v>318</v>
      </c>
      <c r="O18" s="12" t="n">
        <v>161</v>
      </c>
      <c r="P18" s="12" t="n">
        <v>337</v>
      </c>
      <c r="Q18" s="12" t="n">
        <v>291</v>
      </c>
      <c r="R18" s="12" t="n">
        <v>150</v>
      </c>
      <c r="S18" s="12" t="n">
        <v>291</v>
      </c>
      <c r="T18" s="12" t="n">
        <v>343</v>
      </c>
      <c r="U18" s="12" t="n">
        <v>106</v>
      </c>
      <c r="V18" s="12" t="n">
        <v>312</v>
      </c>
      <c r="W18" s="12" t="n">
        <v>95</v>
      </c>
      <c r="X18" s="12" t="n">
        <v>108</v>
      </c>
      <c r="Y18" s="12" t="n">
        <v>307</v>
      </c>
      <c r="Z18" s="12" t="n">
        <v>213</v>
      </c>
      <c r="AA18" s="12" t="n">
        <v>390</v>
      </c>
      <c r="AB18" s="12" t="n">
        <v>282</v>
      </c>
      <c r="AC18" s="12" t="n">
        <v>253</v>
      </c>
      <c r="AD18" s="12" t="n">
        <v>325</v>
      </c>
      <c r="AE18" s="12" t="n">
        <v>252</v>
      </c>
      <c r="AF18" s="12" t="n">
        <v>215</v>
      </c>
    </row>
    <row r="19">
      <c r="A19" s="20" t="n"/>
      <c r="B19" s="13" t="inlineStr">
        <is>
          <t>Economy and job creation</t>
        </is>
      </c>
      <c r="C19" s="14" t="n">
        <v>0.28</v>
      </c>
      <c r="D19" s="14" t="n">
        <v>0.21</v>
      </c>
      <c r="E19" s="14" t="n">
        <v>0.44</v>
      </c>
      <c r="F19" s="14" t="n">
        <v>0.22</v>
      </c>
      <c r="G19" s="14" t="n">
        <v>0.21</v>
      </c>
      <c r="H19" s="14" t="n">
        <v>0.27</v>
      </c>
      <c r="I19" s="14" t="n">
        <v>0.28</v>
      </c>
      <c r="J19" s="14" t="n">
        <v>0.3</v>
      </c>
      <c r="K19" s="14" t="n">
        <v>0.38</v>
      </c>
      <c r="L19" s="14" t="n">
        <v>0.29</v>
      </c>
      <c r="M19" s="14" t="n">
        <v>0.42</v>
      </c>
      <c r="N19" s="14" t="n">
        <v>0.38</v>
      </c>
      <c r="O19" s="14" t="n">
        <v>0.17</v>
      </c>
      <c r="P19" s="14" t="n">
        <v>0.38</v>
      </c>
      <c r="Q19" s="14" t="n">
        <v>0.32</v>
      </c>
      <c r="R19" s="14" t="n">
        <v>0.35</v>
      </c>
      <c r="S19" s="14" t="n">
        <v>0.35</v>
      </c>
      <c r="T19" s="14" t="n">
        <v>0.4</v>
      </c>
      <c r="U19" s="14" t="n">
        <v>0.23</v>
      </c>
      <c r="V19" s="14" t="n">
        <v>0.35</v>
      </c>
      <c r="W19" s="14" t="n">
        <v>0.21</v>
      </c>
      <c r="X19" s="14" t="n">
        <v>0.11</v>
      </c>
      <c r="Y19" s="14" t="n">
        <v>0.34</v>
      </c>
      <c r="Z19" s="14" t="n">
        <v>0.24</v>
      </c>
      <c r="AA19" s="14" t="n">
        <v>0.42</v>
      </c>
      <c r="AB19" s="14" t="n">
        <v>0.32</v>
      </c>
      <c r="AC19" s="14" t="n">
        <v>0.29</v>
      </c>
      <c r="AD19" s="14" t="n">
        <v>0.37</v>
      </c>
      <c r="AE19" s="14" t="n">
        <v>0.3</v>
      </c>
      <c r="AF19" s="14" t="n">
        <v>0.22</v>
      </c>
    </row>
    <row r="20">
      <c r="A20" s="20" t="n"/>
      <c r="B20" s="11" t="inlineStr">
        <is>
          <t>L’inflation, la hausse des prix et le coût de la vie</t>
        </is>
      </c>
      <c r="C20" s="12" t="n">
        <v>7300</v>
      </c>
      <c r="D20" s="12" t="n">
        <v>236</v>
      </c>
      <c r="E20" s="12" t="n">
        <v>312</v>
      </c>
      <c r="F20" s="12" t="n">
        <v>307</v>
      </c>
      <c r="G20" s="12" t="n">
        <v>194</v>
      </c>
      <c r="H20" s="12" t="n">
        <v>273</v>
      </c>
      <c r="I20" s="12" t="n">
        <v>387</v>
      </c>
      <c r="J20" s="12" t="n">
        <v>114</v>
      </c>
      <c r="K20" s="12" t="n">
        <v>330</v>
      </c>
      <c r="L20" s="12" t="n">
        <v>274</v>
      </c>
      <c r="M20" s="12" t="n">
        <v>315</v>
      </c>
      <c r="N20" s="12" t="n">
        <v>301</v>
      </c>
      <c r="O20" s="12" t="n">
        <v>283</v>
      </c>
      <c r="P20" s="12" t="n">
        <v>338</v>
      </c>
      <c r="Q20" s="12" t="n">
        <v>328</v>
      </c>
      <c r="R20" s="12" t="n">
        <v>149</v>
      </c>
      <c r="S20" s="12" t="n">
        <v>276</v>
      </c>
      <c r="T20" s="12" t="n">
        <v>304</v>
      </c>
      <c r="U20" s="12" t="n">
        <v>128</v>
      </c>
      <c r="V20" s="12" t="n">
        <v>283</v>
      </c>
      <c r="W20" s="12" t="n">
        <v>144</v>
      </c>
      <c r="X20" s="12" t="n">
        <v>243</v>
      </c>
      <c r="Y20" s="12" t="n">
        <v>291</v>
      </c>
      <c r="Z20" s="12" t="n">
        <v>278</v>
      </c>
      <c r="AA20" s="12" t="n">
        <v>339</v>
      </c>
      <c r="AB20" s="12" t="n">
        <v>258</v>
      </c>
      <c r="AC20" s="12" t="n">
        <v>300</v>
      </c>
      <c r="AD20" s="12" t="n">
        <v>335</v>
      </c>
      <c r="AE20" s="12" t="n">
        <v>197</v>
      </c>
      <c r="AF20" s="12" t="n">
        <v>132</v>
      </c>
    </row>
    <row r="21">
      <c r="A21" s="20" t="n"/>
      <c r="B21" s="13" t="inlineStr">
        <is>
          <t>Inflation, rising prices and the cost of living</t>
        </is>
      </c>
      <c r="C21" s="14" t="n">
        <v>0.35</v>
      </c>
      <c r="D21" s="14" t="n">
        <v>0.29</v>
      </c>
      <c r="E21" s="14" t="n">
        <v>0.48</v>
      </c>
      <c r="F21" s="14" t="n">
        <v>0.37</v>
      </c>
      <c r="G21" s="14" t="n">
        <v>0.21</v>
      </c>
      <c r="H21" s="14" t="n">
        <v>0.28</v>
      </c>
      <c r="I21" s="14" t="n">
        <v>0.33</v>
      </c>
      <c r="J21" s="14" t="n">
        <v>0.51</v>
      </c>
      <c r="K21" s="14" t="n">
        <v>0.42</v>
      </c>
      <c r="L21" s="14" t="n">
        <v>0.4</v>
      </c>
      <c r="M21" s="14" t="n">
        <v>0.39</v>
      </c>
      <c r="N21" s="14" t="n">
        <v>0.37</v>
      </c>
      <c r="O21" s="14" t="n">
        <v>0.39</v>
      </c>
      <c r="P21" s="14" t="n">
        <v>0.46</v>
      </c>
      <c r="Q21" s="14" t="n">
        <v>0.4</v>
      </c>
      <c r="R21" s="14" t="n">
        <v>0.35</v>
      </c>
      <c r="S21" s="14" t="n">
        <v>0.34</v>
      </c>
      <c r="T21" s="14" t="n">
        <v>0.36</v>
      </c>
      <c r="U21" s="14" t="n">
        <v>0.31</v>
      </c>
      <c r="V21" s="14" t="n">
        <v>0.34</v>
      </c>
      <c r="W21" s="14" t="n">
        <v>0.34</v>
      </c>
      <c r="X21" s="14" t="n">
        <v>0.28</v>
      </c>
      <c r="Y21" s="14" t="n">
        <v>0.38</v>
      </c>
      <c r="Z21" s="14" t="n">
        <v>0.33</v>
      </c>
      <c r="AA21" s="14" t="n">
        <v>0.49</v>
      </c>
      <c r="AB21" s="14" t="n">
        <v>0.31</v>
      </c>
      <c r="AC21" s="14" t="n">
        <v>0.34</v>
      </c>
      <c r="AD21" s="14" t="n">
        <v>0.44</v>
      </c>
      <c r="AE21" s="14" t="n">
        <v>0.21</v>
      </c>
      <c r="AF21" s="14" t="n">
        <v>0.14</v>
      </c>
    </row>
    <row r="22">
      <c r="A22" s="20" t="n"/>
      <c r="B22" s="11" t="inlineStr">
        <is>
          <t>La digitalisation et l’intelligence artificielle (IA)</t>
        </is>
      </c>
      <c r="C22" s="12" t="n">
        <v>1907</v>
      </c>
      <c r="D22" s="12" t="n">
        <v>66</v>
      </c>
      <c r="E22" s="12" t="n">
        <v>80</v>
      </c>
      <c r="F22" s="12" t="n">
        <v>93</v>
      </c>
      <c r="G22" s="12" t="n">
        <v>166</v>
      </c>
      <c r="H22" s="12" t="n">
        <v>94</v>
      </c>
      <c r="I22" s="12" t="n">
        <v>115</v>
      </c>
      <c r="J22" s="12" t="n">
        <v>21</v>
      </c>
      <c r="K22" s="12" t="n">
        <v>91</v>
      </c>
      <c r="L22" s="12" t="n">
        <v>74</v>
      </c>
      <c r="M22" s="12" t="n">
        <v>60</v>
      </c>
      <c r="N22" s="12" t="n">
        <v>52</v>
      </c>
      <c r="O22" s="12" t="n">
        <v>49</v>
      </c>
      <c r="P22" s="12" t="n">
        <v>63</v>
      </c>
      <c r="Q22" s="12" t="n">
        <v>86</v>
      </c>
      <c r="R22" s="12" t="n">
        <v>15</v>
      </c>
      <c r="S22" s="12" t="n">
        <v>36</v>
      </c>
      <c r="T22" s="12" t="n">
        <v>50</v>
      </c>
      <c r="U22" s="12" t="n">
        <v>35</v>
      </c>
      <c r="V22" s="12" t="n">
        <v>80</v>
      </c>
      <c r="W22" s="12" t="n">
        <v>49</v>
      </c>
      <c r="X22" s="12" t="n">
        <v>141</v>
      </c>
      <c r="Y22" s="12" t="n">
        <v>112</v>
      </c>
      <c r="Z22" s="12" t="n">
        <v>64</v>
      </c>
      <c r="AA22" s="12" t="n">
        <v>58</v>
      </c>
      <c r="AB22" s="12" t="n">
        <v>77</v>
      </c>
      <c r="AC22" s="12" t="n">
        <v>57</v>
      </c>
      <c r="AD22" s="12" t="n">
        <v>82</v>
      </c>
      <c r="AE22" s="12" t="n">
        <v>93</v>
      </c>
      <c r="AF22" s="12" t="n">
        <v>71</v>
      </c>
    </row>
    <row r="23">
      <c r="A23" s="20" t="n"/>
      <c r="B23" s="13" t="inlineStr">
        <is>
          <t>Digitalisation and Artificial Intelligence (AI)</t>
        </is>
      </c>
      <c r="C23" s="14" t="n">
        <v>0.07000000000000001</v>
      </c>
      <c r="D23" s="14" t="n">
        <v>0.07000000000000001</v>
      </c>
      <c r="E23" s="14" t="n">
        <v>0.08</v>
      </c>
      <c r="F23" s="14" t="n">
        <v>0.09</v>
      </c>
      <c r="G23" s="14" t="n">
        <v>0.17</v>
      </c>
      <c r="H23" s="14" t="n">
        <v>0.08</v>
      </c>
      <c r="I23" s="14" t="n">
        <v>0.08</v>
      </c>
      <c r="J23" s="14" t="n">
        <v>0.07000000000000001</v>
      </c>
      <c r="K23" s="14" t="n">
        <v>0.1</v>
      </c>
      <c r="L23" s="14" t="n">
        <v>0.08</v>
      </c>
      <c r="M23" s="14" t="n">
        <v>0.06</v>
      </c>
      <c r="N23" s="14" t="n">
        <v>0.05</v>
      </c>
      <c r="O23" s="14" t="n">
        <v>0.05</v>
      </c>
      <c r="P23" s="14" t="n">
        <v>0.06</v>
      </c>
      <c r="Q23" s="14" t="n">
        <v>0.09</v>
      </c>
      <c r="R23" s="14" t="n">
        <v>0.03</v>
      </c>
      <c r="S23" s="14" t="n">
        <v>0.04</v>
      </c>
      <c r="T23" s="14" t="n">
        <v>0.05</v>
      </c>
      <c r="U23" s="14" t="n">
        <v>0.07000000000000001</v>
      </c>
      <c r="V23" s="14" t="n">
        <v>0.08</v>
      </c>
      <c r="W23" s="14" t="n">
        <v>0.1</v>
      </c>
      <c r="X23" s="14" t="n">
        <v>0.15</v>
      </c>
      <c r="Y23" s="14" t="n">
        <v>0.12</v>
      </c>
      <c r="Z23" s="14" t="n">
        <v>0.07000000000000001</v>
      </c>
      <c r="AA23" s="14" t="n">
        <v>0.06</v>
      </c>
      <c r="AB23" s="14" t="n">
        <v>0.08</v>
      </c>
      <c r="AC23" s="14" t="n">
        <v>0.06</v>
      </c>
      <c r="AD23" s="14" t="n">
        <v>0.08</v>
      </c>
      <c r="AE23" s="14" t="n">
        <v>0.09</v>
      </c>
      <c r="AF23" s="14" t="n">
        <v>0.07000000000000001</v>
      </c>
    </row>
    <row r="24">
      <c r="A24" s="20" t="n"/>
      <c r="B24" s="11" t="inlineStr">
        <is>
          <t>L'aide humanitaire et l'aide au développement</t>
        </is>
      </c>
      <c r="C24" s="12" t="n">
        <v>2185</v>
      </c>
      <c r="D24" s="12" t="n">
        <v>75</v>
      </c>
      <c r="E24" s="12" t="n">
        <v>81</v>
      </c>
      <c r="F24" s="12" t="n">
        <v>45</v>
      </c>
      <c r="G24" s="12" t="n">
        <v>81</v>
      </c>
      <c r="H24" s="12" t="n">
        <v>75</v>
      </c>
      <c r="I24" s="12" t="n">
        <v>87</v>
      </c>
      <c r="J24" s="12" t="n">
        <v>12</v>
      </c>
      <c r="K24" s="12" t="n">
        <v>53</v>
      </c>
      <c r="L24" s="12" t="n">
        <v>68</v>
      </c>
      <c r="M24" s="12" t="n">
        <v>153</v>
      </c>
      <c r="N24" s="12" t="n">
        <v>92</v>
      </c>
      <c r="O24" s="12" t="n">
        <v>104</v>
      </c>
      <c r="P24" s="12" t="n">
        <v>92</v>
      </c>
      <c r="Q24" s="12" t="n">
        <v>103</v>
      </c>
      <c r="R24" s="12" t="n">
        <v>68</v>
      </c>
      <c r="S24" s="12" t="n">
        <v>56</v>
      </c>
      <c r="T24" s="12" t="n">
        <v>40</v>
      </c>
      <c r="U24" s="12" t="n">
        <v>42</v>
      </c>
      <c r="V24" s="12" t="n">
        <v>69</v>
      </c>
      <c r="W24" s="12" t="n">
        <v>34</v>
      </c>
      <c r="X24" s="12" t="n">
        <v>86</v>
      </c>
      <c r="Y24" s="12" t="n">
        <v>80</v>
      </c>
      <c r="Z24" s="12" t="n">
        <v>63</v>
      </c>
      <c r="AA24" s="12" t="n">
        <v>70</v>
      </c>
      <c r="AB24" s="12" t="n">
        <v>117</v>
      </c>
      <c r="AC24" s="12" t="n">
        <v>50</v>
      </c>
      <c r="AD24" s="12" t="n">
        <v>38</v>
      </c>
      <c r="AE24" s="12" t="n">
        <v>50</v>
      </c>
      <c r="AF24" s="12" t="n">
        <v>123</v>
      </c>
    </row>
    <row r="25">
      <c r="A25" s="20" t="n"/>
      <c r="B25" s="13" t="inlineStr">
        <is>
          <t>Humanitarian aid and development assistance</t>
        </is>
      </c>
      <c r="C25" s="14" t="n">
        <v>0.09</v>
      </c>
      <c r="D25" s="14" t="n">
        <v>0.08</v>
      </c>
      <c r="E25" s="14" t="n">
        <v>0.08</v>
      </c>
      <c r="F25" s="14" t="n">
        <v>0.04</v>
      </c>
      <c r="G25" s="14" t="n">
        <v>0.08</v>
      </c>
      <c r="H25" s="14" t="n">
        <v>0.06</v>
      </c>
      <c r="I25" s="14" t="n">
        <v>0.06</v>
      </c>
      <c r="J25" s="14" t="n">
        <v>0.04</v>
      </c>
      <c r="K25" s="14" t="n">
        <v>0.05</v>
      </c>
      <c r="L25" s="14" t="n">
        <v>0.07000000000000001</v>
      </c>
      <c r="M25" s="14" t="n">
        <v>0.16</v>
      </c>
      <c r="N25" s="14" t="n">
        <v>0.1</v>
      </c>
      <c r="O25" s="14" t="n">
        <v>0.11</v>
      </c>
      <c r="P25" s="14" t="n">
        <v>0.09</v>
      </c>
      <c r="Q25" s="14" t="n">
        <v>0.11</v>
      </c>
      <c r="R25" s="14" t="n">
        <v>0.14</v>
      </c>
      <c r="S25" s="14" t="n">
        <v>0.06</v>
      </c>
      <c r="T25" s="14" t="n">
        <v>0.04</v>
      </c>
      <c r="U25" s="14" t="n">
        <v>0.08</v>
      </c>
      <c r="V25" s="14" t="n">
        <v>0.07000000000000001</v>
      </c>
      <c r="W25" s="14" t="n">
        <v>0.07000000000000001</v>
      </c>
      <c r="X25" s="14" t="n">
        <v>0.09</v>
      </c>
      <c r="Y25" s="14" t="n">
        <v>0.08</v>
      </c>
      <c r="Z25" s="14" t="n">
        <v>0.07000000000000001</v>
      </c>
      <c r="AA25" s="14" t="n">
        <v>0.07000000000000001</v>
      </c>
      <c r="AB25" s="14" t="n">
        <v>0.12</v>
      </c>
      <c r="AC25" s="14" t="n">
        <v>0.05</v>
      </c>
      <c r="AD25" s="14" t="n">
        <v>0.04</v>
      </c>
      <c r="AE25" s="14" t="n">
        <v>0.05</v>
      </c>
      <c r="AF25" s="14" t="n">
        <v>0.12</v>
      </c>
    </row>
    <row r="26">
      <c r="A26" s="20" t="n"/>
      <c r="B26" s="11" t="inlineStr">
        <is>
          <t>L’autonomie de l’UE dans les domaines de l’industrie et de l’énergie</t>
        </is>
      </c>
      <c r="C26" s="12" t="n">
        <v>3073</v>
      </c>
      <c r="D26" s="12" t="n">
        <v>127</v>
      </c>
      <c r="E26" s="12" t="n">
        <v>105</v>
      </c>
      <c r="F26" s="12" t="n">
        <v>223</v>
      </c>
      <c r="G26" s="12" t="n">
        <v>173</v>
      </c>
      <c r="H26" s="12" t="n">
        <v>135</v>
      </c>
      <c r="I26" s="12" t="n">
        <v>162</v>
      </c>
      <c r="J26" s="12" t="n">
        <v>27</v>
      </c>
      <c r="K26" s="12" t="n">
        <v>184</v>
      </c>
      <c r="L26" s="12" t="n">
        <v>82</v>
      </c>
      <c r="M26" s="12" t="n">
        <v>125</v>
      </c>
      <c r="N26" s="12" t="n">
        <v>60</v>
      </c>
      <c r="O26" s="12" t="n">
        <v>112</v>
      </c>
      <c r="P26" s="12" t="n">
        <v>111</v>
      </c>
      <c r="Q26" s="12" t="n">
        <v>161</v>
      </c>
      <c r="R26" s="12" t="n">
        <v>29</v>
      </c>
      <c r="S26" s="12" t="n">
        <v>96</v>
      </c>
      <c r="T26" s="12" t="n">
        <v>127</v>
      </c>
      <c r="U26" s="12" t="n">
        <v>78</v>
      </c>
      <c r="V26" s="12" t="n">
        <v>99</v>
      </c>
      <c r="W26" s="12" t="n">
        <v>33</v>
      </c>
      <c r="X26" s="12" t="n">
        <v>137</v>
      </c>
      <c r="Y26" s="12" t="n">
        <v>141</v>
      </c>
      <c r="Z26" s="12" t="n">
        <v>83</v>
      </c>
      <c r="AA26" s="12" t="n">
        <v>206</v>
      </c>
      <c r="AB26" s="12" t="n">
        <v>159</v>
      </c>
      <c r="AC26" s="12" t="n">
        <v>62</v>
      </c>
      <c r="AD26" s="12" t="n">
        <v>129</v>
      </c>
      <c r="AE26" s="12" t="n">
        <v>90</v>
      </c>
      <c r="AF26" s="12" t="n">
        <v>99</v>
      </c>
    </row>
    <row r="27">
      <c r="A27" s="20" t="n"/>
      <c r="B27" s="13" t="inlineStr">
        <is>
          <t>EU autonomy in the fields of industry and energy</t>
        </is>
      </c>
      <c r="C27" s="14" t="n">
        <v>0.12</v>
      </c>
      <c r="D27" s="14" t="n">
        <v>0.14</v>
      </c>
      <c r="E27" s="14" t="n">
        <v>0.11</v>
      </c>
      <c r="F27" s="14" t="n">
        <v>0.26</v>
      </c>
      <c r="G27" s="14" t="n">
        <v>0.19</v>
      </c>
      <c r="H27" s="14" t="n">
        <v>0.12</v>
      </c>
      <c r="I27" s="14" t="n">
        <v>0.11</v>
      </c>
      <c r="J27" s="14" t="n">
        <v>0.1</v>
      </c>
      <c r="K27" s="14" t="n">
        <v>0.2</v>
      </c>
      <c r="L27" s="14" t="n">
        <v>0.08</v>
      </c>
      <c r="M27" s="14" t="n">
        <v>0.13</v>
      </c>
      <c r="N27" s="14" t="n">
        <v>0.06</v>
      </c>
      <c r="O27" s="14" t="n">
        <v>0.12</v>
      </c>
      <c r="P27" s="14" t="n">
        <v>0.11</v>
      </c>
      <c r="Q27" s="14" t="n">
        <v>0.17</v>
      </c>
      <c r="R27" s="14" t="n">
        <v>0.06</v>
      </c>
      <c r="S27" s="14" t="n">
        <v>0.1</v>
      </c>
      <c r="T27" s="14" t="n">
        <v>0.13</v>
      </c>
      <c r="U27" s="14" t="n">
        <v>0.17</v>
      </c>
      <c r="V27" s="14" t="n">
        <v>0.1</v>
      </c>
      <c r="W27" s="14" t="n">
        <v>0.07000000000000001</v>
      </c>
      <c r="X27" s="14" t="n">
        <v>0.15</v>
      </c>
      <c r="Y27" s="14" t="n">
        <v>0.15</v>
      </c>
      <c r="Z27" s="14" t="n">
        <v>0.09</v>
      </c>
      <c r="AA27" s="14" t="n">
        <v>0.21</v>
      </c>
      <c r="AB27" s="14" t="n">
        <v>0.16</v>
      </c>
      <c r="AC27" s="14" t="n">
        <v>0.07000000000000001</v>
      </c>
      <c r="AD27" s="14" t="n">
        <v>0.14</v>
      </c>
      <c r="AE27" s="14" t="n">
        <v>0.09</v>
      </c>
      <c r="AF27" s="14" t="n">
        <v>0.1</v>
      </c>
    </row>
    <row r="28">
      <c r="A28" s="20" t="n"/>
      <c r="B28" s="11" t="inlineStr">
        <is>
          <t>La protection des consommateurs</t>
        </is>
      </c>
      <c r="C28" s="12" t="n">
        <v>2728</v>
      </c>
      <c r="D28" s="12" t="n">
        <v>114</v>
      </c>
      <c r="E28" s="12" t="n">
        <v>187</v>
      </c>
      <c r="F28" s="12" t="n">
        <v>76</v>
      </c>
      <c r="G28" s="12" t="n">
        <v>88</v>
      </c>
      <c r="H28" s="12" t="n">
        <v>79</v>
      </c>
      <c r="I28" s="12" t="n">
        <v>116</v>
      </c>
      <c r="J28" s="12" t="n">
        <v>36</v>
      </c>
      <c r="K28" s="12" t="n">
        <v>56</v>
      </c>
      <c r="L28" s="12" t="n">
        <v>100</v>
      </c>
      <c r="M28" s="12" t="n">
        <v>178</v>
      </c>
      <c r="N28" s="12" t="n">
        <v>100</v>
      </c>
      <c r="O28" s="12" t="n">
        <v>136</v>
      </c>
      <c r="P28" s="12" t="n">
        <v>127</v>
      </c>
      <c r="Q28" s="12" t="n">
        <v>153</v>
      </c>
      <c r="R28" s="12" t="n">
        <v>71</v>
      </c>
      <c r="S28" s="12" t="n">
        <v>73</v>
      </c>
      <c r="T28" s="12" t="n">
        <v>59</v>
      </c>
      <c r="U28" s="12" t="n">
        <v>66</v>
      </c>
      <c r="V28" s="12" t="n">
        <v>63</v>
      </c>
      <c r="W28" s="12" t="n">
        <v>78</v>
      </c>
      <c r="X28" s="12" t="n">
        <v>75</v>
      </c>
      <c r="Y28" s="12" t="n">
        <v>141</v>
      </c>
      <c r="Z28" s="12" t="n">
        <v>72</v>
      </c>
      <c r="AA28" s="12" t="n">
        <v>51</v>
      </c>
      <c r="AB28" s="12" t="n">
        <v>103</v>
      </c>
      <c r="AC28" s="12" t="n">
        <v>98</v>
      </c>
      <c r="AD28" s="12" t="n">
        <v>107</v>
      </c>
      <c r="AE28" s="12" t="n">
        <v>59</v>
      </c>
      <c r="AF28" s="12" t="n">
        <v>54</v>
      </c>
    </row>
    <row r="29">
      <c r="A29" s="20" t="n"/>
      <c r="B29" s="13" t="inlineStr">
        <is>
          <t>Consumer protection</t>
        </is>
      </c>
      <c r="C29" s="14" t="n">
        <v>0.11</v>
      </c>
      <c r="D29" s="14" t="n">
        <v>0.11</v>
      </c>
      <c r="E29" s="14" t="n">
        <v>0.2</v>
      </c>
      <c r="F29" s="14" t="n">
        <v>0.08</v>
      </c>
      <c r="G29" s="14" t="n">
        <v>0.09</v>
      </c>
      <c r="H29" s="14" t="n">
        <v>0.07000000000000001</v>
      </c>
      <c r="I29" s="14" t="n">
        <v>0.08</v>
      </c>
      <c r="J29" s="14" t="n">
        <v>0.13</v>
      </c>
      <c r="K29" s="14" t="n">
        <v>0.06</v>
      </c>
      <c r="L29" s="14" t="n">
        <v>0.1</v>
      </c>
      <c r="M29" s="14" t="n">
        <v>0.18</v>
      </c>
      <c r="N29" s="14" t="n">
        <v>0.1</v>
      </c>
      <c r="O29" s="14" t="n">
        <v>0.14</v>
      </c>
      <c r="P29" s="14" t="n">
        <v>0.13</v>
      </c>
      <c r="Q29" s="14" t="n">
        <v>0.16</v>
      </c>
      <c r="R29" s="14" t="n">
        <v>0.15</v>
      </c>
      <c r="S29" s="14" t="n">
        <v>0.08</v>
      </c>
      <c r="T29" s="14" t="n">
        <v>0.06</v>
      </c>
      <c r="U29" s="14" t="n">
        <v>0.13</v>
      </c>
      <c r="V29" s="14" t="n">
        <v>0.06</v>
      </c>
      <c r="W29" s="14" t="n">
        <v>0.16</v>
      </c>
      <c r="X29" s="14" t="n">
        <v>0.07000000000000001</v>
      </c>
      <c r="Y29" s="14" t="n">
        <v>0.15</v>
      </c>
      <c r="Z29" s="14" t="n">
        <v>0.07000000000000001</v>
      </c>
      <c r="AA29" s="14" t="n">
        <v>0.05</v>
      </c>
      <c r="AB29" s="14" t="n">
        <v>0.1</v>
      </c>
      <c r="AC29" s="14" t="n">
        <v>0.1</v>
      </c>
      <c r="AD29" s="14" t="n">
        <v>0.11</v>
      </c>
      <c r="AE29" s="14" t="n">
        <v>0.06</v>
      </c>
      <c r="AF29" s="14" t="n">
        <v>0.05</v>
      </c>
    </row>
    <row r="30">
      <c r="A30" s="20" t="n"/>
      <c r="B30" s="11" t="inlineStr">
        <is>
          <t>La migration et l'asile</t>
        </is>
      </c>
      <c r="C30" s="12" t="n">
        <v>3502</v>
      </c>
      <c r="D30" s="12" t="n">
        <v>164</v>
      </c>
      <c r="E30" s="12" t="n">
        <v>41</v>
      </c>
      <c r="F30" s="12" t="n">
        <v>190</v>
      </c>
      <c r="G30" s="12" t="n">
        <v>153</v>
      </c>
      <c r="H30" s="12" t="n">
        <v>273</v>
      </c>
      <c r="I30" s="12" t="n">
        <v>323</v>
      </c>
      <c r="J30" s="12" t="n">
        <v>51</v>
      </c>
      <c r="K30" s="12" t="n">
        <v>55</v>
      </c>
      <c r="L30" s="12" t="n">
        <v>213</v>
      </c>
      <c r="M30" s="12" t="n">
        <v>132</v>
      </c>
      <c r="N30" s="12" t="n">
        <v>120</v>
      </c>
      <c r="O30" s="12" t="n">
        <v>110</v>
      </c>
      <c r="P30" s="12" t="n">
        <v>71</v>
      </c>
      <c r="Q30" s="12" t="n">
        <v>100</v>
      </c>
      <c r="R30" s="12" t="n">
        <v>107</v>
      </c>
      <c r="S30" s="12" t="n">
        <v>67</v>
      </c>
      <c r="T30" s="12" t="n">
        <v>148</v>
      </c>
      <c r="U30" s="12" t="n">
        <v>42</v>
      </c>
      <c r="V30" s="12" t="n">
        <v>141</v>
      </c>
      <c r="W30" s="12" t="n">
        <v>72</v>
      </c>
      <c r="X30" s="12" t="n">
        <v>227</v>
      </c>
      <c r="Y30" s="12" t="n">
        <v>134</v>
      </c>
      <c r="Z30" s="12" t="n">
        <v>75</v>
      </c>
      <c r="AA30" s="12" t="n">
        <v>66</v>
      </c>
      <c r="AB30" s="12" t="n">
        <v>55</v>
      </c>
      <c r="AC30" s="12" t="n">
        <v>85</v>
      </c>
      <c r="AD30" s="12" t="n">
        <v>59</v>
      </c>
      <c r="AE30" s="12" t="n">
        <v>121</v>
      </c>
      <c r="AF30" s="12" t="n">
        <v>178</v>
      </c>
    </row>
    <row r="31">
      <c r="A31" s="20" t="n"/>
      <c r="B31" s="13" t="inlineStr">
        <is>
          <t>Migration and asylum</t>
        </is>
      </c>
      <c r="C31" s="14" t="n">
        <v>0.14</v>
      </c>
      <c r="D31" s="14" t="n">
        <v>0.18</v>
      </c>
      <c r="E31" s="14" t="n">
        <v>0.04</v>
      </c>
      <c r="F31" s="14" t="n">
        <v>0.2</v>
      </c>
      <c r="G31" s="14" t="n">
        <v>0.16</v>
      </c>
      <c r="H31" s="14" t="n">
        <v>0.25</v>
      </c>
      <c r="I31" s="14" t="n">
        <v>0.24</v>
      </c>
      <c r="J31" s="14" t="n">
        <v>0.2</v>
      </c>
      <c r="K31" s="14" t="n">
        <v>0.06</v>
      </c>
      <c r="L31" s="14" t="n">
        <v>0.24</v>
      </c>
      <c r="M31" s="14" t="n">
        <v>0.13</v>
      </c>
      <c r="N31" s="14" t="n">
        <v>0.13</v>
      </c>
      <c r="O31" s="14" t="n">
        <v>0.12</v>
      </c>
      <c r="P31" s="14" t="n">
        <v>0.07000000000000001</v>
      </c>
      <c r="Q31" s="14" t="n">
        <v>0.1</v>
      </c>
      <c r="R31" s="14" t="n">
        <v>0.24</v>
      </c>
      <c r="S31" s="14" t="n">
        <v>0.07000000000000001</v>
      </c>
      <c r="T31" s="14" t="n">
        <v>0.15</v>
      </c>
      <c r="U31" s="14" t="n">
        <v>0.09</v>
      </c>
      <c r="V31" s="14" t="n">
        <v>0.15</v>
      </c>
      <c r="W31" s="14" t="n">
        <v>0.16</v>
      </c>
      <c r="X31" s="14" t="n">
        <v>0.27</v>
      </c>
      <c r="Y31" s="14" t="n">
        <v>0.15</v>
      </c>
      <c r="Z31" s="14" t="n">
        <v>0.08</v>
      </c>
      <c r="AA31" s="14" t="n">
        <v>0.07000000000000001</v>
      </c>
      <c r="AB31" s="14" t="n">
        <v>0.05</v>
      </c>
      <c r="AC31" s="14" t="n">
        <v>0.09</v>
      </c>
      <c r="AD31" s="14" t="n">
        <v>0.06</v>
      </c>
      <c r="AE31" s="14" t="n">
        <v>0.13</v>
      </c>
      <c r="AF31" s="14" t="n">
        <v>0.18</v>
      </c>
    </row>
    <row r="32">
      <c r="A32" s="20" t="n"/>
      <c r="B32" s="11" t="inlineStr">
        <is>
          <t>Le terrorisme et le crime organisé</t>
        </is>
      </c>
      <c r="C32" s="12" t="n">
        <v>2966</v>
      </c>
      <c r="D32" s="12" t="n">
        <v>150</v>
      </c>
      <c r="E32" s="12" t="n">
        <v>65</v>
      </c>
      <c r="F32" s="12" t="n">
        <v>82</v>
      </c>
      <c r="G32" s="12" t="n">
        <v>167</v>
      </c>
      <c r="H32" s="12" t="n">
        <v>171</v>
      </c>
      <c r="I32" s="12" t="n">
        <v>220</v>
      </c>
      <c r="J32" s="12" t="n">
        <v>49</v>
      </c>
      <c r="K32" s="12" t="n">
        <v>61</v>
      </c>
      <c r="L32" s="12" t="n">
        <v>98</v>
      </c>
      <c r="M32" s="12" t="n">
        <v>79</v>
      </c>
      <c r="N32" s="12" t="n">
        <v>65</v>
      </c>
      <c r="O32" s="12" t="n">
        <v>123</v>
      </c>
      <c r="P32" s="12" t="n">
        <v>85</v>
      </c>
      <c r="Q32" s="12" t="n">
        <v>139</v>
      </c>
      <c r="R32" s="12" t="n">
        <v>45</v>
      </c>
      <c r="S32" s="12" t="n">
        <v>42</v>
      </c>
      <c r="T32" s="12" t="n">
        <v>33</v>
      </c>
      <c r="U32" s="12" t="n">
        <v>52</v>
      </c>
      <c r="V32" s="12" t="n">
        <v>86</v>
      </c>
      <c r="W32" s="12" t="n">
        <v>52</v>
      </c>
      <c r="X32" s="12" t="n">
        <v>145</v>
      </c>
      <c r="Y32" s="12" t="n">
        <v>118</v>
      </c>
      <c r="Z32" s="12" t="n">
        <v>93</v>
      </c>
      <c r="AA32" s="12" t="n">
        <v>70</v>
      </c>
      <c r="AB32" s="12" t="n">
        <v>63</v>
      </c>
      <c r="AC32" s="12" t="n">
        <v>75</v>
      </c>
      <c r="AD32" s="12" t="n">
        <v>50</v>
      </c>
      <c r="AE32" s="12" t="n">
        <v>115</v>
      </c>
      <c r="AF32" s="12" t="n">
        <v>204</v>
      </c>
    </row>
    <row r="33">
      <c r="A33" s="20" t="n"/>
      <c r="B33" s="13" t="inlineStr">
        <is>
          <t>Terrorism and organised crime</t>
        </is>
      </c>
      <c r="C33" s="14" t="n">
        <v>0.12</v>
      </c>
      <c r="D33" s="14" t="n">
        <v>0.15</v>
      </c>
      <c r="E33" s="14" t="n">
        <v>0.07000000000000001</v>
      </c>
      <c r="F33" s="14" t="n">
        <v>0.08</v>
      </c>
      <c r="G33" s="14" t="n">
        <v>0.17</v>
      </c>
      <c r="H33" s="14" t="n">
        <v>0.15</v>
      </c>
      <c r="I33" s="14" t="n">
        <v>0.15</v>
      </c>
      <c r="J33" s="14" t="n">
        <v>0.18</v>
      </c>
      <c r="K33" s="14" t="n">
        <v>0.06</v>
      </c>
      <c r="L33" s="14" t="n">
        <v>0.1</v>
      </c>
      <c r="M33" s="14" t="n">
        <v>0.08</v>
      </c>
      <c r="N33" s="14" t="n">
        <v>0.07000000000000001</v>
      </c>
      <c r="O33" s="14" t="n">
        <v>0.13</v>
      </c>
      <c r="P33" s="14" t="n">
        <v>0.09</v>
      </c>
      <c r="Q33" s="14" t="n">
        <v>0.14</v>
      </c>
      <c r="R33" s="14" t="n">
        <v>0.09</v>
      </c>
      <c r="S33" s="14" t="n">
        <v>0.04</v>
      </c>
      <c r="T33" s="14" t="n">
        <v>0.03</v>
      </c>
      <c r="U33" s="14" t="n">
        <v>0.11</v>
      </c>
      <c r="V33" s="14" t="n">
        <v>0.09</v>
      </c>
      <c r="W33" s="14" t="n">
        <v>0.11</v>
      </c>
      <c r="X33" s="14" t="n">
        <v>0.15</v>
      </c>
      <c r="Y33" s="14" t="n">
        <v>0.12</v>
      </c>
      <c r="Z33" s="14" t="n">
        <v>0.1</v>
      </c>
      <c r="AA33" s="14" t="n">
        <v>0.07000000000000001</v>
      </c>
      <c r="AB33" s="14" t="n">
        <v>0.06</v>
      </c>
      <c r="AC33" s="14" t="n">
        <v>0.08</v>
      </c>
      <c r="AD33" s="14" t="n">
        <v>0.05</v>
      </c>
      <c r="AE33" s="14" t="n">
        <v>0.12</v>
      </c>
      <c r="AF33" s="14" t="n">
        <v>0.21</v>
      </c>
    </row>
    <row r="34">
      <c r="A34" s="20" t="n"/>
      <c r="B34" s="11" t="inlineStr">
        <is>
          <t>La démocratie et l'État de droit</t>
        </is>
      </c>
      <c r="C34" s="12" t="n">
        <v>3953</v>
      </c>
      <c r="D34" s="12" t="n">
        <v>153</v>
      </c>
      <c r="E34" s="12" t="n">
        <v>170</v>
      </c>
      <c r="F34" s="12" t="n">
        <v>128</v>
      </c>
      <c r="G34" s="12" t="n">
        <v>197</v>
      </c>
      <c r="H34" s="12" t="n">
        <v>296</v>
      </c>
      <c r="I34" s="12" t="n">
        <v>355</v>
      </c>
      <c r="J34" s="12" t="n">
        <v>59</v>
      </c>
      <c r="K34" s="12" t="n">
        <v>86</v>
      </c>
      <c r="L34" s="12" t="n">
        <v>83</v>
      </c>
      <c r="M34" s="12" t="n">
        <v>191</v>
      </c>
      <c r="N34" s="12" t="n">
        <v>113</v>
      </c>
      <c r="O34" s="12" t="n">
        <v>84</v>
      </c>
      <c r="P34" s="12" t="n">
        <v>124</v>
      </c>
      <c r="Q34" s="12" t="n">
        <v>122</v>
      </c>
      <c r="R34" s="12" t="n">
        <v>78</v>
      </c>
      <c r="S34" s="12" t="n">
        <v>102</v>
      </c>
      <c r="T34" s="12" t="n">
        <v>70</v>
      </c>
      <c r="U34" s="12" t="n">
        <v>79</v>
      </c>
      <c r="V34" s="12" t="n">
        <v>184</v>
      </c>
      <c r="W34" s="12" t="n">
        <v>88</v>
      </c>
      <c r="X34" s="12" t="n">
        <v>221</v>
      </c>
      <c r="Y34" s="12" t="n">
        <v>198</v>
      </c>
      <c r="Z34" s="12" t="n">
        <v>112</v>
      </c>
      <c r="AA34" s="12" t="n">
        <v>96</v>
      </c>
      <c r="AB34" s="12" t="n">
        <v>130</v>
      </c>
      <c r="AC34" s="12" t="n">
        <v>111</v>
      </c>
      <c r="AD34" s="12" t="n">
        <v>150</v>
      </c>
      <c r="AE34" s="12" t="n">
        <v>256</v>
      </c>
      <c r="AF34" s="12" t="n">
        <v>296</v>
      </c>
    </row>
    <row r="35">
      <c r="A35" s="20" t="n"/>
      <c r="B35" s="13" t="inlineStr">
        <is>
          <t>Democracy and the rule of law</t>
        </is>
      </c>
      <c r="C35" s="14" t="n">
        <v>0.16</v>
      </c>
      <c r="D35" s="14" t="n">
        <v>0.16</v>
      </c>
      <c r="E35" s="14" t="n">
        <v>0.18</v>
      </c>
      <c r="F35" s="14" t="n">
        <v>0.13</v>
      </c>
      <c r="G35" s="14" t="n">
        <v>0.21</v>
      </c>
      <c r="H35" s="14" t="n">
        <v>0.27</v>
      </c>
      <c r="I35" s="14" t="n">
        <v>0.26</v>
      </c>
      <c r="J35" s="14" t="n">
        <v>0.21</v>
      </c>
      <c r="K35" s="14" t="n">
        <v>0.09</v>
      </c>
      <c r="L35" s="14" t="n">
        <v>0.09</v>
      </c>
      <c r="M35" s="14" t="n">
        <v>0.2</v>
      </c>
      <c r="N35" s="14" t="n">
        <v>0.12</v>
      </c>
      <c r="O35" s="14" t="n">
        <v>0.09</v>
      </c>
      <c r="P35" s="14" t="n">
        <v>0.13</v>
      </c>
      <c r="Q35" s="14" t="n">
        <v>0.13</v>
      </c>
      <c r="R35" s="14" t="n">
        <v>0.17</v>
      </c>
      <c r="S35" s="14" t="n">
        <v>0.11</v>
      </c>
      <c r="T35" s="14" t="n">
        <v>0.07000000000000001</v>
      </c>
      <c r="U35" s="14" t="n">
        <v>0.17</v>
      </c>
      <c r="V35" s="14" t="n">
        <v>0.2</v>
      </c>
      <c r="W35" s="14" t="n">
        <v>0.18</v>
      </c>
      <c r="X35" s="14" t="n">
        <v>0.23</v>
      </c>
      <c r="Y35" s="14" t="n">
        <v>0.21</v>
      </c>
      <c r="Z35" s="14" t="n">
        <v>0.12</v>
      </c>
      <c r="AA35" s="14" t="n">
        <v>0.1</v>
      </c>
      <c r="AB35" s="14" t="n">
        <v>0.14</v>
      </c>
      <c r="AC35" s="14" t="n">
        <v>0.12</v>
      </c>
      <c r="AD35" s="14" t="n">
        <v>0.16</v>
      </c>
      <c r="AE35" s="14" t="n">
        <v>0.28</v>
      </c>
      <c r="AF35" s="14" t="n">
        <v>0.33</v>
      </c>
    </row>
    <row r="36">
      <c r="A36" s="20" t="n"/>
      <c r="B36" s="11" t="inlineStr">
        <is>
          <t>La défense et la sécurité de l’UE</t>
        </is>
      </c>
      <c r="C36" s="12" t="n">
        <v>5335</v>
      </c>
      <c r="D36" s="12" t="n">
        <v>223</v>
      </c>
      <c r="E36" s="12" t="n">
        <v>174</v>
      </c>
      <c r="F36" s="12" t="n">
        <v>261</v>
      </c>
      <c r="G36" s="12" t="n">
        <v>308</v>
      </c>
      <c r="H36" s="12" t="n">
        <v>290</v>
      </c>
      <c r="I36" s="12" t="n">
        <v>347</v>
      </c>
      <c r="J36" s="12" t="n">
        <v>57</v>
      </c>
      <c r="K36" s="12" t="n">
        <v>225</v>
      </c>
      <c r="L36" s="12" t="n">
        <v>136</v>
      </c>
      <c r="M36" s="12" t="n">
        <v>160</v>
      </c>
      <c r="N36" s="12" t="n">
        <v>144</v>
      </c>
      <c r="O36" s="12" t="n">
        <v>197</v>
      </c>
      <c r="P36" s="12" t="n">
        <v>170</v>
      </c>
      <c r="Q36" s="12" t="n">
        <v>178</v>
      </c>
      <c r="R36" s="12" t="n">
        <v>120</v>
      </c>
      <c r="S36" s="12" t="n">
        <v>217</v>
      </c>
      <c r="T36" s="12" t="n">
        <v>236</v>
      </c>
      <c r="U36" s="12" t="n">
        <v>127</v>
      </c>
      <c r="V36" s="12" t="n">
        <v>177</v>
      </c>
      <c r="W36" s="12" t="n">
        <v>78</v>
      </c>
      <c r="X36" s="12" t="n">
        <v>301</v>
      </c>
      <c r="Y36" s="12" t="n">
        <v>231</v>
      </c>
      <c r="Z36" s="12" t="n">
        <v>218</v>
      </c>
      <c r="AA36" s="12" t="n">
        <v>150</v>
      </c>
      <c r="AB36" s="12" t="n">
        <v>202</v>
      </c>
      <c r="AC36" s="12" t="n">
        <v>166</v>
      </c>
      <c r="AD36" s="12" t="n">
        <v>225</v>
      </c>
      <c r="AE36" s="12" t="n">
        <v>291</v>
      </c>
      <c r="AF36" s="12" t="n">
        <v>271</v>
      </c>
    </row>
    <row r="37">
      <c r="A37" s="20" t="n"/>
      <c r="B37" s="13" t="inlineStr">
        <is>
          <t>EU defence and security</t>
        </is>
      </c>
      <c r="C37" s="14" t="n">
        <v>0.24</v>
      </c>
      <c r="D37" s="14" t="n">
        <v>0.25</v>
      </c>
      <c r="E37" s="14" t="n">
        <v>0.19</v>
      </c>
      <c r="F37" s="14" t="n">
        <v>0.31</v>
      </c>
      <c r="G37" s="14" t="n">
        <v>0.42</v>
      </c>
      <c r="H37" s="14" t="n">
        <v>0.31</v>
      </c>
      <c r="I37" s="14" t="n">
        <v>0.29</v>
      </c>
      <c r="J37" s="14" t="n">
        <v>0.23</v>
      </c>
      <c r="K37" s="14" t="n">
        <v>0.3</v>
      </c>
      <c r="L37" s="14" t="n">
        <v>0.15</v>
      </c>
      <c r="M37" s="14" t="n">
        <v>0.17</v>
      </c>
      <c r="N37" s="14" t="n">
        <v>0.16</v>
      </c>
      <c r="O37" s="14" t="n">
        <v>0.21</v>
      </c>
      <c r="P37" s="14" t="n">
        <v>0.19</v>
      </c>
      <c r="Q37" s="14" t="n">
        <v>0.2</v>
      </c>
      <c r="R37" s="14" t="n">
        <v>0.28</v>
      </c>
      <c r="S37" s="14" t="n">
        <v>0.28</v>
      </c>
      <c r="T37" s="14" t="n">
        <v>0.32</v>
      </c>
      <c r="U37" s="14" t="n">
        <v>0.31</v>
      </c>
      <c r="V37" s="14" t="n">
        <v>0.2</v>
      </c>
      <c r="W37" s="14" t="n">
        <v>0.17</v>
      </c>
      <c r="X37" s="14" t="n">
        <v>0.4</v>
      </c>
      <c r="Y37" s="14" t="n">
        <v>0.25</v>
      </c>
      <c r="Z37" s="14" t="n">
        <v>0.29</v>
      </c>
      <c r="AA37" s="14" t="n">
        <v>0.16</v>
      </c>
      <c r="AB37" s="14" t="n">
        <v>0.22</v>
      </c>
      <c r="AC37" s="14" t="n">
        <v>0.18</v>
      </c>
      <c r="AD37" s="14" t="n">
        <v>0.25</v>
      </c>
      <c r="AE37" s="14" t="n">
        <v>0.36</v>
      </c>
      <c r="AF37" s="14" t="n">
        <v>0.3</v>
      </c>
    </row>
    <row r="38">
      <c r="A38" s="20" t="n"/>
      <c r="B38" s="11" t="inlineStr">
        <is>
          <t>L’agriculture et la sécurité alimentaire</t>
        </is>
      </c>
      <c r="C38" s="12" t="n">
        <v>3961</v>
      </c>
      <c r="D38" s="12" t="n">
        <v>145</v>
      </c>
      <c r="E38" s="12" t="n">
        <v>183</v>
      </c>
      <c r="F38" s="12" t="n">
        <v>178</v>
      </c>
      <c r="G38" s="12" t="n">
        <v>130</v>
      </c>
      <c r="H38" s="12" t="n">
        <v>130</v>
      </c>
      <c r="I38" s="12" t="n">
        <v>178</v>
      </c>
      <c r="J38" s="12" t="n">
        <v>48</v>
      </c>
      <c r="K38" s="12" t="n">
        <v>203</v>
      </c>
      <c r="L38" s="12" t="n">
        <v>163</v>
      </c>
      <c r="M38" s="12" t="n">
        <v>166</v>
      </c>
      <c r="N38" s="12" t="n">
        <v>106</v>
      </c>
      <c r="O38" s="12" t="n">
        <v>169</v>
      </c>
      <c r="P38" s="12" t="n">
        <v>244</v>
      </c>
      <c r="Q38" s="12" t="n">
        <v>152</v>
      </c>
      <c r="R38" s="12" t="n">
        <v>45</v>
      </c>
      <c r="S38" s="12" t="n">
        <v>105</v>
      </c>
      <c r="T38" s="12" t="n">
        <v>130</v>
      </c>
      <c r="U38" s="12" t="n">
        <v>69</v>
      </c>
      <c r="V38" s="12" t="n">
        <v>228</v>
      </c>
      <c r="W38" s="12" t="n">
        <v>56</v>
      </c>
      <c r="X38" s="12" t="n">
        <v>144</v>
      </c>
      <c r="Y38" s="12" t="n">
        <v>202</v>
      </c>
      <c r="Z38" s="12" t="n">
        <v>170</v>
      </c>
      <c r="AA38" s="12" t="n">
        <v>104</v>
      </c>
      <c r="AB38" s="12" t="n">
        <v>190</v>
      </c>
      <c r="AC38" s="12" t="n">
        <v>272</v>
      </c>
      <c r="AD38" s="12" t="n">
        <v>271</v>
      </c>
      <c r="AE38" s="12" t="n">
        <v>219</v>
      </c>
      <c r="AF38" s="12" t="n">
        <v>193</v>
      </c>
    </row>
    <row r="39">
      <c r="A39" s="20" t="n"/>
      <c r="B39" s="13" t="inlineStr">
        <is>
          <t>Agriculture and food security</t>
        </is>
      </c>
      <c r="C39" s="14" t="n">
        <v>0.16</v>
      </c>
      <c r="D39" s="14" t="n">
        <v>0.15</v>
      </c>
      <c r="E39" s="14" t="n">
        <v>0.2</v>
      </c>
      <c r="F39" s="14" t="n">
        <v>0.19</v>
      </c>
      <c r="G39" s="14" t="n">
        <v>0.14</v>
      </c>
      <c r="H39" s="14" t="n">
        <v>0.11</v>
      </c>
      <c r="I39" s="14" t="n">
        <v>0.12</v>
      </c>
      <c r="J39" s="14" t="n">
        <v>0.17</v>
      </c>
      <c r="K39" s="14" t="n">
        <v>0.22</v>
      </c>
      <c r="L39" s="14" t="n">
        <v>0.17</v>
      </c>
      <c r="M39" s="14" t="n">
        <v>0.17</v>
      </c>
      <c r="N39" s="14" t="n">
        <v>0.11</v>
      </c>
      <c r="O39" s="14" t="n">
        <v>0.18</v>
      </c>
      <c r="P39" s="14" t="n">
        <v>0.27</v>
      </c>
      <c r="Q39" s="14" t="n">
        <v>0.16</v>
      </c>
      <c r="R39" s="14" t="n">
        <v>0.09</v>
      </c>
      <c r="S39" s="14" t="n">
        <v>0.11</v>
      </c>
      <c r="T39" s="14" t="n">
        <v>0.14</v>
      </c>
      <c r="U39" s="14" t="n">
        <v>0.14</v>
      </c>
      <c r="V39" s="14" t="n">
        <v>0.24</v>
      </c>
      <c r="W39" s="14" t="n">
        <v>0.11</v>
      </c>
      <c r="X39" s="14" t="n">
        <v>0.15</v>
      </c>
      <c r="Y39" s="14" t="n">
        <v>0.22</v>
      </c>
      <c r="Z39" s="14" t="n">
        <v>0.19</v>
      </c>
      <c r="AA39" s="14" t="n">
        <v>0.1</v>
      </c>
      <c r="AB39" s="14" t="n">
        <v>0.21</v>
      </c>
      <c r="AC39" s="14" t="n">
        <v>0.31</v>
      </c>
      <c r="AD39" s="14" t="n">
        <v>0.3</v>
      </c>
      <c r="AE39" s="14" t="n">
        <v>0.24</v>
      </c>
      <c r="AF39" s="14" t="n">
        <v>0.2</v>
      </c>
    </row>
    <row r="40">
      <c r="A40" s="20" t="n"/>
      <c r="B40" s="11" t="inlineStr">
        <is>
          <t>L'égalité des sexes, l'inclusion et la diversité</t>
        </is>
      </c>
      <c r="C40" s="12" t="n">
        <v>2156</v>
      </c>
      <c r="D40" s="12" t="n">
        <v>77</v>
      </c>
      <c r="E40" s="12" t="n">
        <v>37</v>
      </c>
      <c r="F40" s="12" t="n">
        <v>61</v>
      </c>
      <c r="G40" s="12" t="n">
        <v>75</v>
      </c>
      <c r="H40" s="12" t="n">
        <v>67</v>
      </c>
      <c r="I40" s="12" t="n">
        <v>81</v>
      </c>
      <c r="J40" s="12" t="n">
        <v>14</v>
      </c>
      <c r="K40" s="12" t="n">
        <v>46</v>
      </c>
      <c r="L40" s="12" t="n">
        <v>60</v>
      </c>
      <c r="M40" s="12" t="n">
        <v>70</v>
      </c>
      <c r="N40" s="12" t="n">
        <v>86</v>
      </c>
      <c r="O40" s="12" t="n">
        <v>98</v>
      </c>
      <c r="P40" s="12" t="n">
        <v>102</v>
      </c>
      <c r="Q40" s="12" t="n">
        <v>100</v>
      </c>
      <c r="R40" s="12" t="n">
        <v>13</v>
      </c>
      <c r="S40" s="12" t="n">
        <v>32</v>
      </c>
      <c r="T40" s="12" t="n">
        <v>28</v>
      </c>
      <c r="U40" s="12" t="n">
        <v>31</v>
      </c>
      <c r="V40" s="12" t="n">
        <v>84</v>
      </c>
      <c r="W40" s="12" t="n">
        <v>67</v>
      </c>
      <c r="X40" s="12" t="n">
        <v>77</v>
      </c>
      <c r="Y40" s="12" t="n">
        <v>127</v>
      </c>
      <c r="Z40" s="12" t="n">
        <v>76</v>
      </c>
      <c r="AA40" s="12" t="n">
        <v>67</v>
      </c>
      <c r="AB40" s="12" t="n">
        <v>91</v>
      </c>
      <c r="AC40" s="12" t="n">
        <v>56</v>
      </c>
      <c r="AD40" s="12" t="n">
        <v>50</v>
      </c>
      <c r="AE40" s="12" t="n">
        <v>114</v>
      </c>
      <c r="AF40" s="12" t="n">
        <v>237</v>
      </c>
    </row>
    <row r="41">
      <c r="A41" s="20" t="n"/>
      <c r="B41" s="13" t="inlineStr">
        <is>
          <t>Gender equality, inclusion and diversity</t>
        </is>
      </c>
      <c r="C41" s="14" t="n">
        <v>0.08</v>
      </c>
      <c r="D41" s="14" t="n">
        <v>0.08</v>
      </c>
      <c r="E41" s="14" t="n">
        <v>0.04</v>
      </c>
      <c r="F41" s="14" t="n">
        <v>0.06</v>
      </c>
      <c r="G41" s="14" t="n">
        <v>0.08</v>
      </c>
      <c r="H41" s="14" t="n">
        <v>0.06</v>
      </c>
      <c r="I41" s="14" t="n">
        <v>0.06</v>
      </c>
      <c r="J41" s="14" t="n">
        <v>0.05</v>
      </c>
      <c r="K41" s="14" t="n">
        <v>0.05</v>
      </c>
      <c r="L41" s="14" t="n">
        <v>0.06</v>
      </c>
      <c r="M41" s="14" t="n">
        <v>0.07000000000000001</v>
      </c>
      <c r="N41" s="14" t="n">
        <v>0.09</v>
      </c>
      <c r="O41" s="14" t="n">
        <v>0.1</v>
      </c>
      <c r="P41" s="14" t="n">
        <v>0.1</v>
      </c>
      <c r="Q41" s="14" t="n">
        <v>0.1</v>
      </c>
      <c r="R41" s="14" t="n">
        <v>0.03</v>
      </c>
      <c r="S41" s="14" t="n">
        <v>0.03</v>
      </c>
      <c r="T41" s="14" t="n">
        <v>0.03</v>
      </c>
      <c r="U41" s="14" t="n">
        <v>0.06</v>
      </c>
      <c r="V41" s="14" t="n">
        <v>0.08</v>
      </c>
      <c r="W41" s="14" t="n">
        <v>0.14</v>
      </c>
      <c r="X41" s="14" t="n">
        <v>0.08</v>
      </c>
      <c r="Y41" s="14" t="n">
        <v>0.13</v>
      </c>
      <c r="Z41" s="14" t="n">
        <v>0.08</v>
      </c>
      <c r="AA41" s="14" t="n">
        <v>0.07000000000000001</v>
      </c>
      <c r="AB41" s="14" t="n">
        <v>0.09</v>
      </c>
      <c r="AC41" s="14" t="n">
        <v>0.06</v>
      </c>
      <c r="AD41" s="14" t="n">
        <v>0.05</v>
      </c>
      <c r="AE41" s="14" t="n">
        <v>0.12</v>
      </c>
      <c r="AF41" s="14" t="n">
        <v>0.24</v>
      </c>
    </row>
    <row r="42">
      <c r="A42" s="20" t="n"/>
      <c r="B42" s="11" t="inlineStr">
        <is>
          <t>Autre (SPONTANÉ)</t>
        </is>
      </c>
      <c r="C42" s="12" t="n">
        <v>150</v>
      </c>
      <c r="D42" s="12" t="n">
        <v>1</v>
      </c>
      <c r="E42" s="12" t="n">
        <v>0</v>
      </c>
      <c r="F42" s="12" t="n">
        <v>0</v>
      </c>
      <c r="G42" s="12" t="n">
        <v>1</v>
      </c>
      <c r="H42" s="12" t="n">
        <v>27</v>
      </c>
      <c r="I42" s="12" t="n">
        <v>27</v>
      </c>
      <c r="J42" s="12" t="n">
        <v>0</v>
      </c>
      <c r="K42" s="12" t="n">
        <v>15</v>
      </c>
      <c r="L42" s="12" t="n">
        <v>4</v>
      </c>
      <c r="M42" s="12" t="n">
        <v>5</v>
      </c>
      <c r="N42" s="12" t="n">
        <v>6</v>
      </c>
      <c r="O42" s="12" t="n">
        <v>4</v>
      </c>
      <c r="P42" s="12" t="n">
        <v>0</v>
      </c>
      <c r="Q42" s="12" t="n">
        <v>2</v>
      </c>
      <c r="R42" s="12" t="n">
        <v>0</v>
      </c>
      <c r="S42" s="12" t="n">
        <v>4</v>
      </c>
      <c r="T42" s="12" t="n">
        <v>3</v>
      </c>
      <c r="U42" s="12" t="n">
        <v>2</v>
      </c>
      <c r="V42" s="12" t="n">
        <v>1</v>
      </c>
      <c r="W42" s="12" t="n">
        <v>2</v>
      </c>
      <c r="X42" s="12" t="n">
        <v>5</v>
      </c>
      <c r="Y42" s="12" t="n">
        <v>7</v>
      </c>
      <c r="Z42" s="12" t="n">
        <v>1</v>
      </c>
      <c r="AA42" s="12" t="n">
        <v>1</v>
      </c>
      <c r="AB42" s="12" t="n">
        <v>1</v>
      </c>
      <c r="AC42" s="12" t="n">
        <v>0</v>
      </c>
      <c r="AD42" s="12" t="n">
        <v>1</v>
      </c>
      <c r="AE42" s="12" t="n">
        <v>5</v>
      </c>
      <c r="AF42" s="12" t="n">
        <v>1</v>
      </c>
    </row>
    <row r="43">
      <c r="A43" s="20" t="n"/>
      <c r="B43" s="13" t="inlineStr">
        <is>
          <t>Other (SPONTANEOUS)</t>
        </is>
      </c>
      <c r="C43" s="14" t="n">
        <v>0.01</v>
      </c>
      <c r="D43" s="15" t="inlineStr">
        <is>
          <t>-</t>
        </is>
      </c>
      <c r="E43" s="15" t="inlineStr">
        <is>
          <t>-</t>
        </is>
      </c>
      <c r="F43" s="15" t="inlineStr">
        <is>
          <t>-</t>
        </is>
      </c>
      <c r="G43" s="15" t="inlineStr">
        <is>
          <t>-</t>
        </is>
      </c>
      <c r="H43" s="14" t="n">
        <v>0.02</v>
      </c>
      <c r="I43" s="14" t="n">
        <v>0.02</v>
      </c>
      <c r="J43" s="15" t="inlineStr">
        <is>
          <t>-</t>
        </is>
      </c>
      <c r="K43" s="14" t="n">
        <v>0.01</v>
      </c>
      <c r="L43" s="15" t="inlineStr">
        <is>
          <t>-</t>
        </is>
      </c>
      <c r="M43" s="15" t="inlineStr">
        <is>
          <t>-</t>
        </is>
      </c>
      <c r="N43" s="14" t="n">
        <v>0.01</v>
      </c>
      <c r="O43" s="15" t="inlineStr">
        <is>
          <t>-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15" t="inlineStr">
        <is>
          <t>-</t>
        </is>
      </c>
      <c r="T43" s="15" t="inlineStr">
        <is>
          <t>-</t>
        </is>
      </c>
      <c r="U43" s="15" t="inlineStr">
        <is>
          <t>-</t>
        </is>
      </c>
      <c r="V43" s="15" t="inlineStr">
        <is>
          <t>-</t>
        </is>
      </c>
      <c r="W43" s="15" t="inlineStr">
        <is>
          <t>-</t>
        </is>
      </c>
      <c r="X43" s="14" t="n">
        <v>0.01</v>
      </c>
      <c r="Y43" s="14" t="n">
        <v>0.01</v>
      </c>
      <c r="Z43" s="15" t="inlineStr">
        <is>
          <t>-</t>
        </is>
      </c>
      <c r="AA43" s="15" t="inlineStr">
        <is>
          <t>-</t>
        </is>
      </c>
      <c r="AB43" s="15" t="inlineStr">
        <is>
          <t>-</t>
        </is>
      </c>
      <c r="AC43" s="15" t="inlineStr">
        <is>
          <t>-</t>
        </is>
      </c>
      <c r="AD43" s="15" t="inlineStr">
        <is>
          <t>-</t>
        </is>
      </c>
      <c r="AE43" s="15" t="inlineStr">
        <is>
          <t>-</t>
        </is>
      </c>
      <c r="AF43" s="15" t="inlineStr">
        <is>
          <t>-</t>
        </is>
      </c>
    </row>
    <row r="44">
      <c r="A44" s="20" t="n"/>
      <c r="B44" s="11" t="inlineStr">
        <is>
          <t>Aucun (SPONTANÉ)</t>
        </is>
      </c>
      <c r="C44" s="12" t="n">
        <v>95</v>
      </c>
      <c r="D44" s="12" t="n">
        <v>3</v>
      </c>
      <c r="E44" s="12" t="n">
        <v>0</v>
      </c>
      <c r="F44" s="12" t="n">
        <v>2</v>
      </c>
      <c r="G44" s="12" t="n">
        <v>3</v>
      </c>
      <c r="H44" s="12" t="n">
        <v>9</v>
      </c>
      <c r="I44" s="12" t="n">
        <v>9</v>
      </c>
      <c r="J44" s="12" t="n">
        <v>0</v>
      </c>
      <c r="K44" s="12" t="n">
        <v>7</v>
      </c>
      <c r="L44" s="12" t="n">
        <v>1</v>
      </c>
      <c r="M44" s="12" t="n">
        <v>0</v>
      </c>
      <c r="N44" s="12" t="n">
        <v>10</v>
      </c>
      <c r="O44" s="12" t="n">
        <v>3</v>
      </c>
      <c r="P44" s="12" t="n">
        <v>0</v>
      </c>
      <c r="Q44" s="12" t="n">
        <v>2</v>
      </c>
      <c r="R44" s="12" t="n">
        <v>3</v>
      </c>
      <c r="S44" s="12" t="n">
        <v>5</v>
      </c>
      <c r="T44" s="12" t="n">
        <v>0</v>
      </c>
      <c r="U44" s="12" t="n">
        <v>0</v>
      </c>
      <c r="V44" s="12" t="n">
        <v>2</v>
      </c>
      <c r="W44" s="12" t="n">
        <v>5</v>
      </c>
      <c r="X44" s="12" t="n">
        <v>1</v>
      </c>
      <c r="Y44" s="12" t="n">
        <v>3</v>
      </c>
      <c r="Z44" s="12" t="n">
        <v>1</v>
      </c>
      <c r="AA44" s="12" t="n">
        <v>0</v>
      </c>
      <c r="AB44" s="12" t="n">
        <v>2</v>
      </c>
      <c r="AC44" s="12" t="n">
        <v>0</v>
      </c>
      <c r="AD44" s="12" t="n">
        <v>0</v>
      </c>
      <c r="AE44" s="12" t="n">
        <v>8</v>
      </c>
      <c r="AF44" s="12" t="n">
        <v>3</v>
      </c>
    </row>
    <row r="45">
      <c r="A45" s="20" t="n"/>
      <c r="B45" s="13" t="inlineStr">
        <is>
          <t>None (SPONTANEOUS)</t>
        </is>
      </c>
      <c r="C45" s="15" t="inlineStr">
        <is>
          <t>-</t>
        </is>
      </c>
      <c r="D45" s="15" t="inlineStr">
        <is>
          <t>-</t>
        </is>
      </c>
      <c r="E45" s="15" t="inlineStr">
        <is>
          <t>-</t>
        </is>
      </c>
      <c r="F45" s="15" t="inlineStr">
        <is>
          <t>-</t>
        </is>
      </c>
      <c r="G45" s="15" t="inlineStr">
        <is>
          <t>-</t>
        </is>
      </c>
      <c r="H45" s="14" t="n">
        <v>0.01</v>
      </c>
      <c r="I45" s="14" t="n">
        <v>0.01</v>
      </c>
      <c r="J45" s="15" t="inlineStr">
        <is>
          <t>-</t>
        </is>
      </c>
      <c r="K45" s="14" t="n">
        <v>0.01</v>
      </c>
      <c r="L45" s="15" t="inlineStr">
        <is>
          <t>-</t>
        </is>
      </c>
      <c r="M45" s="15" t="inlineStr">
        <is>
          <t>-</t>
        </is>
      </c>
      <c r="N45" s="14" t="n">
        <v>0.01</v>
      </c>
      <c r="O45" s="15" t="inlineStr">
        <is>
          <t>-</t>
        </is>
      </c>
      <c r="P45" s="15" t="inlineStr">
        <is>
          <t>-</t>
        </is>
      </c>
      <c r="Q45" s="15" t="inlineStr">
        <is>
          <t>-</t>
        </is>
      </c>
      <c r="R45" s="14" t="n">
        <v>0.01</v>
      </c>
      <c r="S45" s="15" t="inlineStr">
        <is>
          <t>-</t>
        </is>
      </c>
      <c r="T45" s="15" t="inlineStr">
        <is>
          <t>-</t>
        </is>
      </c>
      <c r="U45" s="15" t="inlineStr">
        <is>
          <t>-</t>
        </is>
      </c>
      <c r="V45" s="15" t="inlineStr">
        <is>
          <t>-</t>
        </is>
      </c>
      <c r="W45" s="14" t="n">
        <v>0.01</v>
      </c>
      <c r="X45" s="15" t="inlineStr">
        <is>
          <t>-</t>
        </is>
      </c>
      <c r="Y45" s="15" t="inlineStr">
        <is>
          <t>-</t>
        </is>
      </c>
      <c r="Z45" s="15" t="inlineStr">
        <is>
          <t>-</t>
        </is>
      </c>
      <c r="AA45" s="15" t="inlineStr">
        <is>
          <t>-</t>
        </is>
      </c>
      <c r="AB45" s="15" t="inlineStr">
        <is>
          <t>-</t>
        </is>
      </c>
      <c r="AC45" s="15" t="inlineStr">
        <is>
          <t>-</t>
        </is>
      </c>
      <c r="AD45" s="15" t="inlineStr">
        <is>
          <t>-</t>
        </is>
      </c>
      <c r="AE45" s="14" t="n">
        <v>0.01</v>
      </c>
      <c r="AF45" s="15" t="inlineStr">
        <is>
          <t>-</t>
        </is>
      </c>
    </row>
    <row r="46">
      <c r="A46" s="20" t="n"/>
      <c r="B46" s="11" t="inlineStr">
        <is>
          <t>Ne sait pas</t>
        </is>
      </c>
      <c r="C46" s="12" t="n">
        <v>129</v>
      </c>
      <c r="D46" s="12" t="n">
        <v>3</v>
      </c>
      <c r="E46" s="12" t="n">
        <v>6</v>
      </c>
      <c r="F46" s="12" t="n">
        <v>4</v>
      </c>
      <c r="G46" s="12" t="n">
        <v>11</v>
      </c>
      <c r="H46" s="12" t="n">
        <v>6</v>
      </c>
      <c r="I46" s="12" t="n">
        <v>6</v>
      </c>
      <c r="J46" s="12" t="n">
        <v>0</v>
      </c>
      <c r="K46" s="12" t="n">
        <v>13</v>
      </c>
      <c r="L46" s="12" t="n">
        <v>2</v>
      </c>
      <c r="M46" s="12" t="n">
        <v>0</v>
      </c>
      <c r="N46" s="12" t="n">
        <v>13</v>
      </c>
      <c r="O46" s="12" t="n">
        <v>11</v>
      </c>
      <c r="P46" s="12" t="n">
        <v>1</v>
      </c>
      <c r="Q46" s="12" t="n">
        <v>1</v>
      </c>
      <c r="R46" s="12" t="n">
        <v>9</v>
      </c>
      <c r="S46" s="12" t="n">
        <v>18</v>
      </c>
      <c r="T46" s="12" t="n">
        <v>4</v>
      </c>
      <c r="U46" s="12" t="n">
        <v>1</v>
      </c>
      <c r="V46" s="12" t="n">
        <v>3</v>
      </c>
      <c r="W46" s="12" t="n">
        <v>1</v>
      </c>
      <c r="X46" s="12" t="n">
        <v>3</v>
      </c>
      <c r="Y46" s="12" t="n">
        <v>0</v>
      </c>
      <c r="Z46" s="12" t="n">
        <v>1</v>
      </c>
      <c r="AA46" s="12" t="n">
        <v>2</v>
      </c>
      <c r="AB46" s="12" t="n">
        <v>2</v>
      </c>
      <c r="AC46" s="12" t="n">
        <v>4</v>
      </c>
      <c r="AD46" s="12" t="n">
        <v>3</v>
      </c>
      <c r="AE46" s="12" t="n">
        <v>3</v>
      </c>
      <c r="AF46" s="12" t="n">
        <v>2</v>
      </c>
    </row>
    <row r="47">
      <c r="A47" s="23" t="n"/>
      <c r="B47" s="13" t="inlineStr">
        <is>
          <t>Don't know</t>
        </is>
      </c>
      <c r="C47" s="15" t="inlineStr">
        <is>
          <t>-</t>
        </is>
      </c>
      <c r="D47" s="15" t="inlineStr">
        <is>
          <t>-</t>
        </is>
      </c>
      <c r="E47" s="14" t="n">
        <v>0.01</v>
      </c>
      <c r="F47" s="15" t="inlineStr">
        <is>
          <t>-</t>
        </is>
      </c>
      <c r="G47" s="14" t="n">
        <v>0.01</v>
      </c>
      <c r="H47" s="15" t="inlineStr">
        <is>
          <t>-</t>
        </is>
      </c>
      <c r="I47" s="15" t="inlineStr">
        <is>
          <t>-</t>
        </is>
      </c>
      <c r="J47" s="15" t="inlineStr">
        <is>
          <t>-</t>
        </is>
      </c>
      <c r="K47" s="14" t="n">
        <v>0.01</v>
      </c>
      <c r="L47" s="15" t="inlineStr">
        <is>
          <t>-</t>
        </is>
      </c>
      <c r="M47" s="15" t="inlineStr">
        <is>
          <t>-</t>
        </is>
      </c>
      <c r="N47" s="14" t="n">
        <v>0.01</v>
      </c>
      <c r="O47" s="14" t="n">
        <v>0.01</v>
      </c>
      <c r="P47" s="15" t="inlineStr">
        <is>
          <t>-</t>
        </is>
      </c>
      <c r="Q47" s="15" t="inlineStr">
        <is>
          <t>-</t>
        </is>
      </c>
      <c r="R47" s="14" t="n">
        <v>0.02</v>
      </c>
      <c r="S47" s="14" t="n">
        <v>0.02</v>
      </c>
      <c r="T47" s="15" t="inlineStr">
        <is>
          <t>-</t>
        </is>
      </c>
      <c r="U47" s="15" t="inlineStr">
        <is>
          <t>-</t>
        </is>
      </c>
      <c r="V47" s="15" t="inlineStr">
        <is>
          <t>-</t>
        </is>
      </c>
      <c r="W47" s="15" t="inlineStr">
        <is>
          <t>-</t>
        </is>
      </c>
      <c r="X47" s="15" t="inlineStr">
        <is>
          <t>-</t>
        </is>
      </c>
      <c r="Y47" s="15" t="inlineStr">
        <is>
          <t>-</t>
        </is>
      </c>
      <c r="Z47" s="15" t="inlineStr">
        <is>
          <t>-</t>
        </is>
      </c>
      <c r="AA47" s="15" t="inlineStr">
        <is>
          <t>-</t>
        </is>
      </c>
      <c r="AB47" s="15" t="inlineStr">
        <is>
          <t>-</t>
        </is>
      </c>
      <c r="AC47" s="15" t="inlineStr">
        <is>
          <t>-</t>
        </is>
      </c>
      <c r="AD47" s="15" t="inlineStr">
        <is>
          <t>-</t>
        </is>
      </c>
      <c r="AE47" s="15" t="inlineStr">
        <is>
          <t>-</t>
        </is>
      </c>
      <c r="AF47" s="15" t="inlineStr">
        <is>
          <t>-</t>
        </is>
      </c>
    </row>
  </sheetData>
  <mergeCells count="9">
    <mergeCell ref="B4:F4"/>
    <mergeCell ref="A10:A47"/>
    <mergeCell ref="H3:L3"/>
    <mergeCell ref="C8:AF8"/>
    <mergeCell ref="B3:F3"/>
    <mergeCell ref="B5:F5"/>
    <mergeCell ref="H5:L5"/>
    <mergeCell ref="B10:B11"/>
    <mergeCell ref="H4:L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47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24" customHeight="1" s="18">
      <c r="B3" s="21" t="inlineStr">
        <is>
          <t>QA7ab. Parmi les sujets suivants, lesquels souhaiteriez-vous que le Parlement européen traite en priorité ? En premier ? Et ensuite ? (4 RÉPONSES MAX.)</t>
        </is>
      </c>
      <c r="H3" s="21" t="inlineStr">
        <is>
          <t>QA7ab. Which of the following topics would you like to see addressed in priority by the European Parliament? Firstly? And then? (MAX. 4 ANSWERS)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HYPERLINK("#Content!A20","&lt;&lt;Back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La santé publique</t>
        </is>
      </c>
      <c r="C12" s="12" t="n">
        <v>7931</v>
      </c>
      <c r="D12" s="12" t="n">
        <v>248</v>
      </c>
      <c r="E12" s="12" t="n">
        <v>312</v>
      </c>
      <c r="F12" s="12" t="n">
        <v>235</v>
      </c>
      <c r="G12" s="12" t="n">
        <v>204</v>
      </c>
      <c r="H12" s="12" t="n">
        <v>160</v>
      </c>
      <c r="I12" s="12" t="n">
        <v>225</v>
      </c>
      <c r="J12" s="12" t="n">
        <v>65</v>
      </c>
      <c r="K12" s="12" t="n">
        <v>282</v>
      </c>
      <c r="L12" s="12" t="n">
        <v>452</v>
      </c>
      <c r="M12" s="12" t="n">
        <v>497</v>
      </c>
      <c r="N12" s="12" t="n">
        <v>448</v>
      </c>
      <c r="O12" s="12" t="n">
        <v>362</v>
      </c>
      <c r="P12" s="12" t="n">
        <v>291</v>
      </c>
      <c r="Q12" s="12" t="n">
        <v>334</v>
      </c>
      <c r="R12" s="12" t="n">
        <v>184</v>
      </c>
      <c r="S12" s="12" t="n">
        <v>455</v>
      </c>
      <c r="T12" s="12" t="n">
        <v>382</v>
      </c>
      <c r="U12" s="12" t="n">
        <v>123</v>
      </c>
      <c r="V12" s="12" t="n">
        <v>382</v>
      </c>
      <c r="W12" s="12" t="n">
        <v>185</v>
      </c>
      <c r="X12" s="12" t="n">
        <v>173</v>
      </c>
      <c r="Y12" s="12" t="n">
        <v>213</v>
      </c>
      <c r="Z12" s="12" t="n">
        <v>326</v>
      </c>
      <c r="AA12" s="12" t="n">
        <v>644</v>
      </c>
      <c r="AB12" s="12" t="n">
        <v>260</v>
      </c>
      <c r="AC12" s="12" t="n">
        <v>475</v>
      </c>
      <c r="AD12" s="12" t="n">
        <v>296</v>
      </c>
      <c r="AE12" s="12" t="n">
        <v>98</v>
      </c>
      <c r="AF12" s="12" t="n">
        <v>213</v>
      </c>
    </row>
    <row r="13">
      <c r="A13" s="20" t="n"/>
      <c r="B13" s="13" t="inlineStr">
        <is>
          <t>Public health</t>
        </is>
      </c>
      <c r="C13" s="14" t="n">
        <v>0.3</v>
      </c>
      <c r="D13" s="14" t="n">
        <v>0.24</v>
      </c>
      <c r="E13" s="14" t="n">
        <v>0.31</v>
      </c>
      <c r="F13" s="14" t="n">
        <v>0.22</v>
      </c>
      <c r="G13" s="14" t="n">
        <v>0.2</v>
      </c>
      <c r="H13" s="14" t="n">
        <v>0.13</v>
      </c>
      <c r="I13" s="14" t="n">
        <v>0.15</v>
      </c>
      <c r="J13" s="14" t="n">
        <v>0.22</v>
      </c>
      <c r="K13" s="14" t="n">
        <v>0.28</v>
      </c>
      <c r="L13" s="14" t="n">
        <v>0.45</v>
      </c>
      <c r="M13" s="14" t="n">
        <v>0.49</v>
      </c>
      <c r="N13" s="14" t="n">
        <v>0.45</v>
      </c>
      <c r="O13" s="14" t="n">
        <v>0.36</v>
      </c>
      <c r="P13" s="14" t="n">
        <v>0.29</v>
      </c>
      <c r="Q13" s="14" t="n">
        <v>0.32</v>
      </c>
      <c r="R13" s="14" t="n">
        <v>0.37</v>
      </c>
      <c r="S13" s="14" t="n">
        <v>0.45</v>
      </c>
      <c r="T13" s="14" t="n">
        <v>0.38</v>
      </c>
      <c r="U13" s="14" t="n">
        <v>0.24</v>
      </c>
      <c r="V13" s="14" t="n">
        <v>0.37</v>
      </c>
      <c r="W13" s="14" t="n">
        <v>0.37</v>
      </c>
      <c r="X13" s="14" t="n">
        <v>0.17</v>
      </c>
      <c r="Y13" s="14" t="n">
        <v>0.21</v>
      </c>
      <c r="Z13" s="14" t="n">
        <v>0.32</v>
      </c>
      <c r="AA13" s="14" t="n">
        <v>0.62</v>
      </c>
      <c r="AB13" s="14" t="n">
        <v>0.25</v>
      </c>
      <c r="AC13" s="14" t="n">
        <v>0.47</v>
      </c>
      <c r="AD13" s="14" t="n">
        <v>0.3</v>
      </c>
      <c r="AE13" s="14" t="n">
        <v>0.1</v>
      </c>
      <c r="AF13" s="14" t="n">
        <v>0.21</v>
      </c>
    </row>
    <row r="14">
      <c r="A14" s="20" t="n"/>
      <c r="B14" s="11" t="inlineStr">
        <is>
          <t>L’environnement et le changement climatique</t>
        </is>
      </c>
      <c r="C14" s="12" t="n">
        <v>5740</v>
      </c>
      <c r="D14" s="12" t="n">
        <v>251</v>
      </c>
      <c r="E14" s="12" t="n">
        <v>96</v>
      </c>
      <c r="F14" s="12" t="n">
        <v>145</v>
      </c>
      <c r="G14" s="12" t="n">
        <v>456</v>
      </c>
      <c r="H14" s="12" t="n">
        <v>339</v>
      </c>
      <c r="I14" s="12" t="n">
        <v>400</v>
      </c>
      <c r="J14" s="12" t="n">
        <v>61</v>
      </c>
      <c r="K14" s="12" t="n">
        <v>77</v>
      </c>
      <c r="L14" s="12" t="n">
        <v>183</v>
      </c>
      <c r="M14" s="12" t="n">
        <v>155</v>
      </c>
      <c r="N14" s="12" t="n">
        <v>138</v>
      </c>
      <c r="O14" s="12" t="n">
        <v>279</v>
      </c>
      <c r="P14" s="12" t="n">
        <v>134</v>
      </c>
      <c r="Q14" s="12" t="n">
        <v>224</v>
      </c>
      <c r="R14" s="12" t="n">
        <v>49</v>
      </c>
      <c r="S14" s="12" t="n">
        <v>73</v>
      </c>
      <c r="T14" s="12" t="n">
        <v>72</v>
      </c>
      <c r="U14" s="12" t="n">
        <v>111</v>
      </c>
      <c r="V14" s="12" t="n">
        <v>227</v>
      </c>
      <c r="W14" s="12" t="n">
        <v>134</v>
      </c>
      <c r="X14" s="12" t="n">
        <v>336</v>
      </c>
      <c r="Y14" s="12" t="n">
        <v>231</v>
      </c>
      <c r="Z14" s="12" t="n">
        <v>120</v>
      </c>
      <c r="AA14" s="12" t="n">
        <v>118</v>
      </c>
      <c r="AB14" s="12" t="n">
        <v>111</v>
      </c>
      <c r="AC14" s="12" t="n">
        <v>201</v>
      </c>
      <c r="AD14" s="12" t="n">
        <v>137</v>
      </c>
      <c r="AE14" s="12" t="n">
        <v>303</v>
      </c>
      <c r="AF14" s="12" t="n">
        <v>510</v>
      </c>
    </row>
    <row r="15">
      <c r="A15" s="20" t="n"/>
      <c r="B15" s="13" t="inlineStr">
        <is>
          <t>Environment and climate change</t>
        </is>
      </c>
      <c r="C15" s="14" t="n">
        <v>0.22</v>
      </c>
      <c r="D15" s="14" t="n">
        <v>0.25</v>
      </c>
      <c r="E15" s="14" t="n">
        <v>0.09</v>
      </c>
      <c r="F15" s="14" t="n">
        <v>0.14</v>
      </c>
      <c r="G15" s="14" t="n">
        <v>0.45</v>
      </c>
      <c r="H15" s="14" t="n">
        <v>0.28</v>
      </c>
      <c r="I15" s="14" t="n">
        <v>0.27</v>
      </c>
      <c r="J15" s="14" t="n">
        <v>0.21</v>
      </c>
      <c r="K15" s="14" t="n">
        <v>0.08</v>
      </c>
      <c r="L15" s="14" t="n">
        <v>0.18</v>
      </c>
      <c r="M15" s="14" t="n">
        <v>0.15</v>
      </c>
      <c r="N15" s="14" t="n">
        <v>0.14</v>
      </c>
      <c r="O15" s="14" t="n">
        <v>0.27</v>
      </c>
      <c r="P15" s="14" t="n">
        <v>0.13</v>
      </c>
      <c r="Q15" s="14" t="n">
        <v>0.22</v>
      </c>
      <c r="R15" s="14" t="n">
        <v>0.1</v>
      </c>
      <c r="S15" s="14" t="n">
        <v>0.07000000000000001</v>
      </c>
      <c r="T15" s="14" t="n">
        <v>0.07000000000000001</v>
      </c>
      <c r="U15" s="14" t="n">
        <v>0.22</v>
      </c>
      <c r="V15" s="14" t="n">
        <v>0.22</v>
      </c>
      <c r="W15" s="14" t="n">
        <v>0.26</v>
      </c>
      <c r="X15" s="14" t="n">
        <v>0.33</v>
      </c>
      <c r="Y15" s="14" t="n">
        <v>0.23</v>
      </c>
      <c r="Z15" s="14" t="n">
        <v>0.12</v>
      </c>
      <c r="AA15" s="14" t="n">
        <v>0.11</v>
      </c>
      <c r="AB15" s="14" t="n">
        <v>0.11</v>
      </c>
      <c r="AC15" s="14" t="n">
        <v>0.2</v>
      </c>
      <c r="AD15" s="14" t="n">
        <v>0.14</v>
      </c>
      <c r="AE15" s="14" t="n">
        <v>0.3</v>
      </c>
      <c r="AF15" s="14" t="n">
        <v>0.49</v>
      </c>
    </row>
    <row r="16">
      <c r="A16" s="20" t="n"/>
      <c r="B16" s="11" t="inlineStr">
        <is>
          <t>La pauvreté et l’exclusion sociale</t>
        </is>
      </c>
      <c r="C16" s="12" t="n">
        <v>6682</v>
      </c>
      <c r="D16" s="12" t="n">
        <v>315</v>
      </c>
      <c r="E16" s="12" t="n">
        <v>409</v>
      </c>
      <c r="F16" s="12" t="n">
        <v>177</v>
      </c>
      <c r="G16" s="12" t="n">
        <v>158</v>
      </c>
      <c r="H16" s="12" t="n">
        <v>264</v>
      </c>
      <c r="I16" s="12" t="n">
        <v>344</v>
      </c>
      <c r="J16" s="12" t="n">
        <v>80</v>
      </c>
      <c r="K16" s="12" t="n">
        <v>177</v>
      </c>
      <c r="L16" s="12" t="n">
        <v>235</v>
      </c>
      <c r="M16" s="12" t="n">
        <v>451</v>
      </c>
      <c r="N16" s="12" t="n">
        <v>224</v>
      </c>
      <c r="O16" s="12" t="n">
        <v>339</v>
      </c>
      <c r="P16" s="12" t="n">
        <v>393</v>
      </c>
      <c r="Q16" s="12" t="n">
        <v>199</v>
      </c>
      <c r="R16" s="12" t="n">
        <v>154</v>
      </c>
      <c r="S16" s="12" t="n">
        <v>274</v>
      </c>
      <c r="T16" s="12" t="n">
        <v>367</v>
      </c>
      <c r="U16" s="12" t="n">
        <v>192</v>
      </c>
      <c r="V16" s="12" t="n">
        <v>277</v>
      </c>
      <c r="W16" s="12" t="n">
        <v>124</v>
      </c>
      <c r="X16" s="12" t="n">
        <v>238</v>
      </c>
      <c r="Y16" s="12" t="n">
        <v>283</v>
      </c>
      <c r="Z16" s="12" t="n">
        <v>135</v>
      </c>
      <c r="AA16" s="12" t="n">
        <v>478</v>
      </c>
      <c r="AB16" s="12" t="n">
        <v>276</v>
      </c>
      <c r="AC16" s="12" t="n">
        <v>252</v>
      </c>
      <c r="AD16" s="12" t="n">
        <v>257</v>
      </c>
      <c r="AE16" s="12" t="n">
        <v>323</v>
      </c>
      <c r="AF16" s="12" t="n">
        <v>290</v>
      </c>
    </row>
    <row r="17">
      <c r="A17" s="20" t="n"/>
      <c r="B17" s="13" t="inlineStr">
        <is>
          <t>Poverty and social exclusion</t>
        </is>
      </c>
      <c r="C17" s="14" t="n">
        <v>0.25</v>
      </c>
      <c r="D17" s="14" t="n">
        <v>0.31</v>
      </c>
      <c r="E17" s="14" t="n">
        <v>0.4</v>
      </c>
      <c r="F17" s="14" t="n">
        <v>0.17</v>
      </c>
      <c r="G17" s="14" t="n">
        <v>0.16</v>
      </c>
      <c r="H17" s="14" t="n">
        <v>0.22</v>
      </c>
      <c r="I17" s="14" t="n">
        <v>0.23</v>
      </c>
      <c r="J17" s="14" t="n">
        <v>0.27</v>
      </c>
      <c r="K17" s="14" t="n">
        <v>0.18</v>
      </c>
      <c r="L17" s="14" t="n">
        <v>0.23</v>
      </c>
      <c r="M17" s="14" t="n">
        <v>0.45</v>
      </c>
      <c r="N17" s="14" t="n">
        <v>0.22</v>
      </c>
      <c r="O17" s="14" t="n">
        <v>0.33</v>
      </c>
      <c r="P17" s="14" t="n">
        <v>0.39</v>
      </c>
      <c r="Q17" s="14" t="n">
        <v>0.19</v>
      </c>
      <c r="R17" s="14" t="n">
        <v>0.31</v>
      </c>
      <c r="S17" s="14" t="n">
        <v>0.27</v>
      </c>
      <c r="T17" s="14" t="n">
        <v>0.36</v>
      </c>
      <c r="U17" s="14" t="n">
        <v>0.38</v>
      </c>
      <c r="V17" s="14" t="n">
        <v>0.27</v>
      </c>
      <c r="W17" s="14" t="n">
        <v>0.24</v>
      </c>
      <c r="X17" s="14" t="n">
        <v>0.23</v>
      </c>
      <c r="Y17" s="14" t="n">
        <v>0.28</v>
      </c>
      <c r="Z17" s="14" t="n">
        <v>0.13</v>
      </c>
      <c r="AA17" s="14" t="n">
        <v>0.46</v>
      </c>
      <c r="AB17" s="14" t="n">
        <v>0.26</v>
      </c>
      <c r="AC17" s="14" t="n">
        <v>0.25</v>
      </c>
      <c r="AD17" s="14" t="n">
        <v>0.26</v>
      </c>
      <c r="AE17" s="14" t="n">
        <v>0.32</v>
      </c>
      <c r="AF17" s="14" t="n">
        <v>0.28</v>
      </c>
    </row>
    <row r="18">
      <c r="A18" s="20" t="n"/>
      <c r="B18" s="11" t="inlineStr">
        <is>
          <t>L’économie et la création de nouveaux emplois</t>
        </is>
      </c>
      <c r="C18" s="12" t="n">
        <v>9135</v>
      </c>
      <c r="D18" s="12" t="n">
        <v>269</v>
      </c>
      <c r="E18" s="12" t="n">
        <v>505</v>
      </c>
      <c r="F18" s="12" t="n">
        <v>289</v>
      </c>
      <c r="G18" s="12" t="n">
        <v>249</v>
      </c>
      <c r="H18" s="12" t="n">
        <v>392</v>
      </c>
      <c r="I18" s="12" t="n">
        <v>498</v>
      </c>
      <c r="J18" s="12" t="n">
        <v>106</v>
      </c>
      <c r="K18" s="12" t="n">
        <v>458</v>
      </c>
      <c r="L18" s="12" t="n">
        <v>346</v>
      </c>
      <c r="M18" s="12" t="n">
        <v>516</v>
      </c>
      <c r="N18" s="12" t="n">
        <v>475</v>
      </c>
      <c r="O18" s="12" t="n">
        <v>225</v>
      </c>
      <c r="P18" s="12" t="n">
        <v>457</v>
      </c>
      <c r="Q18" s="12" t="n">
        <v>400</v>
      </c>
      <c r="R18" s="12" t="n">
        <v>226</v>
      </c>
      <c r="S18" s="12" t="n">
        <v>452</v>
      </c>
      <c r="T18" s="12" t="n">
        <v>484</v>
      </c>
      <c r="U18" s="12" t="n">
        <v>152</v>
      </c>
      <c r="V18" s="12" t="n">
        <v>438</v>
      </c>
      <c r="W18" s="12" t="n">
        <v>152</v>
      </c>
      <c r="X18" s="12" t="n">
        <v>132</v>
      </c>
      <c r="Y18" s="12" t="n">
        <v>397</v>
      </c>
      <c r="Z18" s="12" t="n">
        <v>315</v>
      </c>
      <c r="AA18" s="12" t="n">
        <v>480</v>
      </c>
      <c r="AB18" s="12" t="n">
        <v>433</v>
      </c>
      <c r="AC18" s="12" t="n">
        <v>391</v>
      </c>
      <c r="AD18" s="12" t="n">
        <v>452</v>
      </c>
      <c r="AE18" s="12" t="n">
        <v>431</v>
      </c>
      <c r="AF18" s="12" t="n">
        <v>291</v>
      </c>
    </row>
    <row r="19">
      <c r="A19" s="20" t="n"/>
      <c r="B19" s="13" t="inlineStr">
        <is>
          <t>Economy and job creation</t>
        </is>
      </c>
      <c r="C19" s="14" t="n">
        <v>0.35</v>
      </c>
      <c r="D19" s="14" t="n">
        <v>0.26</v>
      </c>
      <c r="E19" s="14" t="n">
        <v>0.5</v>
      </c>
      <c r="F19" s="14" t="n">
        <v>0.28</v>
      </c>
      <c r="G19" s="14" t="n">
        <v>0.25</v>
      </c>
      <c r="H19" s="14" t="n">
        <v>0.32</v>
      </c>
      <c r="I19" s="14" t="n">
        <v>0.33</v>
      </c>
      <c r="J19" s="14" t="n">
        <v>0.36</v>
      </c>
      <c r="K19" s="14" t="n">
        <v>0.45</v>
      </c>
      <c r="L19" s="14" t="n">
        <v>0.34</v>
      </c>
      <c r="M19" s="14" t="n">
        <v>0.51</v>
      </c>
      <c r="N19" s="14" t="n">
        <v>0.47</v>
      </c>
      <c r="O19" s="14" t="n">
        <v>0.22</v>
      </c>
      <c r="P19" s="14" t="n">
        <v>0.45</v>
      </c>
      <c r="Q19" s="14" t="n">
        <v>0.39</v>
      </c>
      <c r="R19" s="14" t="n">
        <v>0.45</v>
      </c>
      <c r="S19" s="14" t="n">
        <v>0.45</v>
      </c>
      <c r="T19" s="14" t="n">
        <v>0.48</v>
      </c>
      <c r="U19" s="14" t="n">
        <v>0.3</v>
      </c>
      <c r="V19" s="14" t="n">
        <v>0.43</v>
      </c>
      <c r="W19" s="14" t="n">
        <v>0.3</v>
      </c>
      <c r="X19" s="14" t="n">
        <v>0.13</v>
      </c>
      <c r="Y19" s="14" t="n">
        <v>0.4</v>
      </c>
      <c r="Z19" s="14" t="n">
        <v>0.31</v>
      </c>
      <c r="AA19" s="14" t="n">
        <v>0.47</v>
      </c>
      <c r="AB19" s="14" t="n">
        <v>0.41</v>
      </c>
      <c r="AC19" s="14" t="n">
        <v>0.39</v>
      </c>
      <c r="AD19" s="14" t="n">
        <v>0.45</v>
      </c>
      <c r="AE19" s="14" t="n">
        <v>0.42</v>
      </c>
      <c r="AF19" s="14" t="n">
        <v>0.28</v>
      </c>
    </row>
    <row r="20">
      <c r="A20" s="20" t="n"/>
      <c r="B20" s="11" t="inlineStr">
        <is>
          <t>L’inflation, la hausse des prix et le coût de la vie</t>
        </is>
      </c>
      <c r="C20" s="12" t="n">
        <v>12542</v>
      </c>
      <c r="D20" s="12" t="n">
        <v>447</v>
      </c>
      <c r="E20" s="12" t="n">
        <v>637</v>
      </c>
      <c r="F20" s="12" t="n">
        <v>489</v>
      </c>
      <c r="G20" s="12" t="n">
        <v>261</v>
      </c>
      <c r="H20" s="12" t="n">
        <v>509</v>
      </c>
      <c r="I20" s="12" t="n">
        <v>693</v>
      </c>
      <c r="J20" s="12" t="n">
        <v>184</v>
      </c>
      <c r="K20" s="12" t="n">
        <v>532</v>
      </c>
      <c r="L20" s="12" t="n">
        <v>582</v>
      </c>
      <c r="M20" s="12" t="n">
        <v>520</v>
      </c>
      <c r="N20" s="12" t="n">
        <v>478</v>
      </c>
      <c r="O20" s="12" t="n">
        <v>561</v>
      </c>
      <c r="P20" s="12" t="n">
        <v>610</v>
      </c>
      <c r="Q20" s="12" t="n">
        <v>524</v>
      </c>
      <c r="R20" s="12" t="n">
        <v>219</v>
      </c>
      <c r="S20" s="12" t="n">
        <v>447</v>
      </c>
      <c r="T20" s="12" t="n">
        <v>451</v>
      </c>
      <c r="U20" s="12" t="n">
        <v>211</v>
      </c>
      <c r="V20" s="12" t="n">
        <v>459</v>
      </c>
      <c r="W20" s="12" t="n">
        <v>221</v>
      </c>
      <c r="X20" s="12" t="n">
        <v>397</v>
      </c>
      <c r="Y20" s="12" t="n">
        <v>524</v>
      </c>
      <c r="Z20" s="12" t="n">
        <v>420</v>
      </c>
      <c r="AA20" s="12" t="n">
        <v>668</v>
      </c>
      <c r="AB20" s="12" t="n">
        <v>440</v>
      </c>
      <c r="AC20" s="12" t="n">
        <v>414</v>
      </c>
      <c r="AD20" s="12" t="n">
        <v>569</v>
      </c>
      <c r="AE20" s="12" t="n">
        <v>270</v>
      </c>
      <c r="AF20" s="12" t="n">
        <v>190</v>
      </c>
    </row>
    <row r="21">
      <c r="A21" s="20" t="n"/>
      <c r="B21" s="13" t="inlineStr">
        <is>
          <t>Inflation, rising prices and the cost of living</t>
        </is>
      </c>
      <c r="C21" s="14" t="n">
        <v>0.47</v>
      </c>
      <c r="D21" s="14" t="n">
        <v>0.44</v>
      </c>
      <c r="E21" s="14" t="n">
        <v>0.63</v>
      </c>
      <c r="F21" s="14" t="n">
        <v>0.47</v>
      </c>
      <c r="G21" s="14" t="n">
        <v>0.26</v>
      </c>
      <c r="H21" s="14" t="n">
        <v>0.42</v>
      </c>
      <c r="I21" s="14" t="n">
        <v>0.46</v>
      </c>
      <c r="J21" s="14" t="n">
        <v>0.63</v>
      </c>
      <c r="K21" s="14" t="n">
        <v>0.53</v>
      </c>
      <c r="L21" s="14" t="n">
        <v>0.58</v>
      </c>
      <c r="M21" s="14" t="n">
        <v>0.52</v>
      </c>
      <c r="N21" s="14" t="n">
        <v>0.47</v>
      </c>
      <c r="O21" s="14" t="n">
        <v>0.55</v>
      </c>
      <c r="P21" s="14" t="n">
        <v>0.61</v>
      </c>
      <c r="Q21" s="14" t="n">
        <v>0.51</v>
      </c>
      <c r="R21" s="14" t="n">
        <v>0.43</v>
      </c>
      <c r="S21" s="14" t="n">
        <v>0.44</v>
      </c>
      <c r="T21" s="14" t="n">
        <v>0.44</v>
      </c>
      <c r="U21" s="14" t="n">
        <v>0.41</v>
      </c>
      <c r="V21" s="14" t="n">
        <v>0.45</v>
      </c>
      <c r="W21" s="14" t="n">
        <v>0.44</v>
      </c>
      <c r="X21" s="14" t="n">
        <v>0.39</v>
      </c>
      <c r="Y21" s="14" t="n">
        <v>0.52</v>
      </c>
      <c r="Z21" s="14" t="n">
        <v>0.41</v>
      </c>
      <c r="AA21" s="14" t="n">
        <v>0.65</v>
      </c>
      <c r="AB21" s="14" t="n">
        <v>0.42</v>
      </c>
      <c r="AC21" s="14" t="n">
        <v>0.41</v>
      </c>
      <c r="AD21" s="14" t="n">
        <v>0.5700000000000001</v>
      </c>
      <c r="AE21" s="14" t="n">
        <v>0.27</v>
      </c>
      <c r="AF21" s="14" t="n">
        <v>0.18</v>
      </c>
    </row>
    <row r="22">
      <c r="A22" s="20" t="n"/>
      <c r="B22" s="11" t="inlineStr">
        <is>
          <t>La digitalisation et l’intelligence artificielle (IA)</t>
        </is>
      </c>
      <c r="C22" s="12" t="n">
        <v>2477</v>
      </c>
      <c r="D22" s="12" t="n">
        <v>77</v>
      </c>
      <c r="E22" s="12" t="n">
        <v>106</v>
      </c>
      <c r="F22" s="12" t="n">
        <v>120</v>
      </c>
      <c r="G22" s="12" t="n">
        <v>198</v>
      </c>
      <c r="H22" s="12" t="n">
        <v>120</v>
      </c>
      <c r="I22" s="12" t="n">
        <v>145</v>
      </c>
      <c r="J22" s="12" t="n">
        <v>25</v>
      </c>
      <c r="K22" s="12" t="n">
        <v>117</v>
      </c>
      <c r="L22" s="12" t="n">
        <v>90</v>
      </c>
      <c r="M22" s="12" t="n">
        <v>72</v>
      </c>
      <c r="N22" s="12" t="n">
        <v>68</v>
      </c>
      <c r="O22" s="12" t="n">
        <v>66</v>
      </c>
      <c r="P22" s="12" t="n">
        <v>84</v>
      </c>
      <c r="Q22" s="12" t="n">
        <v>122</v>
      </c>
      <c r="R22" s="12" t="n">
        <v>16</v>
      </c>
      <c r="S22" s="12" t="n">
        <v>48</v>
      </c>
      <c r="T22" s="12" t="n">
        <v>64</v>
      </c>
      <c r="U22" s="12" t="n">
        <v>55</v>
      </c>
      <c r="V22" s="12" t="n">
        <v>117</v>
      </c>
      <c r="W22" s="12" t="n">
        <v>75</v>
      </c>
      <c r="X22" s="12" t="n">
        <v>177</v>
      </c>
      <c r="Y22" s="12" t="n">
        <v>137</v>
      </c>
      <c r="Z22" s="12" t="n">
        <v>83</v>
      </c>
      <c r="AA22" s="12" t="n">
        <v>69</v>
      </c>
      <c r="AB22" s="12" t="n">
        <v>99</v>
      </c>
      <c r="AC22" s="12" t="n">
        <v>71</v>
      </c>
      <c r="AD22" s="12" t="n">
        <v>106</v>
      </c>
      <c r="AE22" s="12" t="n">
        <v>107</v>
      </c>
      <c r="AF22" s="12" t="n">
        <v>84</v>
      </c>
    </row>
    <row r="23">
      <c r="A23" s="20" t="n"/>
      <c r="B23" s="13" t="inlineStr">
        <is>
          <t>Digitalisation and Artificial Intelligence (AI)</t>
        </is>
      </c>
      <c r="C23" s="14" t="n">
        <v>0.09</v>
      </c>
      <c r="D23" s="14" t="n">
        <v>0.08</v>
      </c>
      <c r="E23" s="14" t="n">
        <v>0.1</v>
      </c>
      <c r="F23" s="14" t="n">
        <v>0.11</v>
      </c>
      <c r="G23" s="14" t="n">
        <v>0.2</v>
      </c>
      <c r="H23" s="14" t="n">
        <v>0.1</v>
      </c>
      <c r="I23" s="14" t="n">
        <v>0.1</v>
      </c>
      <c r="J23" s="14" t="n">
        <v>0.09</v>
      </c>
      <c r="K23" s="14" t="n">
        <v>0.12</v>
      </c>
      <c r="L23" s="14" t="n">
        <v>0.09</v>
      </c>
      <c r="M23" s="14" t="n">
        <v>0.07000000000000001</v>
      </c>
      <c r="N23" s="14" t="n">
        <v>0.07000000000000001</v>
      </c>
      <c r="O23" s="14" t="n">
        <v>0.07000000000000001</v>
      </c>
      <c r="P23" s="14" t="n">
        <v>0.08</v>
      </c>
      <c r="Q23" s="14" t="n">
        <v>0.12</v>
      </c>
      <c r="R23" s="14" t="n">
        <v>0.03</v>
      </c>
      <c r="S23" s="14" t="n">
        <v>0.05</v>
      </c>
      <c r="T23" s="14" t="n">
        <v>0.06</v>
      </c>
      <c r="U23" s="14" t="n">
        <v>0.11</v>
      </c>
      <c r="V23" s="14" t="n">
        <v>0.11</v>
      </c>
      <c r="W23" s="14" t="n">
        <v>0.15</v>
      </c>
      <c r="X23" s="14" t="n">
        <v>0.17</v>
      </c>
      <c r="Y23" s="14" t="n">
        <v>0.14</v>
      </c>
      <c r="Z23" s="14" t="n">
        <v>0.08</v>
      </c>
      <c r="AA23" s="14" t="n">
        <v>0.07000000000000001</v>
      </c>
      <c r="AB23" s="14" t="n">
        <v>0.09</v>
      </c>
      <c r="AC23" s="14" t="n">
        <v>0.07000000000000001</v>
      </c>
      <c r="AD23" s="14" t="n">
        <v>0.11</v>
      </c>
      <c r="AE23" s="14" t="n">
        <v>0.11</v>
      </c>
      <c r="AF23" s="14" t="n">
        <v>0.08</v>
      </c>
    </row>
    <row r="24">
      <c r="A24" s="20" t="n"/>
      <c r="B24" s="11" t="inlineStr">
        <is>
          <t>L'aide humanitaire et l'aide au développement</t>
        </is>
      </c>
      <c r="C24" s="12" t="n">
        <v>2893</v>
      </c>
      <c r="D24" s="12" t="n">
        <v>102</v>
      </c>
      <c r="E24" s="12" t="n">
        <v>105</v>
      </c>
      <c r="F24" s="12" t="n">
        <v>57</v>
      </c>
      <c r="G24" s="12" t="n">
        <v>102</v>
      </c>
      <c r="H24" s="12" t="n">
        <v>101</v>
      </c>
      <c r="I24" s="12" t="n">
        <v>115</v>
      </c>
      <c r="J24" s="12" t="n">
        <v>14</v>
      </c>
      <c r="K24" s="12" t="n">
        <v>65</v>
      </c>
      <c r="L24" s="12" t="n">
        <v>90</v>
      </c>
      <c r="M24" s="12" t="n">
        <v>193</v>
      </c>
      <c r="N24" s="12" t="n">
        <v>128</v>
      </c>
      <c r="O24" s="12" t="n">
        <v>127</v>
      </c>
      <c r="P24" s="12" t="n">
        <v>112</v>
      </c>
      <c r="Q24" s="12" t="n">
        <v>157</v>
      </c>
      <c r="R24" s="12" t="n">
        <v>88</v>
      </c>
      <c r="S24" s="12" t="n">
        <v>69</v>
      </c>
      <c r="T24" s="12" t="n">
        <v>53</v>
      </c>
      <c r="U24" s="12" t="n">
        <v>52</v>
      </c>
      <c r="V24" s="12" t="n">
        <v>80</v>
      </c>
      <c r="W24" s="12" t="n">
        <v>46</v>
      </c>
      <c r="X24" s="12" t="n">
        <v>106</v>
      </c>
      <c r="Y24" s="12" t="n">
        <v>94</v>
      </c>
      <c r="Z24" s="12" t="n">
        <v>90</v>
      </c>
      <c r="AA24" s="12" t="n">
        <v>90</v>
      </c>
      <c r="AB24" s="12" t="n">
        <v>150</v>
      </c>
      <c r="AC24" s="12" t="n">
        <v>63</v>
      </c>
      <c r="AD24" s="12" t="n">
        <v>59</v>
      </c>
      <c r="AE24" s="12" t="n">
        <v>57</v>
      </c>
      <c r="AF24" s="12" t="n">
        <v>134</v>
      </c>
    </row>
    <row r="25">
      <c r="A25" s="20" t="n"/>
      <c r="B25" s="13" t="inlineStr">
        <is>
          <t>Humanitarian aid and development assistance</t>
        </is>
      </c>
      <c r="C25" s="14" t="n">
        <v>0.11</v>
      </c>
      <c r="D25" s="14" t="n">
        <v>0.1</v>
      </c>
      <c r="E25" s="14" t="n">
        <v>0.1</v>
      </c>
      <c r="F25" s="14" t="n">
        <v>0.05</v>
      </c>
      <c r="G25" s="14" t="n">
        <v>0.1</v>
      </c>
      <c r="H25" s="14" t="n">
        <v>0.08</v>
      </c>
      <c r="I25" s="14" t="n">
        <v>0.08</v>
      </c>
      <c r="J25" s="14" t="n">
        <v>0.05</v>
      </c>
      <c r="K25" s="14" t="n">
        <v>0.07000000000000001</v>
      </c>
      <c r="L25" s="14" t="n">
        <v>0.09</v>
      </c>
      <c r="M25" s="14" t="n">
        <v>0.19</v>
      </c>
      <c r="N25" s="14" t="n">
        <v>0.13</v>
      </c>
      <c r="O25" s="14" t="n">
        <v>0.13</v>
      </c>
      <c r="P25" s="14" t="n">
        <v>0.11</v>
      </c>
      <c r="Q25" s="14" t="n">
        <v>0.15</v>
      </c>
      <c r="R25" s="14" t="n">
        <v>0.17</v>
      </c>
      <c r="S25" s="14" t="n">
        <v>0.07000000000000001</v>
      </c>
      <c r="T25" s="14" t="n">
        <v>0.05</v>
      </c>
      <c r="U25" s="14" t="n">
        <v>0.1</v>
      </c>
      <c r="V25" s="14" t="n">
        <v>0.08</v>
      </c>
      <c r="W25" s="14" t="n">
        <v>0.09</v>
      </c>
      <c r="X25" s="14" t="n">
        <v>0.1</v>
      </c>
      <c r="Y25" s="14" t="n">
        <v>0.09</v>
      </c>
      <c r="Z25" s="14" t="n">
        <v>0.09</v>
      </c>
      <c r="AA25" s="14" t="n">
        <v>0.09</v>
      </c>
      <c r="AB25" s="14" t="n">
        <v>0.14</v>
      </c>
      <c r="AC25" s="14" t="n">
        <v>0.06</v>
      </c>
      <c r="AD25" s="14" t="n">
        <v>0.06</v>
      </c>
      <c r="AE25" s="14" t="n">
        <v>0.06</v>
      </c>
      <c r="AF25" s="14" t="n">
        <v>0.13</v>
      </c>
    </row>
    <row r="26">
      <c r="A26" s="20" t="n"/>
      <c r="B26" s="11" t="inlineStr">
        <is>
          <t>L’autonomie de l’UE dans les domaines de l’industrie et de l’énergie</t>
        </is>
      </c>
      <c r="C26" s="12" t="n">
        <v>4183</v>
      </c>
      <c r="D26" s="12" t="n">
        <v>207</v>
      </c>
      <c r="E26" s="12" t="n">
        <v>144</v>
      </c>
      <c r="F26" s="12" t="n">
        <v>372</v>
      </c>
      <c r="G26" s="12" t="n">
        <v>248</v>
      </c>
      <c r="H26" s="12" t="n">
        <v>175</v>
      </c>
      <c r="I26" s="12" t="n">
        <v>210</v>
      </c>
      <c r="J26" s="12" t="n">
        <v>35</v>
      </c>
      <c r="K26" s="12" t="n">
        <v>240</v>
      </c>
      <c r="L26" s="12" t="n">
        <v>95</v>
      </c>
      <c r="M26" s="12" t="n">
        <v>149</v>
      </c>
      <c r="N26" s="12" t="n">
        <v>98</v>
      </c>
      <c r="O26" s="12" t="n">
        <v>140</v>
      </c>
      <c r="P26" s="12" t="n">
        <v>137</v>
      </c>
      <c r="Q26" s="12" t="n">
        <v>223</v>
      </c>
      <c r="R26" s="12" t="n">
        <v>37</v>
      </c>
      <c r="S26" s="12" t="n">
        <v>128</v>
      </c>
      <c r="T26" s="12" t="n">
        <v>164</v>
      </c>
      <c r="U26" s="12" t="n">
        <v>105</v>
      </c>
      <c r="V26" s="12" t="n">
        <v>133</v>
      </c>
      <c r="W26" s="12" t="n">
        <v>47</v>
      </c>
      <c r="X26" s="12" t="n">
        <v>202</v>
      </c>
      <c r="Y26" s="12" t="n">
        <v>202</v>
      </c>
      <c r="Z26" s="12" t="n">
        <v>110</v>
      </c>
      <c r="AA26" s="12" t="n">
        <v>229</v>
      </c>
      <c r="AB26" s="12" t="n">
        <v>212</v>
      </c>
      <c r="AC26" s="12" t="n">
        <v>118</v>
      </c>
      <c r="AD26" s="12" t="n">
        <v>178</v>
      </c>
      <c r="AE26" s="12" t="n">
        <v>121</v>
      </c>
      <c r="AF26" s="12" t="n">
        <v>125</v>
      </c>
    </row>
    <row r="27">
      <c r="A27" s="20" t="n"/>
      <c r="B27" s="13" t="inlineStr">
        <is>
          <t>EU autonomy in the fields of industry and energy</t>
        </is>
      </c>
      <c r="C27" s="14" t="n">
        <v>0.16</v>
      </c>
      <c r="D27" s="14" t="n">
        <v>0.2</v>
      </c>
      <c r="E27" s="14" t="n">
        <v>0.14</v>
      </c>
      <c r="F27" s="14" t="n">
        <v>0.35</v>
      </c>
      <c r="G27" s="14" t="n">
        <v>0.25</v>
      </c>
      <c r="H27" s="14" t="n">
        <v>0.14</v>
      </c>
      <c r="I27" s="14" t="n">
        <v>0.14</v>
      </c>
      <c r="J27" s="14" t="n">
        <v>0.12</v>
      </c>
      <c r="K27" s="14" t="n">
        <v>0.24</v>
      </c>
      <c r="L27" s="14" t="n">
        <v>0.09</v>
      </c>
      <c r="M27" s="14" t="n">
        <v>0.15</v>
      </c>
      <c r="N27" s="14" t="n">
        <v>0.1</v>
      </c>
      <c r="O27" s="14" t="n">
        <v>0.14</v>
      </c>
      <c r="P27" s="14" t="n">
        <v>0.14</v>
      </c>
      <c r="Q27" s="14" t="n">
        <v>0.22</v>
      </c>
      <c r="R27" s="14" t="n">
        <v>0.07000000000000001</v>
      </c>
      <c r="S27" s="14" t="n">
        <v>0.13</v>
      </c>
      <c r="T27" s="14" t="n">
        <v>0.16</v>
      </c>
      <c r="U27" s="14" t="n">
        <v>0.21</v>
      </c>
      <c r="V27" s="14" t="n">
        <v>0.13</v>
      </c>
      <c r="W27" s="14" t="n">
        <v>0.09</v>
      </c>
      <c r="X27" s="14" t="n">
        <v>0.2</v>
      </c>
      <c r="Y27" s="14" t="n">
        <v>0.2</v>
      </c>
      <c r="Z27" s="14" t="n">
        <v>0.11</v>
      </c>
      <c r="AA27" s="14" t="n">
        <v>0.22</v>
      </c>
      <c r="AB27" s="14" t="n">
        <v>0.2</v>
      </c>
      <c r="AC27" s="14" t="n">
        <v>0.12</v>
      </c>
      <c r="AD27" s="14" t="n">
        <v>0.18</v>
      </c>
      <c r="AE27" s="14" t="n">
        <v>0.12</v>
      </c>
      <c r="AF27" s="14" t="n">
        <v>0.12</v>
      </c>
    </row>
    <row r="28">
      <c r="A28" s="20" t="n"/>
      <c r="B28" s="11" t="inlineStr">
        <is>
          <t>La protection des consommateurs</t>
        </is>
      </c>
      <c r="C28" s="12" t="n">
        <v>3395</v>
      </c>
      <c r="D28" s="12" t="n">
        <v>142</v>
      </c>
      <c r="E28" s="12" t="n">
        <v>222</v>
      </c>
      <c r="F28" s="12" t="n">
        <v>96</v>
      </c>
      <c r="G28" s="12" t="n">
        <v>102</v>
      </c>
      <c r="H28" s="12" t="n">
        <v>90</v>
      </c>
      <c r="I28" s="12" t="n">
        <v>134</v>
      </c>
      <c r="J28" s="12" t="n">
        <v>43</v>
      </c>
      <c r="K28" s="12" t="n">
        <v>74</v>
      </c>
      <c r="L28" s="12" t="n">
        <v>120</v>
      </c>
      <c r="M28" s="12" t="n">
        <v>218</v>
      </c>
      <c r="N28" s="12" t="n">
        <v>115</v>
      </c>
      <c r="O28" s="12" t="n">
        <v>175</v>
      </c>
      <c r="P28" s="12" t="n">
        <v>161</v>
      </c>
      <c r="Q28" s="12" t="n">
        <v>198</v>
      </c>
      <c r="R28" s="12" t="n">
        <v>86</v>
      </c>
      <c r="S28" s="12" t="n">
        <v>97</v>
      </c>
      <c r="T28" s="12" t="n">
        <v>68</v>
      </c>
      <c r="U28" s="12" t="n">
        <v>76</v>
      </c>
      <c r="V28" s="12" t="n">
        <v>89</v>
      </c>
      <c r="W28" s="12" t="n">
        <v>95</v>
      </c>
      <c r="X28" s="12" t="n">
        <v>80</v>
      </c>
      <c r="Y28" s="12" t="n">
        <v>171</v>
      </c>
      <c r="Z28" s="12" t="n">
        <v>107</v>
      </c>
      <c r="AA28" s="12" t="n">
        <v>67</v>
      </c>
      <c r="AB28" s="12" t="n">
        <v>128</v>
      </c>
      <c r="AC28" s="12" t="n">
        <v>109</v>
      </c>
      <c r="AD28" s="12" t="n">
        <v>135</v>
      </c>
      <c r="AE28" s="12" t="n">
        <v>70</v>
      </c>
      <c r="AF28" s="12" t="n">
        <v>55</v>
      </c>
    </row>
    <row r="29">
      <c r="A29" s="20" t="n"/>
      <c r="B29" s="13" t="inlineStr">
        <is>
          <t>Consumer protection</t>
        </is>
      </c>
      <c r="C29" s="14" t="n">
        <v>0.13</v>
      </c>
      <c r="D29" s="14" t="n">
        <v>0.14</v>
      </c>
      <c r="E29" s="14" t="n">
        <v>0.22</v>
      </c>
      <c r="F29" s="14" t="n">
        <v>0.09</v>
      </c>
      <c r="G29" s="14" t="n">
        <v>0.1</v>
      </c>
      <c r="H29" s="14" t="n">
        <v>0.07000000000000001</v>
      </c>
      <c r="I29" s="14" t="n">
        <v>0.09</v>
      </c>
      <c r="J29" s="14" t="n">
        <v>0.15</v>
      </c>
      <c r="K29" s="14" t="n">
        <v>0.07000000000000001</v>
      </c>
      <c r="L29" s="14" t="n">
        <v>0.12</v>
      </c>
      <c r="M29" s="14" t="n">
        <v>0.22</v>
      </c>
      <c r="N29" s="14" t="n">
        <v>0.11</v>
      </c>
      <c r="O29" s="14" t="n">
        <v>0.17</v>
      </c>
      <c r="P29" s="14" t="n">
        <v>0.16</v>
      </c>
      <c r="Q29" s="14" t="n">
        <v>0.19</v>
      </c>
      <c r="R29" s="14" t="n">
        <v>0.17</v>
      </c>
      <c r="S29" s="14" t="n">
        <v>0.1</v>
      </c>
      <c r="T29" s="14" t="n">
        <v>0.07000000000000001</v>
      </c>
      <c r="U29" s="14" t="n">
        <v>0.15</v>
      </c>
      <c r="V29" s="14" t="n">
        <v>0.09</v>
      </c>
      <c r="W29" s="14" t="n">
        <v>0.19</v>
      </c>
      <c r="X29" s="14" t="n">
        <v>0.08</v>
      </c>
      <c r="Y29" s="14" t="n">
        <v>0.17</v>
      </c>
      <c r="Z29" s="14" t="n">
        <v>0.11</v>
      </c>
      <c r="AA29" s="14" t="n">
        <v>0.06</v>
      </c>
      <c r="AB29" s="14" t="n">
        <v>0.12</v>
      </c>
      <c r="AC29" s="14" t="n">
        <v>0.11</v>
      </c>
      <c r="AD29" s="14" t="n">
        <v>0.14</v>
      </c>
      <c r="AE29" s="14" t="n">
        <v>0.07000000000000001</v>
      </c>
      <c r="AF29" s="14" t="n">
        <v>0.05</v>
      </c>
    </row>
    <row r="30">
      <c r="A30" s="20" t="n"/>
      <c r="B30" s="11" t="inlineStr">
        <is>
          <t>La migration et l'asile</t>
        </is>
      </c>
      <c r="C30" s="12" t="n">
        <v>5127</v>
      </c>
      <c r="D30" s="12" t="n">
        <v>265</v>
      </c>
      <c r="E30" s="12" t="n">
        <v>49</v>
      </c>
      <c r="F30" s="12" t="n">
        <v>266</v>
      </c>
      <c r="G30" s="12" t="n">
        <v>198</v>
      </c>
      <c r="H30" s="12" t="n">
        <v>373</v>
      </c>
      <c r="I30" s="12" t="n">
        <v>459</v>
      </c>
      <c r="J30" s="12" t="n">
        <v>85</v>
      </c>
      <c r="K30" s="12" t="n">
        <v>88</v>
      </c>
      <c r="L30" s="12" t="n">
        <v>325</v>
      </c>
      <c r="M30" s="12" t="n">
        <v>159</v>
      </c>
      <c r="N30" s="12" t="n">
        <v>191</v>
      </c>
      <c r="O30" s="12" t="n">
        <v>171</v>
      </c>
      <c r="P30" s="12" t="n">
        <v>103</v>
      </c>
      <c r="Q30" s="12" t="n">
        <v>134</v>
      </c>
      <c r="R30" s="12" t="n">
        <v>163</v>
      </c>
      <c r="S30" s="12" t="n">
        <v>102</v>
      </c>
      <c r="T30" s="12" t="n">
        <v>188</v>
      </c>
      <c r="U30" s="12" t="n">
        <v>66</v>
      </c>
      <c r="V30" s="12" t="n">
        <v>202</v>
      </c>
      <c r="W30" s="12" t="n">
        <v>110</v>
      </c>
      <c r="X30" s="12" t="n">
        <v>383</v>
      </c>
      <c r="Y30" s="12" t="n">
        <v>210</v>
      </c>
      <c r="Z30" s="12" t="n">
        <v>118</v>
      </c>
      <c r="AA30" s="12" t="n">
        <v>80</v>
      </c>
      <c r="AB30" s="12" t="n">
        <v>77</v>
      </c>
      <c r="AC30" s="12" t="n">
        <v>142</v>
      </c>
      <c r="AD30" s="12" t="n">
        <v>95</v>
      </c>
      <c r="AE30" s="12" t="n">
        <v>158</v>
      </c>
      <c r="AF30" s="12" t="n">
        <v>221</v>
      </c>
    </row>
    <row r="31">
      <c r="A31" s="20" t="n"/>
      <c r="B31" s="13" t="inlineStr">
        <is>
          <t>Migration and asylum</t>
        </is>
      </c>
      <c r="C31" s="14" t="n">
        <v>0.19</v>
      </c>
      <c r="D31" s="14" t="n">
        <v>0.26</v>
      </c>
      <c r="E31" s="14" t="n">
        <v>0.05</v>
      </c>
      <c r="F31" s="14" t="n">
        <v>0.25</v>
      </c>
      <c r="G31" s="14" t="n">
        <v>0.2</v>
      </c>
      <c r="H31" s="14" t="n">
        <v>0.31</v>
      </c>
      <c r="I31" s="14" t="n">
        <v>0.3</v>
      </c>
      <c r="J31" s="14" t="n">
        <v>0.29</v>
      </c>
      <c r="K31" s="14" t="n">
        <v>0.09</v>
      </c>
      <c r="L31" s="14" t="n">
        <v>0.32</v>
      </c>
      <c r="M31" s="14" t="n">
        <v>0.16</v>
      </c>
      <c r="N31" s="14" t="n">
        <v>0.19</v>
      </c>
      <c r="O31" s="14" t="n">
        <v>0.17</v>
      </c>
      <c r="P31" s="14" t="n">
        <v>0.1</v>
      </c>
      <c r="Q31" s="14" t="n">
        <v>0.13</v>
      </c>
      <c r="R31" s="14" t="n">
        <v>0.32</v>
      </c>
      <c r="S31" s="14" t="n">
        <v>0.1</v>
      </c>
      <c r="T31" s="14" t="n">
        <v>0.18</v>
      </c>
      <c r="U31" s="14" t="n">
        <v>0.13</v>
      </c>
      <c r="V31" s="14" t="n">
        <v>0.2</v>
      </c>
      <c r="W31" s="14" t="n">
        <v>0.22</v>
      </c>
      <c r="X31" s="14" t="n">
        <v>0.37</v>
      </c>
      <c r="Y31" s="14" t="n">
        <v>0.21</v>
      </c>
      <c r="Z31" s="14" t="n">
        <v>0.12</v>
      </c>
      <c r="AA31" s="14" t="n">
        <v>0.08</v>
      </c>
      <c r="AB31" s="14" t="n">
        <v>0.07000000000000001</v>
      </c>
      <c r="AC31" s="14" t="n">
        <v>0.14</v>
      </c>
      <c r="AD31" s="14" t="n">
        <v>0.09</v>
      </c>
      <c r="AE31" s="14" t="n">
        <v>0.16</v>
      </c>
      <c r="AF31" s="14" t="n">
        <v>0.21</v>
      </c>
    </row>
    <row r="32">
      <c r="A32" s="20" t="n"/>
      <c r="B32" s="11" t="inlineStr">
        <is>
          <t>Le terrorisme et le crime organisé</t>
        </is>
      </c>
      <c r="C32" s="12" t="n">
        <v>3822</v>
      </c>
      <c r="D32" s="12" t="n">
        <v>196</v>
      </c>
      <c r="E32" s="12" t="n">
        <v>84</v>
      </c>
      <c r="F32" s="12" t="n">
        <v>124</v>
      </c>
      <c r="G32" s="12" t="n">
        <v>208</v>
      </c>
      <c r="H32" s="12" t="n">
        <v>196</v>
      </c>
      <c r="I32" s="12" t="n">
        <v>262</v>
      </c>
      <c r="J32" s="12" t="n">
        <v>66</v>
      </c>
      <c r="K32" s="12" t="n">
        <v>85</v>
      </c>
      <c r="L32" s="12" t="n">
        <v>123</v>
      </c>
      <c r="M32" s="12" t="n">
        <v>92</v>
      </c>
      <c r="N32" s="12" t="n">
        <v>74</v>
      </c>
      <c r="O32" s="12" t="n">
        <v>169</v>
      </c>
      <c r="P32" s="12" t="n">
        <v>122</v>
      </c>
      <c r="Q32" s="12" t="n">
        <v>184</v>
      </c>
      <c r="R32" s="12" t="n">
        <v>69</v>
      </c>
      <c r="S32" s="12" t="n">
        <v>53</v>
      </c>
      <c r="T32" s="12" t="n">
        <v>41</v>
      </c>
      <c r="U32" s="12" t="n">
        <v>72</v>
      </c>
      <c r="V32" s="12" t="n">
        <v>101</v>
      </c>
      <c r="W32" s="12" t="n">
        <v>62</v>
      </c>
      <c r="X32" s="12" t="n">
        <v>175</v>
      </c>
      <c r="Y32" s="12" t="n">
        <v>160</v>
      </c>
      <c r="Z32" s="12" t="n">
        <v>135</v>
      </c>
      <c r="AA32" s="12" t="n">
        <v>99</v>
      </c>
      <c r="AB32" s="12" t="n">
        <v>87</v>
      </c>
      <c r="AC32" s="12" t="n">
        <v>109</v>
      </c>
      <c r="AD32" s="12" t="n">
        <v>67</v>
      </c>
      <c r="AE32" s="12" t="n">
        <v>146</v>
      </c>
      <c r="AF32" s="12" t="n">
        <v>260</v>
      </c>
    </row>
    <row r="33">
      <c r="A33" s="20" t="n"/>
      <c r="B33" s="13" t="inlineStr">
        <is>
          <t>Terrorism and organised crime</t>
        </is>
      </c>
      <c r="C33" s="14" t="n">
        <v>0.14</v>
      </c>
      <c r="D33" s="14" t="n">
        <v>0.19</v>
      </c>
      <c r="E33" s="14" t="n">
        <v>0.08</v>
      </c>
      <c r="F33" s="14" t="n">
        <v>0.12</v>
      </c>
      <c r="G33" s="14" t="n">
        <v>0.21</v>
      </c>
      <c r="H33" s="14" t="n">
        <v>0.16</v>
      </c>
      <c r="I33" s="14" t="n">
        <v>0.17</v>
      </c>
      <c r="J33" s="14" t="n">
        <v>0.22</v>
      </c>
      <c r="K33" s="14" t="n">
        <v>0.08</v>
      </c>
      <c r="L33" s="14" t="n">
        <v>0.12</v>
      </c>
      <c r="M33" s="14" t="n">
        <v>0.09</v>
      </c>
      <c r="N33" s="14" t="n">
        <v>0.07000000000000001</v>
      </c>
      <c r="O33" s="14" t="n">
        <v>0.17</v>
      </c>
      <c r="P33" s="14" t="n">
        <v>0.12</v>
      </c>
      <c r="Q33" s="14" t="n">
        <v>0.18</v>
      </c>
      <c r="R33" s="14" t="n">
        <v>0.14</v>
      </c>
      <c r="S33" s="14" t="n">
        <v>0.05</v>
      </c>
      <c r="T33" s="14" t="n">
        <v>0.04</v>
      </c>
      <c r="U33" s="14" t="n">
        <v>0.14</v>
      </c>
      <c r="V33" s="14" t="n">
        <v>0.1</v>
      </c>
      <c r="W33" s="14" t="n">
        <v>0.12</v>
      </c>
      <c r="X33" s="14" t="n">
        <v>0.17</v>
      </c>
      <c r="Y33" s="14" t="n">
        <v>0.16</v>
      </c>
      <c r="Z33" s="14" t="n">
        <v>0.13</v>
      </c>
      <c r="AA33" s="14" t="n">
        <v>0.1</v>
      </c>
      <c r="AB33" s="14" t="n">
        <v>0.08</v>
      </c>
      <c r="AC33" s="14" t="n">
        <v>0.11</v>
      </c>
      <c r="AD33" s="14" t="n">
        <v>0.07000000000000001</v>
      </c>
      <c r="AE33" s="14" t="n">
        <v>0.14</v>
      </c>
      <c r="AF33" s="14" t="n">
        <v>0.25</v>
      </c>
    </row>
    <row r="34">
      <c r="A34" s="20" t="n"/>
      <c r="B34" s="11" t="inlineStr">
        <is>
          <t>La démocratie et l'État de droit</t>
        </is>
      </c>
      <c r="C34" s="12" t="n">
        <v>5575</v>
      </c>
      <c r="D34" s="12" t="n">
        <v>199</v>
      </c>
      <c r="E34" s="12" t="n">
        <v>211</v>
      </c>
      <c r="F34" s="12" t="n">
        <v>163</v>
      </c>
      <c r="G34" s="12" t="n">
        <v>274</v>
      </c>
      <c r="H34" s="12" t="n">
        <v>399</v>
      </c>
      <c r="I34" s="12" t="n">
        <v>474</v>
      </c>
      <c r="J34" s="12" t="n">
        <v>75</v>
      </c>
      <c r="K34" s="12" t="n">
        <v>116</v>
      </c>
      <c r="L34" s="12" t="n">
        <v>118</v>
      </c>
      <c r="M34" s="12" t="n">
        <v>264</v>
      </c>
      <c r="N34" s="12" t="n">
        <v>185</v>
      </c>
      <c r="O34" s="12" t="n">
        <v>123</v>
      </c>
      <c r="P34" s="12" t="n">
        <v>167</v>
      </c>
      <c r="Q34" s="12" t="n">
        <v>184</v>
      </c>
      <c r="R34" s="12" t="n">
        <v>122</v>
      </c>
      <c r="S34" s="12" t="n">
        <v>128</v>
      </c>
      <c r="T34" s="12" t="n">
        <v>95</v>
      </c>
      <c r="U34" s="12" t="n">
        <v>105</v>
      </c>
      <c r="V34" s="12" t="n">
        <v>277</v>
      </c>
      <c r="W34" s="12" t="n">
        <v>110</v>
      </c>
      <c r="X34" s="12" t="n">
        <v>279</v>
      </c>
      <c r="Y34" s="12" t="n">
        <v>261</v>
      </c>
      <c r="Z34" s="12" t="n">
        <v>163</v>
      </c>
      <c r="AA34" s="12" t="n">
        <v>116</v>
      </c>
      <c r="AB34" s="12" t="n">
        <v>203</v>
      </c>
      <c r="AC34" s="12" t="n">
        <v>166</v>
      </c>
      <c r="AD34" s="12" t="n">
        <v>216</v>
      </c>
      <c r="AE34" s="12" t="n">
        <v>342</v>
      </c>
      <c r="AF34" s="12" t="n">
        <v>446</v>
      </c>
    </row>
    <row r="35">
      <c r="A35" s="20" t="n"/>
      <c r="B35" s="13" t="inlineStr">
        <is>
          <t>Democracy and the rule of law</t>
        </is>
      </c>
      <c r="C35" s="14" t="n">
        <v>0.21</v>
      </c>
      <c r="D35" s="14" t="n">
        <v>0.2</v>
      </c>
      <c r="E35" s="14" t="n">
        <v>0.21</v>
      </c>
      <c r="F35" s="14" t="n">
        <v>0.16</v>
      </c>
      <c r="G35" s="14" t="n">
        <v>0.27</v>
      </c>
      <c r="H35" s="14" t="n">
        <v>0.33</v>
      </c>
      <c r="I35" s="14" t="n">
        <v>0.31</v>
      </c>
      <c r="J35" s="14" t="n">
        <v>0.26</v>
      </c>
      <c r="K35" s="14" t="n">
        <v>0.12</v>
      </c>
      <c r="L35" s="14" t="n">
        <v>0.12</v>
      </c>
      <c r="M35" s="14" t="n">
        <v>0.26</v>
      </c>
      <c r="N35" s="14" t="n">
        <v>0.18</v>
      </c>
      <c r="O35" s="14" t="n">
        <v>0.12</v>
      </c>
      <c r="P35" s="14" t="n">
        <v>0.17</v>
      </c>
      <c r="Q35" s="14" t="n">
        <v>0.18</v>
      </c>
      <c r="R35" s="14" t="n">
        <v>0.24</v>
      </c>
      <c r="S35" s="14" t="n">
        <v>0.13</v>
      </c>
      <c r="T35" s="14" t="n">
        <v>0.09</v>
      </c>
      <c r="U35" s="14" t="n">
        <v>0.21</v>
      </c>
      <c r="V35" s="14" t="n">
        <v>0.27</v>
      </c>
      <c r="W35" s="14" t="n">
        <v>0.22</v>
      </c>
      <c r="X35" s="14" t="n">
        <v>0.27</v>
      </c>
      <c r="Y35" s="14" t="n">
        <v>0.26</v>
      </c>
      <c r="Z35" s="14" t="n">
        <v>0.16</v>
      </c>
      <c r="AA35" s="14" t="n">
        <v>0.11</v>
      </c>
      <c r="AB35" s="14" t="n">
        <v>0.19</v>
      </c>
      <c r="AC35" s="14" t="n">
        <v>0.16</v>
      </c>
      <c r="AD35" s="14" t="n">
        <v>0.22</v>
      </c>
      <c r="AE35" s="14" t="n">
        <v>0.34</v>
      </c>
      <c r="AF35" s="14" t="n">
        <v>0.43</v>
      </c>
    </row>
    <row r="36">
      <c r="A36" s="20" t="n"/>
      <c r="B36" s="11" t="inlineStr">
        <is>
          <t>La défense et la sécurité de l’UE</t>
        </is>
      </c>
      <c r="C36" s="12" t="n">
        <v>9017</v>
      </c>
      <c r="D36" s="12" t="n">
        <v>344</v>
      </c>
      <c r="E36" s="12" t="n">
        <v>245</v>
      </c>
      <c r="F36" s="12" t="n">
        <v>446</v>
      </c>
      <c r="G36" s="12" t="n">
        <v>572</v>
      </c>
      <c r="H36" s="12" t="n">
        <v>549</v>
      </c>
      <c r="I36" s="12" t="n">
        <v>653</v>
      </c>
      <c r="J36" s="12" t="n">
        <v>104</v>
      </c>
      <c r="K36" s="12" t="n">
        <v>449</v>
      </c>
      <c r="L36" s="12" t="n">
        <v>222</v>
      </c>
      <c r="M36" s="12" t="n">
        <v>228</v>
      </c>
      <c r="N36" s="12" t="n">
        <v>218</v>
      </c>
      <c r="O36" s="12" t="n">
        <v>270</v>
      </c>
      <c r="P36" s="12" t="n">
        <v>254</v>
      </c>
      <c r="Q36" s="12" t="n">
        <v>315</v>
      </c>
      <c r="R36" s="12" t="n">
        <v>184</v>
      </c>
      <c r="S36" s="12" t="n">
        <v>431</v>
      </c>
      <c r="T36" s="12" t="n">
        <v>491</v>
      </c>
      <c r="U36" s="12" t="n">
        <v>213</v>
      </c>
      <c r="V36" s="12" t="n">
        <v>305</v>
      </c>
      <c r="W36" s="12" t="n">
        <v>121</v>
      </c>
      <c r="X36" s="12" t="n">
        <v>547</v>
      </c>
      <c r="Y36" s="12" t="n">
        <v>317</v>
      </c>
      <c r="Z36" s="12" t="n">
        <v>451</v>
      </c>
      <c r="AA36" s="12" t="n">
        <v>221</v>
      </c>
      <c r="AB36" s="12" t="n">
        <v>319</v>
      </c>
      <c r="AC36" s="12" t="n">
        <v>255</v>
      </c>
      <c r="AD36" s="12" t="n">
        <v>340</v>
      </c>
      <c r="AE36" s="12" t="n">
        <v>492</v>
      </c>
      <c r="AF36" s="12" t="n">
        <v>395</v>
      </c>
    </row>
    <row r="37">
      <c r="A37" s="20" t="n"/>
      <c r="B37" s="13" t="inlineStr">
        <is>
          <t>EU defence and security</t>
        </is>
      </c>
      <c r="C37" s="14" t="n">
        <v>0.34</v>
      </c>
      <c r="D37" s="14" t="n">
        <v>0.34</v>
      </c>
      <c r="E37" s="14" t="n">
        <v>0.24</v>
      </c>
      <c r="F37" s="14" t="n">
        <v>0.42</v>
      </c>
      <c r="G37" s="14" t="n">
        <v>0.5700000000000001</v>
      </c>
      <c r="H37" s="14" t="n">
        <v>0.45</v>
      </c>
      <c r="I37" s="14" t="n">
        <v>0.43</v>
      </c>
      <c r="J37" s="14" t="n">
        <v>0.35</v>
      </c>
      <c r="K37" s="14" t="n">
        <v>0.45</v>
      </c>
      <c r="L37" s="14" t="n">
        <v>0.22</v>
      </c>
      <c r="M37" s="14" t="n">
        <v>0.23</v>
      </c>
      <c r="N37" s="14" t="n">
        <v>0.22</v>
      </c>
      <c r="O37" s="14" t="n">
        <v>0.27</v>
      </c>
      <c r="P37" s="14" t="n">
        <v>0.25</v>
      </c>
      <c r="Q37" s="14" t="n">
        <v>0.31</v>
      </c>
      <c r="R37" s="14" t="n">
        <v>0.37</v>
      </c>
      <c r="S37" s="14" t="n">
        <v>0.43</v>
      </c>
      <c r="T37" s="14" t="n">
        <v>0.48</v>
      </c>
      <c r="U37" s="14" t="n">
        <v>0.42</v>
      </c>
      <c r="V37" s="14" t="n">
        <v>0.3</v>
      </c>
      <c r="W37" s="14" t="n">
        <v>0.24</v>
      </c>
      <c r="X37" s="14" t="n">
        <v>0.54</v>
      </c>
      <c r="Y37" s="14" t="n">
        <v>0.32</v>
      </c>
      <c r="Z37" s="14" t="n">
        <v>0.44</v>
      </c>
      <c r="AA37" s="14" t="n">
        <v>0.21</v>
      </c>
      <c r="AB37" s="14" t="n">
        <v>0.31</v>
      </c>
      <c r="AC37" s="14" t="n">
        <v>0.25</v>
      </c>
      <c r="AD37" s="14" t="n">
        <v>0.34</v>
      </c>
      <c r="AE37" s="14" t="n">
        <v>0.48</v>
      </c>
      <c r="AF37" s="14" t="n">
        <v>0.38</v>
      </c>
    </row>
    <row r="38">
      <c r="A38" s="20" t="n"/>
      <c r="B38" s="11" t="inlineStr">
        <is>
          <t>L’agriculture et la sécurité alimentaire</t>
        </is>
      </c>
      <c r="C38" s="12" t="n">
        <v>5362</v>
      </c>
      <c r="D38" s="12" t="n">
        <v>181</v>
      </c>
      <c r="E38" s="12" t="n">
        <v>226</v>
      </c>
      <c r="F38" s="12" t="n">
        <v>246</v>
      </c>
      <c r="G38" s="12" t="n">
        <v>173</v>
      </c>
      <c r="H38" s="12" t="n">
        <v>158</v>
      </c>
      <c r="I38" s="12" t="n">
        <v>220</v>
      </c>
      <c r="J38" s="12" t="n">
        <v>61</v>
      </c>
      <c r="K38" s="12" t="n">
        <v>277</v>
      </c>
      <c r="L38" s="12" t="n">
        <v>210</v>
      </c>
      <c r="M38" s="12" t="n">
        <v>208</v>
      </c>
      <c r="N38" s="12" t="n">
        <v>171</v>
      </c>
      <c r="O38" s="12" t="n">
        <v>218</v>
      </c>
      <c r="P38" s="12" t="n">
        <v>354</v>
      </c>
      <c r="Q38" s="12" t="n">
        <v>199</v>
      </c>
      <c r="R38" s="12" t="n">
        <v>61</v>
      </c>
      <c r="S38" s="12" t="n">
        <v>144</v>
      </c>
      <c r="T38" s="12" t="n">
        <v>174</v>
      </c>
      <c r="U38" s="12" t="n">
        <v>84</v>
      </c>
      <c r="V38" s="12" t="n">
        <v>307</v>
      </c>
      <c r="W38" s="12" t="n">
        <v>72</v>
      </c>
      <c r="X38" s="12" t="n">
        <v>169</v>
      </c>
      <c r="Y38" s="12" t="n">
        <v>268</v>
      </c>
      <c r="Z38" s="12" t="n">
        <v>256</v>
      </c>
      <c r="AA38" s="12" t="n">
        <v>137</v>
      </c>
      <c r="AB38" s="12" t="n">
        <v>293</v>
      </c>
      <c r="AC38" s="12" t="n">
        <v>406</v>
      </c>
      <c r="AD38" s="12" t="n">
        <v>353</v>
      </c>
      <c r="AE38" s="12" t="n">
        <v>316</v>
      </c>
      <c r="AF38" s="12" t="n">
        <v>282</v>
      </c>
    </row>
    <row r="39">
      <c r="A39" s="20" t="n"/>
      <c r="B39" s="13" t="inlineStr">
        <is>
          <t>Agriculture and food security</t>
        </is>
      </c>
      <c r="C39" s="14" t="n">
        <v>0.2</v>
      </c>
      <c r="D39" s="14" t="n">
        <v>0.18</v>
      </c>
      <c r="E39" s="14" t="n">
        <v>0.22</v>
      </c>
      <c r="F39" s="14" t="n">
        <v>0.23</v>
      </c>
      <c r="G39" s="14" t="n">
        <v>0.17</v>
      </c>
      <c r="H39" s="14" t="n">
        <v>0.13</v>
      </c>
      <c r="I39" s="14" t="n">
        <v>0.15</v>
      </c>
      <c r="J39" s="14" t="n">
        <v>0.21</v>
      </c>
      <c r="K39" s="14" t="n">
        <v>0.28</v>
      </c>
      <c r="L39" s="14" t="n">
        <v>0.21</v>
      </c>
      <c r="M39" s="14" t="n">
        <v>0.21</v>
      </c>
      <c r="N39" s="14" t="n">
        <v>0.17</v>
      </c>
      <c r="O39" s="14" t="n">
        <v>0.21</v>
      </c>
      <c r="P39" s="14" t="n">
        <v>0.35</v>
      </c>
      <c r="Q39" s="14" t="n">
        <v>0.19</v>
      </c>
      <c r="R39" s="14" t="n">
        <v>0.12</v>
      </c>
      <c r="S39" s="14" t="n">
        <v>0.14</v>
      </c>
      <c r="T39" s="14" t="n">
        <v>0.17</v>
      </c>
      <c r="U39" s="14" t="n">
        <v>0.17</v>
      </c>
      <c r="V39" s="14" t="n">
        <v>0.3</v>
      </c>
      <c r="W39" s="14" t="n">
        <v>0.14</v>
      </c>
      <c r="X39" s="14" t="n">
        <v>0.17</v>
      </c>
      <c r="Y39" s="14" t="n">
        <v>0.27</v>
      </c>
      <c r="Z39" s="14" t="n">
        <v>0.25</v>
      </c>
      <c r="AA39" s="14" t="n">
        <v>0.13</v>
      </c>
      <c r="AB39" s="14" t="n">
        <v>0.28</v>
      </c>
      <c r="AC39" s="14" t="n">
        <v>0.4</v>
      </c>
      <c r="AD39" s="14" t="n">
        <v>0.35</v>
      </c>
      <c r="AE39" s="14" t="n">
        <v>0.31</v>
      </c>
      <c r="AF39" s="14" t="n">
        <v>0.27</v>
      </c>
    </row>
    <row r="40">
      <c r="A40" s="20" t="n"/>
      <c r="B40" s="11" t="inlineStr">
        <is>
          <t>L'égalité des sexes, l'inclusion et la diversité</t>
        </is>
      </c>
      <c r="C40" s="12" t="n">
        <v>2768</v>
      </c>
      <c r="D40" s="12" t="n">
        <v>96</v>
      </c>
      <c r="E40" s="12" t="n">
        <v>50</v>
      </c>
      <c r="F40" s="12" t="n">
        <v>75</v>
      </c>
      <c r="G40" s="12" t="n">
        <v>90</v>
      </c>
      <c r="H40" s="12" t="n">
        <v>93</v>
      </c>
      <c r="I40" s="12" t="n">
        <v>112</v>
      </c>
      <c r="J40" s="12" t="n">
        <v>19</v>
      </c>
      <c r="K40" s="12" t="n">
        <v>57</v>
      </c>
      <c r="L40" s="12" t="n">
        <v>73</v>
      </c>
      <c r="M40" s="12" t="n">
        <v>79</v>
      </c>
      <c r="N40" s="12" t="n">
        <v>109</v>
      </c>
      <c r="O40" s="12" t="n">
        <v>122</v>
      </c>
      <c r="P40" s="12" t="n">
        <v>127</v>
      </c>
      <c r="Q40" s="12" t="n">
        <v>132</v>
      </c>
      <c r="R40" s="12" t="n">
        <v>17</v>
      </c>
      <c r="S40" s="12" t="n">
        <v>47</v>
      </c>
      <c r="T40" s="12" t="n">
        <v>39</v>
      </c>
      <c r="U40" s="12" t="n">
        <v>42</v>
      </c>
      <c r="V40" s="12" t="n">
        <v>98</v>
      </c>
      <c r="W40" s="12" t="n">
        <v>89</v>
      </c>
      <c r="X40" s="12" t="n">
        <v>87</v>
      </c>
      <c r="Y40" s="12" t="n">
        <v>153</v>
      </c>
      <c r="Z40" s="12" t="n">
        <v>103</v>
      </c>
      <c r="AA40" s="12" t="n">
        <v>92</v>
      </c>
      <c r="AB40" s="12" t="n">
        <v>123</v>
      </c>
      <c r="AC40" s="12" t="n">
        <v>71</v>
      </c>
      <c r="AD40" s="12" t="n">
        <v>67</v>
      </c>
      <c r="AE40" s="12" t="n">
        <v>138</v>
      </c>
      <c r="AF40" s="12" t="n">
        <v>291</v>
      </c>
    </row>
    <row r="41">
      <c r="A41" s="20" t="n"/>
      <c r="B41" s="13" t="inlineStr">
        <is>
          <t>Gender equality, inclusion and diversity</t>
        </is>
      </c>
      <c r="C41" s="14" t="n">
        <v>0.1</v>
      </c>
      <c r="D41" s="14" t="n">
        <v>0.09</v>
      </c>
      <c r="E41" s="14" t="n">
        <v>0.05</v>
      </c>
      <c r="F41" s="14" t="n">
        <v>0.07000000000000001</v>
      </c>
      <c r="G41" s="14" t="n">
        <v>0.09</v>
      </c>
      <c r="H41" s="14" t="n">
        <v>0.08</v>
      </c>
      <c r="I41" s="14" t="n">
        <v>0.07000000000000001</v>
      </c>
      <c r="J41" s="14" t="n">
        <v>0.07000000000000001</v>
      </c>
      <c r="K41" s="14" t="n">
        <v>0.06</v>
      </c>
      <c r="L41" s="14" t="n">
        <v>0.07000000000000001</v>
      </c>
      <c r="M41" s="14" t="n">
        <v>0.08</v>
      </c>
      <c r="N41" s="14" t="n">
        <v>0.11</v>
      </c>
      <c r="O41" s="14" t="n">
        <v>0.12</v>
      </c>
      <c r="P41" s="14" t="n">
        <v>0.13</v>
      </c>
      <c r="Q41" s="14" t="n">
        <v>0.13</v>
      </c>
      <c r="R41" s="14" t="n">
        <v>0.03</v>
      </c>
      <c r="S41" s="14" t="n">
        <v>0.05</v>
      </c>
      <c r="T41" s="14" t="n">
        <v>0.04</v>
      </c>
      <c r="U41" s="14" t="n">
        <v>0.08</v>
      </c>
      <c r="V41" s="14" t="n">
        <v>0.1</v>
      </c>
      <c r="W41" s="14" t="n">
        <v>0.18</v>
      </c>
      <c r="X41" s="14" t="n">
        <v>0.09</v>
      </c>
      <c r="Y41" s="14" t="n">
        <v>0.15</v>
      </c>
      <c r="Z41" s="14" t="n">
        <v>0.1</v>
      </c>
      <c r="AA41" s="14" t="n">
        <v>0.09</v>
      </c>
      <c r="AB41" s="14" t="n">
        <v>0.12</v>
      </c>
      <c r="AC41" s="14" t="n">
        <v>0.07000000000000001</v>
      </c>
      <c r="AD41" s="14" t="n">
        <v>0.07000000000000001</v>
      </c>
      <c r="AE41" s="14" t="n">
        <v>0.14</v>
      </c>
      <c r="AF41" s="14" t="n">
        <v>0.28</v>
      </c>
    </row>
    <row r="42">
      <c r="A42" s="20" t="n"/>
      <c r="B42" s="11" t="inlineStr">
        <is>
          <t>Autre (SPONTANÉ)</t>
        </is>
      </c>
      <c r="C42" s="12" t="n">
        <v>255</v>
      </c>
      <c r="D42" s="12" t="n">
        <v>2</v>
      </c>
      <c r="E42" s="12" t="n">
        <v>2</v>
      </c>
      <c r="F42" s="12" t="n">
        <v>0</v>
      </c>
      <c r="G42" s="12" t="n">
        <v>1</v>
      </c>
      <c r="H42" s="12" t="n">
        <v>43</v>
      </c>
      <c r="I42" s="12" t="n">
        <v>43</v>
      </c>
      <c r="J42" s="12" t="n">
        <v>0</v>
      </c>
      <c r="K42" s="12" t="n">
        <v>19</v>
      </c>
      <c r="L42" s="12" t="n">
        <v>4</v>
      </c>
      <c r="M42" s="12" t="n">
        <v>8</v>
      </c>
      <c r="N42" s="12" t="n">
        <v>11</v>
      </c>
      <c r="O42" s="12" t="n">
        <v>8</v>
      </c>
      <c r="P42" s="12" t="n">
        <v>0</v>
      </c>
      <c r="Q42" s="12" t="n">
        <v>7</v>
      </c>
      <c r="R42" s="12" t="n">
        <v>2</v>
      </c>
      <c r="S42" s="12" t="n">
        <v>4</v>
      </c>
      <c r="T42" s="12" t="n">
        <v>4</v>
      </c>
      <c r="U42" s="12" t="n">
        <v>5</v>
      </c>
      <c r="V42" s="12" t="n">
        <v>3</v>
      </c>
      <c r="W42" s="12" t="n">
        <v>2</v>
      </c>
      <c r="X42" s="12" t="n">
        <v>7</v>
      </c>
      <c r="Y42" s="12" t="n">
        <v>9</v>
      </c>
      <c r="Z42" s="12" t="n">
        <v>1</v>
      </c>
      <c r="AA42" s="12" t="n">
        <v>1</v>
      </c>
      <c r="AB42" s="12" t="n">
        <v>1</v>
      </c>
      <c r="AC42" s="12" t="n">
        <v>1</v>
      </c>
      <c r="AD42" s="12" t="n">
        <v>1</v>
      </c>
      <c r="AE42" s="12" t="n">
        <v>6</v>
      </c>
      <c r="AF42" s="12" t="n">
        <v>1</v>
      </c>
    </row>
    <row r="43">
      <c r="A43" s="20" t="n"/>
      <c r="B43" s="13" t="inlineStr">
        <is>
          <t>Other (SPONTANEOUS)</t>
        </is>
      </c>
      <c r="C43" s="14" t="n">
        <v>0.01</v>
      </c>
      <c r="D43" s="15" t="inlineStr">
        <is>
          <t>-</t>
        </is>
      </c>
      <c r="E43" s="15" t="inlineStr">
        <is>
          <t>-</t>
        </is>
      </c>
      <c r="F43" s="15" t="inlineStr">
        <is>
          <t>-</t>
        </is>
      </c>
      <c r="G43" s="15" t="inlineStr">
        <is>
          <t>-</t>
        </is>
      </c>
      <c r="H43" s="14" t="n">
        <v>0.04</v>
      </c>
      <c r="I43" s="14" t="n">
        <v>0.03</v>
      </c>
      <c r="J43" s="15" t="inlineStr">
        <is>
          <t>-</t>
        </is>
      </c>
      <c r="K43" s="14" t="n">
        <v>0.02</v>
      </c>
      <c r="L43" s="15" t="inlineStr">
        <is>
          <t>-</t>
        </is>
      </c>
      <c r="M43" s="14" t="n">
        <v>0.01</v>
      </c>
      <c r="N43" s="14" t="n">
        <v>0.01</v>
      </c>
      <c r="O43" s="14" t="n">
        <v>0.01</v>
      </c>
      <c r="P43" s="15" t="inlineStr">
        <is>
          <t>-</t>
        </is>
      </c>
      <c r="Q43" s="14" t="n">
        <v>0.01</v>
      </c>
      <c r="R43" s="15" t="inlineStr">
        <is>
          <t>-</t>
        </is>
      </c>
      <c r="S43" s="15" t="inlineStr">
        <is>
          <t>-</t>
        </is>
      </c>
      <c r="T43" s="15" t="inlineStr">
        <is>
          <t>-</t>
        </is>
      </c>
      <c r="U43" s="14" t="n">
        <v>0.01</v>
      </c>
      <c r="V43" s="15" t="inlineStr">
        <is>
          <t>-</t>
        </is>
      </c>
      <c r="W43" s="15" t="inlineStr">
        <is>
          <t>-</t>
        </is>
      </c>
      <c r="X43" s="14" t="n">
        <v>0.01</v>
      </c>
      <c r="Y43" s="14" t="n">
        <v>0.01</v>
      </c>
      <c r="Z43" s="15" t="inlineStr">
        <is>
          <t>-</t>
        </is>
      </c>
      <c r="AA43" s="15" t="inlineStr">
        <is>
          <t>-</t>
        </is>
      </c>
      <c r="AB43" s="15" t="inlineStr">
        <is>
          <t>-</t>
        </is>
      </c>
      <c r="AC43" s="15" t="inlineStr">
        <is>
          <t>-</t>
        </is>
      </c>
      <c r="AD43" s="15" t="inlineStr">
        <is>
          <t>-</t>
        </is>
      </c>
      <c r="AE43" s="14" t="n">
        <v>0.01</v>
      </c>
      <c r="AF43" s="15" t="inlineStr">
        <is>
          <t>-</t>
        </is>
      </c>
    </row>
    <row r="44">
      <c r="A44" s="20" t="n"/>
      <c r="B44" s="11" t="inlineStr">
        <is>
          <t>Aucun (SPONTANÉ)</t>
        </is>
      </c>
      <c r="C44" s="12" t="n">
        <v>157</v>
      </c>
      <c r="D44" s="12" t="n">
        <v>1</v>
      </c>
      <c r="E44" s="12" t="n">
        <v>15</v>
      </c>
      <c r="F44" s="12" t="n">
        <v>1</v>
      </c>
      <c r="G44" s="12" t="n">
        <v>1</v>
      </c>
      <c r="H44" s="12" t="n">
        <v>13</v>
      </c>
      <c r="I44" s="12" t="n">
        <v>14</v>
      </c>
      <c r="J44" s="12" t="n">
        <v>1</v>
      </c>
      <c r="K44" s="12" t="n">
        <v>9</v>
      </c>
      <c r="L44" s="12" t="n">
        <v>2</v>
      </c>
      <c r="M44" s="12" t="n">
        <v>0</v>
      </c>
      <c r="N44" s="12" t="n">
        <v>8</v>
      </c>
      <c r="O44" s="12" t="n">
        <v>6</v>
      </c>
      <c r="P44" s="12" t="n">
        <v>3</v>
      </c>
      <c r="Q44" s="12" t="n">
        <v>3</v>
      </c>
      <c r="R44" s="12" t="n">
        <v>0</v>
      </c>
      <c r="S44" s="12" t="n">
        <v>5</v>
      </c>
      <c r="T44" s="12" t="n">
        <v>5</v>
      </c>
      <c r="U44" s="12" t="n">
        <v>4</v>
      </c>
      <c r="V44" s="12" t="n">
        <v>2</v>
      </c>
      <c r="W44" s="12" t="n">
        <v>0</v>
      </c>
      <c r="X44" s="12" t="n">
        <v>15</v>
      </c>
      <c r="Y44" s="12" t="n">
        <v>7</v>
      </c>
      <c r="Z44" s="12" t="n">
        <v>8</v>
      </c>
      <c r="AA44" s="12" t="n">
        <v>2</v>
      </c>
      <c r="AB44" s="12" t="n">
        <v>3</v>
      </c>
      <c r="AC44" s="12" t="n">
        <v>2</v>
      </c>
      <c r="AD44" s="12" t="n">
        <v>1</v>
      </c>
      <c r="AE44" s="12" t="n">
        <v>4</v>
      </c>
      <c r="AF44" s="12" t="n">
        <v>0</v>
      </c>
    </row>
    <row r="45">
      <c r="A45" s="20" t="n"/>
      <c r="B45" s="13" t="inlineStr">
        <is>
          <t>None (SPONTANEOUS)</t>
        </is>
      </c>
      <c r="C45" s="14" t="n">
        <v>0.01</v>
      </c>
      <c r="D45" s="15" t="inlineStr">
        <is>
          <t>-</t>
        </is>
      </c>
      <c r="E45" s="14" t="n">
        <v>0.01</v>
      </c>
      <c r="F45" s="15" t="inlineStr">
        <is>
          <t>-</t>
        </is>
      </c>
      <c r="G45" s="15" t="inlineStr">
        <is>
          <t>-</t>
        </is>
      </c>
      <c r="H45" s="14" t="n">
        <v>0.01</v>
      </c>
      <c r="I45" s="14" t="n">
        <v>0.01</v>
      </c>
      <c r="J45" s="15" t="inlineStr">
        <is>
          <t>-</t>
        </is>
      </c>
      <c r="K45" s="14" t="n">
        <v>0.01</v>
      </c>
      <c r="L45" s="15" t="inlineStr">
        <is>
          <t>-</t>
        </is>
      </c>
      <c r="M45" s="15" t="inlineStr">
        <is>
          <t>-</t>
        </is>
      </c>
      <c r="N45" s="14" t="n">
        <v>0.01</v>
      </c>
      <c r="O45" s="14" t="n">
        <v>0.01</v>
      </c>
      <c r="P45" s="15" t="inlineStr">
        <is>
          <t>-</t>
        </is>
      </c>
      <c r="Q45" s="15" t="inlineStr">
        <is>
          <t>-</t>
        </is>
      </c>
      <c r="R45" s="15" t="inlineStr">
        <is>
          <t>-</t>
        </is>
      </c>
      <c r="S45" s="14" t="n">
        <v>0.01</v>
      </c>
      <c r="T45" s="14" t="n">
        <v>0.01</v>
      </c>
      <c r="U45" s="14" t="n">
        <v>0.01</v>
      </c>
      <c r="V45" s="15" t="inlineStr">
        <is>
          <t>-</t>
        </is>
      </c>
      <c r="W45" s="15" t="inlineStr">
        <is>
          <t>-</t>
        </is>
      </c>
      <c r="X45" s="14" t="n">
        <v>0.01</v>
      </c>
      <c r="Y45" s="14" t="n">
        <v>0.01</v>
      </c>
      <c r="Z45" s="14" t="n">
        <v>0.01</v>
      </c>
      <c r="AA45" s="15" t="inlineStr">
        <is>
          <t>-</t>
        </is>
      </c>
      <c r="AB45" s="15" t="inlineStr">
        <is>
          <t>-</t>
        </is>
      </c>
      <c r="AC45" s="15" t="inlineStr">
        <is>
          <t>-</t>
        </is>
      </c>
      <c r="AD45" s="15" t="inlineStr">
        <is>
          <t>-</t>
        </is>
      </c>
      <c r="AE45" s="15" t="inlineStr">
        <is>
          <t>-</t>
        </is>
      </c>
      <c r="AF45" s="15" t="inlineStr">
        <is>
          <t>-</t>
        </is>
      </c>
    </row>
    <row r="46">
      <c r="A46" s="20" t="n"/>
      <c r="B46" s="11" t="inlineStr">
        <is>
          <t>Ne sait pas</t>
        </is>
      </c>
      <c r="C46" s="12" t="n">
        <v>196</v>
      </c>
      <c r="D46" s="12" t="n">
        <v>0</v>
      </c>
      <c r="E46" s="12" t="n">
        <v>19</v>
      </c>
      <c r="F46" s="12" t="n">
        <v>30</v>
      </c>
      <c r="G46" s="12" t="n">
        <v>7</v>
      </c>
      <c r="H46" s="12" t="n">
        <v>3</v>
      </c>
      <c r="I46" s="12" t="n">
        <v>4</v>
      </c>
      <c r="J46" s="12" t="n">
        <v>1</v>
      </c>
      <c r="K46" s="12" t="n">
        <v>18</v>
      </c>
      <c r="L46" s="12" t="n">
        <v>11</v>
      </c>
      <c r="M46" s="12" t="n">
        <v>1</v>
      </c>
      <c r="N46" s="12" t="n">
        <v>11</v>
      </c>
      <c r="O46" s="12" t="n">
        <v>11</v>
      </c>
      <c r="P46" s="12" t="n">
        <v>1</v>
      </c>
      <c r="Q46" s="12" t="n">
        <v>1</v>
      </c>
      <c r="R46" s="12" t="n">
        <v>6</v>
      </c>
      <c r="S46" s="12" t="n">
        <v>15</v>
      </c>
      <c r="T46" s="12" t="n">
        <v>16</v>
      </c>
      <c r="U46" s="12" t="n">
        <v>2</v>
      </c>
      <c r="V46" s="12" t="n">
        <v>1</v>
      </c>
      <c r="W46" s="12" t="n">
        <v>4</v>
      </c>
      <c r="X46" s="12" t="n">
        <v>2</v>
      </c>
      <c r="Y46" s="12" t="n">
        <v>1</v>
      </c>
      <c r="Z46" s="12" t="n">
        <v>16</v>
      </c>
      <c r="AA46" s="12" t="n">
        <v>4</v>
      </c>
      <c r="AB46" s="12" t="n">
        <v>22</v>
      </c>
      <c r="AC46" s="12" t="n">
        <v>3</v>
      </c>
      <c r="AD46" s="12" t="n">
        <v>1</v>
      </c>
      <c r="AE46" s="12" t="n">
        <v>5</v>
      </c>
      <c r="AF46" s="12" t="n">
        <v>1</v>
      </c>
    </row>
    <row r="47">
      <c r="A47" s="23" t="n"/>
      <c r="B47" s="13" t="inlineStr">
        <is>
          <t>Don't know</t>
        </is>
      </c>
      <c r="C47" s="14" t="n">
        <v>0.01</v>
      </c>
      <c r="D47" s="15" t="inlineStr">
        <is>
          <t>-</t>
        </is>
      </c>
      <c r="E47" s="14" t="n">
        <v>0.02</v>
      </c>
      <c r="F47" s="14" t="n">
        <v>0.03</v>
      </c>
      <c r="G47" s="14" t="n">
        <v>0.01</v>
      </c>
      <c r="H47" s="15" t="inlineStr">
        <is>
          <t>-</t>
        </is>
      </c>
      <c r="I47" s="15" t="inlineStr">
        <is>
          <t>-</t>
        </is>
      </c>
      <c r="J47" s="15" t="inlineStr">
        <is>
          <t>-</t>
        </is>
      </c>
      <c r="K47" s="14" t="n">
        <v>0.02</v>
      </c>
      <c r="L47" s="14" t="n">
        <v>0.01</v>
      </c>
      <c r="M47" s="15" t="inlineStr">
        <is>
          <t>-</t>
        </is>
      </c>
      <c r="N47" s="14" t="n">
        <v>0.01</v>
      </c>
      <c r="O47" s="14" t="n">
        <v>0.01</v>
      </c>
      <c r="P47" s="15" t="inlineStr">
        <is>
          <t>-</t>
        </is>
      </c>
      <c r="Q47" s="15" t="inlineStr">
        <is>
          <t>-</t>
        </is>
      </c>
      <c r="R47" s="14" t="n">
        <v>0.01</v>
      </c>
      <c r="S47" s="14" t="n">
        <v>0.01</v>
      </c>
      <c r="T47" s="14" t="n">
        <v>0.02</v>
      </c>
      <c r="U47" s="15" t="inlineStr">
        <is>
          <t>-</t>
        </is>
      </c>
      <c r="V47" s="15" t="inlineStr">
        <is>
          <t>-</t>
        </is>
      </c>
      <c r="W47" s="14" t="n">
        <v>0.01</v>
      </c>
      <c r="X47" s="15" t="inlineStr">
        <is>
          <t>-</t>
        </is>
      </c>
      <c r="Y47" s="15" t="inlineStr">
        <is>
          <t>-</t>
        </is>
      </c>
      <c r="Z47" s="14" t="n">
        <v>0.02</v>
      </c>
      <c r="AA47" s="15" t="inlineStr">
        <is>
          <t>-</t>
        </is>
      </c>
      <c r="AB47" s="14" t="n">
        <v>0.02</v>
      </c>
      <c r="AC47" s="15" t="inlineStr">
        <is>
          <t>-</t>
        </is>
      </c>
      <c r="AD47" s="15" t="inlineStr">
        <is>
          <t>-</t>
        </is>
      </c>
      <c r="AE47" s="15" t="inlineStr">
        <is>
          <t>-</t>
        </is>
      </c>
      <c r="AF47" s="15" t="inlineStr">
        <is>
          <t>-</t>
        </is>
      </c>
    </row>
  </sheetData>
  <mergeCells count="9">
    <mergeCell ref="B4:F4"/>
    <mergeCell ref="A10:A47"/>
    <mergeCell ref="H3:L3"/>
    <mergeCell ref="C8:AF8"/>
    <mergeCell ref="B3:F3"/>
    <mergeCell ref="B5:F5"/>
    <mergeCell ref="H5:L5"/>
    <mergeCell ref="B10:B11"/>
    <mergeCell ref="H4:L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F47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24" customHeight="1" s="18">
      <c r="B3" s="21" t="inlineStr">
        <is>
          <t>QA8a. Parmi les propositions suivantes, quelles sont selon vous les valeurs que le Parlement européen devrait défendre en priorité ? En premier ?</t>
        </is>
      </c>
      <c r="H3" s="21" t="inlineStr">
        <is>
          <t>QA8a. In your opinion, which of the following values should the European Parliament defend as a matter of priority? Firstly?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HYPERLINK("#Content!A21","&lt;&lt;Back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L'égalité entre les femmes et les hommes</t>
        </is>
      </c>
      <c r="C12" s="12" t="n">
        <v>1056</v>
      </c>
      <c r="D12" s="12" t="n">
        <v>69</v>
      </c>
      <c r="E12" s="12" t="n">
        <v>14</v>
      </c>
      <c r="F12" s="12" t="n">
        <v>27</v>
      </c>
      <c r="G12" s="12" t="n">
        <v>22</v>
      </c>
      <c r="H12" s="12" t="n">
        <v>16</v>
      </c>
      <c r="I12" s="12" t="n">
        <v>29</v>
      </c>
      <c r="J12" s="12" t="n">
        <v>13</v>
      </c>
      <c r="K12" s="12" t="n">
        <v>21</v>
      </c>
      <c r="L12" s="12" t="n">
        <v>45</v>
      </c>
      <c r="M12" s="12" t="n">
        <v>17</v>
      </c>
      <c r="N12" s="12" t="n">
        <v>62</v>
      </c>
      <c r="O12" s="12" t="n">
        <v>70</v>
      </c>
      <c r="P12" s="12" t="n">
        <v>24</v>
      </c>
      <c r="Q12" s="12" t="n">
        <v>44</v>
      </c>
      <c r="R12" s="12" t="n">
        <v>20</v>
      </c>
      <c r="S12" s="12" t="n">
        <v>21</v>
      </c>
      <c r="T12" s="12" t="n">
        <v>23</v>
      </c>
      <c r="U12" s="12" t="n">
        <v>22</v>
      </c>
      <c r="V12" s="12" t="n">
        <v>29</v>
      </c>
      <c r="W12" s="12" t="n">
        <v>31</v>
      </c>
      <c r="X12" s="12" t="n">
        <v>46</v>
      </c>
      <c r="Y12" s="12" t="n">
        <v>54</v>
      </c>
      <c r="Z12" s="12" t="n">
        <v>25</v>
      </c>
      <c r="AA12" s="12" t="n">
        <v>42</v>
      </c>
      <c r="AB12" s="12" t="n">
        <v>32</v>
      </c>
      <c r="AC12" s="12" t="n">
        <v>20</v>
      </c>
      <c r="AD12" s="12" t="n">
        <v>20</v>
      </c>
      <c r="AE12" s="12" t="n">
        <v>41</v>
      </c>
      <c r="AF12" s="12" t="n">
        <v>22</v>
      </c>
    </row>
    <row r="13">
      <c r="A13" s="20" t="n"/>
      <c r="B13" s="13" t="inlineStr">
        <is>
          <t>Equality between women and men</t>
        </is>
      </c>
      <c r="C13" s="14" t="n">
        <v>0.04</v>
      </c>
      <c r="D13" s="14" t="n">
        <v>0.07000000000000001</v>
      </c>
      <c r="E13" s="14" t="n">
        <v>0.01</v>
      </c>
      <c r="F13" s="14" t="n">
        <v>0.03</v>
      </c>
      <c r="G13" s="14" t="n">
        <v>0.02</v>
      </c>
      <c r="H13" s="14" t="n">
        <v>0.01</v>
      </c>
      <c r="I13" s="14" t="n">
        <v>0.02</v>
      </c>
      <c r="J13" s="14" t="n">
        <v>0.04</v>
      </c>
      <c r="K13" s="14" t="n">
        <v>0.02</v>
      </c>
      <c r="L13" s="14" t="n">
        <v>0.04</v>
      </c>
      <c r="M13" s="14" t="n">
        <v>0.02</v>
      </c>
      <c r="N13" s="14" t="n">
        <v>0.06</v>
      </c>
      <c r="O13" s="14" t="n">
        <v>0.07000000000000001</v>
      </c>
      <c r="P13" s="14" t="n">
        <v>0.02</v>
      </c>
      <c r="Q13" s="14" t="n">
        <v>0.04</v>
      </c>
      <c r="R13" s="14" t="n">
        <v>0.04</v>
      </c>
      <c r="S13" s="14" t="n">
        <v>0.02</v>
      </c>
      <c r="T13" s="14" t="n">
        <v>0.02</v>
      </c>
      <c r="U13" s="14" t="n">
        <v>0.04</v>
      </c>
      <c r="V13" s="14" t="n">
        <v>0.03</v>
      </c>
      <c r="W13" s="14" t="n">
        <v>0.06</v>
      </c>
      <c r="X13" s="14" t="n">
        <v>0.05</v>
      </c>
      <c r="Y13" s="14" t="n">
        <v>0.05</v>
      </c>
      <c r="Z13" s="14" t="n">
        <v>0.02</v>
      </c>
      <c r="AA13" s="14" t="n">
        <v>0.04</v>
      </c>
      <c r="AB13" s="14" t="n">
        <v>0.03</v>
      </c>
      <c r="AC13" s="14" t="n">
        <v>0.02</v>
      </c>
      <c r="AD13" s="14" t="n">
        <v>0.02</v>
      </c>
      <c r="AE13" s="14" t="n">
        <v>0.04</v>
      </c>
      <c r="AF13" s="14" t="n">
        <v>0.02</v>
      </c>
    </row>
    <row r="14">
      <c r="A14" s="20" t="n"/>
      <c r="B14" s="11" t="inlineStr">
        <is>
          <t>La lutte contre les discriminations et la protection des minorités</t>
        </is>
      </c>
      <c r="C14" s="12" t="n">
        <v>803</v>
      </c>
      <c r="D14" s="12" t="n">
        <v>29</v>
      </c>
      <c r="E14" s="12" t="n">
        <v>21</v>
      </c>
      <c r="F14" s="12" t="n">
        <v>21</v>
      </c>
      <c r="G14" s="12" t="n">
        <v>12</v>
      </c>
      <c r="H14" s="12" t="n">
        <v>30</v>
      </c>
      <c r="I14" s="12" t="n">
        <v>37</v>
      </c>
      <c r="J14" s="12" t="n">
        <v>7</v>
      </c>
      <c r="K14" s="12" t="n">
        <v>20</v>
      </c>
      <c r="L14" s="12" t="n">
        <v>21</v>
      </c>
      <c r="M14" s="12" t="n">
        <v>44</v>
      </c>
      <c r="N14" s="12" t="n">
        <v>29</v>
      </c>
      <c r="O14" s="12" t="n">
        <v>41</v>
      </c>
      <c r="P14" s="12" t="n">
        <v>27</v>
      </c>
      <c r="Q14" s="12" t="n">
        <v>35</v>
      </c>
      <c r="R14" s="12" t="n">
        <v>13</v>
      </c>
      <c r="S14" s="12" t="n">
        <v>25</v>
      </c>
      <c r="T14" s="12" t="n">
        <v>21</v>
      </c>
      <c r="U14" s="12" t="n">
        <v>20</v>
      </c>
      <c r="V14" s="12" t="n">
        <v>40</v>
      </c>
      <c r="W14" s="12" t="n">
        <v>16</v>
      </c>
      <c r="X14" s="12" t="n">
        <v>24</v>
      </c>
      <c r="Y14" s="12" t="n">
        <v>33</v>
      </c>
      <c r="Z14" s="12" t="n">
        <v>29</v>
      </c>
      <c r="AA14" s="12" t="n">
        <v>46</v>
      </c>
      <c r="AB14" s="12" t="n">
        <v>32</v>
      </c>
      <c r="AC14" s="12" t="n">
        <v>14</v>
      </c>
      <c r="AD14" s="12" t="n">
        <v>24</v>
      </c>
      <c r="AE14" s="12" t="n">
        <v>38</v>
      </c>
      <c r="AF14" s="12" t="n">
        <v>23</v>
      </c>
    </row>
    <row r="15">
      <c r="A15" s="20" t="n"/>
      <c r="B15" s="13" t="inlineStr">
        <is>
          <t>Fighting discrimination and protecting minorities</t>
        </is>
      </c>
      <c r="C15" s="14" t="n">
        <v>0.03</v>
      </c>
      <c r="D15" s="14" t="n">
        <v>0.03</v>
      </c>
      <c r="E15" s="14" t="n">
        <v>0.02</v>
      </c>
      <c r="F15" s="14" t="n">
        <v>0.02</v>
      </c>
      <c r="G15" s="14" t="n">
        <v>0.01</v>
      </c>
      <c r="H15" s="14" t="n">
        <v>0.02</v>
      </c>
      <c r="I15" s="14" t="n">
        <v>0.02</v>
      </c>
      <c r="J15" s="14" t="n">
        <v>0.02</v>
      </c>
      <c r="K15" s="14" t="n">
        <v>0.02</v>
      </c>
      <c r="L15" s="14" t="n">
        <v>0.02</v>
      </c>
      <c r="M15" s="14" t="n">
        <v>0.04</v>
      </c>
      <c r="N15" s="14" t="n">
        <v>0.03</v>
      </c>
      <c r="O15" s="14" t="n">
        <v>0.04</v>
      </c>
      <c r="P15" s="14" t="n">
        <v>0.03</v>
      </c>
      <c r="Q15" s="14" t="n">
        <v>0.03</v>
      </c>
      <c r="R15" s="14" t="n">
        <v>0.03</v>
      </c>
      <c r="S15" s="14" t="n">
        <v>0.03</v>
      </c>
      <c r="T15" s="14" t="n">
        <v>0.02</v>
      </c>
      <c r="U15" s="14" t="n">
        <v>0.04</v>
      </c>
      <c r="V15" s="14" t="n">
        <v>0.04</v>
      </c>
      <c r="W15" s="14" t="n">
        <v>0.03</v>
      </c>
      <c r="X15" s="14" t="n">
        <v>0.02</v>
      </c>
      <c r="Y15" s="14" t="n">
        <v>0.03</v>
      </c>
      <c r="Z15" s="14" t="n">
        <v>0.03</v>
      </c>
      <c r="AA15" s="14" t="n">
        <v>0.04</v>
      </c>
      <c r="AB15" s="14" t="n">
        <v>0.03</v>
      </c>
      <c r="AC15" s="14" t="n">
        <v>0.01</v>
      </c>
      <c r="AD15" s="14" t="n">
        <v>0.02</v>
      </c>
      <c r="AE15" s="14" t="n">
        <v>0.04</v>
      </c>
      <c r="AF15" s="14" t="n">
        <v>0.02</v>
      </c>
    </row>
    <row r="16">
      <c r="A16" s="20" t="n"/>
      <c r="B16" s="11" t="inlineStr">
        <is>
          <t>La tolérance et le respect de la diversité au sein de la société</t>
        </is>
      </c>
      <c r="C16" s="12" t="n">
        <v>1070</v>
      </c>
      <c r="D16" s="12" t="n">
        <v>57</v>
      </c>
      <c r="E16" s="12" t="n">
        <v>32</v>
      </c>
      <c r="F16" s="12" t="n">
        <v>23</v>
      </c>
      <c r="G16" s="12" t="n">
        <v>25</v>
      </c>
      <c r="H16" s="12" t="n">
        <v>50</v>
      </c>
      <c r="I16" s="12" t="n">
        <v>55</v>
      </c>
      <c r="J16" s="12" t="n">
        <v>5</v>
      </c>
      <c r="K16" s="12" t="n">
        <v>38</v>
      </c>
      <c r="L16" s="12" t="n">
        <v>33</v>
      </c>
      <c r="M16" s="12" t="n">
        <v>28</v>
      </c>
      <c r="N16" s="12" t="n">
        <v>56</v>
      </c>
      <c r="O16" s="12" t="n">
        <v>49</v>
      </c>
      <c r="P16" s="12" t="n">
        <v>48</v>
      </c>
      <c r="Q16" s="12" t="n">
        <v>40</v>
      </c>
      <c r="R16" s="12" t="n">
        <v>5</v>
      </c>
      <c r="S16" s="12" t="n">
        <v>27</v>
      </c>
      <c r="T16" s="12" t="n">
        <v>35</v>
      </c>
      <c r="U16" s="12" t="n">
        <v>17</v>
      </c>
      <c r="V16" s="12" t="n">
        <v>39</v>
      </c>
      <c r="W16" s="12" t="n">
        <v>23</v>
      </c>
      <c r="X16" s="12" t="n">
        <v>41</v>
      </c>
      <c r="Y16" s="12" t="n">
        <v>42</v>
      </c>
      <c r="Z16" s="12" t="n">
        <v>36</v>
      </c>
      <c r="AA16" s="12" t="n">
        <v>30</v>
      </c>
      <c r="AB16" s="12" t="n">
        <v>39</v>
      </c>
      <c r="AC16" s="12" t="n">
        <v>54</v>
      </c>
      <c r="AD16" s="12" t="n">
        <v>39</v>
      </c>
      <c r="AE16" s="12" t="n">
        <v>27</v>
      </c>
      <c r="AF16" s="12" t="n">
        <v>42</v>
      </c>
    </row>
    <row r="17">
      <c r="A17" s="20" t="n"/>
      <c r="B17" s="13" t="inlineStr">
        <is>
          <t>Tolerance and respect for diversity in society</t>
        </is>
      </c>
      <c r="C17" s="14" t="n">
        <v>0.04</v>
      </c>
      <c r="D17" s="14" t="n">
        <v>0.06</v>
      </c>
      <c r="E17" s="14" t="n">
        <v>0.03</v>
      </c>
      <c r="F17" s="14" t="n">
        <v>0.02</v>
      </c>
      <c r="G17" s="14" t="n">
        <v>0.03</v>
      </c>
      <c r="H17" s="14" t="n">
        <v>0.04</v>
      </c>
      <c r="I17" s="14" t="n">
        <v>0.04</v>
      </c>
      <c r="J17" s="14" t="n">
        <v>0.02</v>
      </c>
      <c r="K17" s="14" t="n">
        <v>0.04</v>
      </c>
      <c r="L17" s="14" t="n">
        <v>0.03</v>
      </c>
      <c r="M17" s="14" t="n">
        <v>0.03</v>
      </c>
      <c r="N17" s="14" t="n">
        <v>0.06</v>
      </c>
      <c r="O17" s="14" t="n">
        <v>0.05</v>
      </c>
      <c r="P17" s="14" t="n">
        <v>0.05</v>
      </c>
      <c r="Q17" s="14" t="n">
        <v>0.04</v>
      </c>
      <c r="R17" s="14" t="n">
        <v>0.01</v>
      </c>
      <c r="S17" s="14" t="n">
        <v>0.03</v>
      </c>
      <c r="T17" s="14" t="n">
        <v>0.03</v>
      </c>
      <c r="U17" s="14" t="n">
        <v>0.03</v>
      </c>
      <c r="V17" s="14" t="n">
        <v>0.04</v>
      </c>
      <c r="W17" s="14" t="n">
        <v>0.05</v>
      </c>
      <c r="X17" s="14" t="n">
        <v>0.04</v>
      </c>
      <c r="Y17" s="14" t="n">
        <v>0.04</v>
      </c>
      <c r="Z17" s="14" t="n">
        <v>0.04</v>
      </c>
      <c r="AA17" s="14" t="n">
        <v>0.03</v>
      </c>
      <c r="AB17" s="14" t="n">
        <v>0.04</v>
      </c>
      <c r="AC17" s="14" t="n">
        <v>0.05</v>
      </c>
      <c r="AD17" s="14" t="n">
        <v>0.04</v>
      </c>
      <c r="AE17" s="14" t="n">
        <v>0.03</v>
      </c>
      <c r="AF17" s="14" t="n">
        <v>0.04</v>
      </c>
    </row>
    <row r="18">
      <c r="A18" s="20" t="n"/>
      <c r="B18" s="11" t="inlineStr">
        <is>
          <t>La solidarité entre États membres de l'UE et entre ses régions</t>
        </is>
      </c>
      <c r="C18" s="12" t="n">
        <v>1600</v>
      </c>
      <c r="D18" s="12" t="n">
        <v>82</v>
      </c>
      <c r="E18" s="12" t="n">
        <v>54</v>
      </c>
      <c r="F18" s="12" t="n">
        <v>64</v>
      </c>
      <c r="G18" s="12" t="n">
        <v>57</v>
      </c>
      <c r="H18" s="12" t="n">
        <v>56</v>
      </c>
      <c r="I18" s="12" t="n">
        <v>74</v>
      </c>
      <c r="J18" s="12" t="n">
        <v>18</v>
      </c>
      <c r="K18" s="12" t="n">
        <v>44</v>
      </c>
      <c r="L18" s="12" t="n">
        <v>69</v>
      </c>
      <c r="M18" s="12" t="n">
        <v>95</v>
      </c>
      <c r="N18" s="12" t="n">
        <v>63</v>
      </c>
      <c r="O18" s="12" t="n">
        <v>63</v>
      </c>
      <c r="P18" s="12" t="n">
        <v>87</v>
      </c>
      <c r="Q18" s="12" t="n">
        <v>61</v>
      </c>
      <c r="R18" s="12" t="n">
        <v>29</v>
      </c>
      <c r="S18" s="12" t="n">
        <v>44</v>
      </c>
      <c r="T18" s="12" t="n">
        <v>57</v>
      </c>
      <c r="U18" s="12" t="n">
        <v>29</v>
      </c>
      <c r="V18" s="12" t="n">
        <v>55</v>
      </c>
      <c r="W18" s="12" t="n">
        <v>27</v>
      </c>
      <c r="X18" s="12" t="n">
        <v>73</v>
      </c>
      <c r="Y18" s="12" t="n">
        <v>46</v>
      </c>
      <c r="Z18" s="12" t="n">
        <v>78</v>
      </c>
      <c r="AA18" s="12" t="n">
        <v>48</v>
      </c>
      <c r="AB18" s="12" t="n">
        <v>63</v>
      </c>
      <c r="AC18" s="12" t="n">
        <v>38</v>
      </c>
      <c r="AD18" s="12" t="n">
        <v>86</v>
      </c>
      <c r="AE18" s="12" t="n">
        <v>33</v>
      </c>
      <c r="AF18" s="12" t="n">
        <v>45</v>
      </c>
    </row>
    <row r="19">
      <c r="A19" s="20" t="n"/>
      <c r="B19" s="13" t="inlineStr">
        <is>
          <t>Solidarity between EU Member States and between its regions</t>
        </is>
      </c>
      <c r="C19" s="14" t="n">
        <v>0.06</v>
      </c>
      <c r="D19" s="14" t="n">
        <v>0.08</v>
      </c>
      <c r="E19" s="14" t="n">
        <v>0.05</v>
      </c>
      <c r="F19" s="14" t="n">
        <v>0.06</v>
      </c>
      <c r="G19" s="14" t="n">
        <v>0.06</v>
      </c>
      <c r="H19" s="14" t="n">
        <v>0.05</v>
      </c>
      <c r="I19" s="14" t="n">
        <v>0.05</v>
      </c>
      <c r="J19" s="14" t="n">
        <v>0.06</v>
      </c>
      <c r="K19" s="14" t="n">
        <v>0.04</v>
      </c>
      <c r="L19" s="14" t="n">
        <v>0.07000000000000001</v>
      </c>
      <c r="M19" s="14" t="n">
        <v>0.1</v>
      </c>
      <c r="N19" s="14" t="n">
        <v>0.06</v>
      </c>
      <c r="O19" s="14" t="n">
        <v>0.06</v>
      </c>
      <c r="P19" s="14" t="n">
        <v>0.09</v>
      </c>
      <c r="Q19" s="14" t="n">
        <v>0.06</v>
      </c>
      <c r="R19" s="14" t="n">
        <v>0.06</v>
      </c>
      <c r="S19" s="14" t="n">
        <v>0.04</v>
      </c>
      <c r="T19" s="14" t="n">
        <v>0.06</v>
      </c>
      <c r="U19" s="14" t="n">
        <v>0.06</v>
      </c>
      <c r="V19" s="14" t="n">
        <v>0.06</v>
      </c>
      <c r="W19" s="14" t="n">
        <v>0.06</v>
      </c>
      <c r="X19" s="14" t="n">
        <v>0.07000000000000001</v>
      </c>
      <c r="Y19" s="14" t="n">
        <v>0.05</v>
      </c>
      <c r="Z19" s="14" t="n">
        <v>0.08</v>
      </c>
      <c r="AA19" s="14" t="n">
        <v>0.05</v>
      </c>
      <c r="AB19" s="14" t="n">
        <v>0.06</v>
      </c>
      <c r="AC19" s="14" t="n">
        <v>0.04</v>
      </c>
      <c r="AD19" s="14" t="n">
        <v>0.09</v>
      </c>
      <c r="AE19" s="14" t="n">
        <v>0.03</v>
      </c>
      <c r="AF19" s="14" t="n">
        <v>0.04</v>
      </c>
    </row>
    <row r="20">
      <c r="A20" s="20" t="n"/>
      <c r="B20" s="11" t="inlineStr">
        <is>
          <t>La solidarité entre l’UE et les pays en développement dans le monde</t>
        </is>
      </c>
      <c r="C20" s="12" t="n">
        <v>748</v>
      </c>
      <c r="D20" s="12" t="n">
        <v>32</v>
      </c>
      <c r="E20" s="12" t="n">
        <v>14</v>
      </c>
      <c r="F20" s="12" t="n">
        <v>27</v>
      </c>
      <c r="G20" s="12" t="n">
        <v>17</v>
      </c>
      <c r="H20" s="12" t="n">
        <v>16</v>
      </c>
      <c r="I20" s="12" t="n">
        <v>20</v>
      </c>
      <c r="J20" s="12" t="n">
        <v>4</v>
      </c>
      <c r="K20" s="12" t="n">
        <v>12</v>
      </c>
      <c r="L20" s="12" t="n">
        <v>29</v>
      </c>
      <c r="M20" s="12" t="n">
        <v>54</v>
      </c>
      <c r="N20" s="12" t="n">
        <v>41</v>
      </c>
      <c r="O20" s="12" t="n">
        <v>34</v>
      </c>
      <c r="P20" s="12" t="n">
        <v>39</v>
      </c>
      <c r="Q20" s="12" t="n">
        <v>24</v>
      </c>
      <c r="R20" s="12" t="n">
        <v>22</v>
      </c>
      <c r="S20" s="12" t="n">
        <v>14</v>
      </c>
      <c r="T20" s="12" t="n">
        <v>22</v>
      </c>
      <c r="U20" s="12" t="n">
        <v>21</v>
      </c>
      <c r="V20" s="12" t="n">
        <v>37</v>
      </c>
      <c r="W20" s="12" t="n">
        <v>11</v>
      </c>
      <c r="X20" s="12" t="n">
        <v>19</v>
      </c>
      <c r="Y20" s="12" t="n">
        <v>36</v>
      </c>
      <c r="Z20" s="12" t="n">
        <v>51</v>
      </c>
      <c r="AA20" s="12" t="n">
        <v>26</v>
      </c>
      <c r="AB20" s="12" t="n">
        <v>31</v>
      </c>
      <c r="AC20" s="12" t="n">
        <v>39</v>
      </c>
      <c r="AD20" s="12" t="n">
        <v>31</v>
      </c>
      <c r="AE20" s="12" t="n">
        <v>12</v>
      </c>
      <c r="AF20" s="12" t="n">
        <v>14</v>
      </c>
    </row>
    <row r="21">
      <c r="A21" s="20" t="n"/>
      <c r="B21" s="13" t="inlineStr">
        <is>
          <t>Solidarity between the EU and developing countries in the world</t>
        </is>
      </c>
      <c r="C21" s="14" t="n">
        <v>0.03</v>
      </c>
      <c r="D21" s="14" t="n">
        <v>0.03</v>
      </c>
      <c r="E21" s="14" t="n">
        <v>0.01</v>
      </c>
      <c r="F21" s="14" t="n">
        <v>0.03</v>
      </c>
      <c r="G21" s="14" t="n">
        <v>0.02</v>
      </c>
      <c r="H21" s="14" t="n">
        <v>0.01</v>
      </c>
      <c r="I21" s="14" t="n">
        <v>0.01</v>
      </c>
      <c r="J21" s="14" t="n">
        <v>0.01</v>
      </c>
      <c r="K21" s="14" t="n">
        <v>0.01</v>
      </c>
      <c r="L21" s="14" t="n">
        <v>0.03</v>
      </c>
      <c r="M21" s="14" t="n">
        <v>0.05</v>
      </c>
      <c r="N21" s="14" t="n">
        <v>0.04</v>
      </c>
      <c r="O21" s="14" t="n">
        <v>0.03</v>
      </c>
      <c r="P21" s="14" t="n">
        <v>0.04</v>
      </c>
      <c r="Q21" s="14" t="n">
        <v>0.02</v>
      </c>
      <c r="R21" s="14" t="n">
        <v>0.04</v>
      </c>
      <c r="S21" s="14" t="n">
        <v>0.01</v>
      </c>
      <c r="T21" s="14" t="n">
        <v>0.02</v>
      </c>
      <c r="U21" s="14" t="n">
        <v>0.04</v>
      </c>
      <c r="V21" s="14" t="n">
        <v>0.04</v>
      </c>
      <c r="W21" s="14" t="n">
        <v>0.02</v>
      </c>
      <c r="X21" s="14" t="n">
        <v>0.02</v>
      </c>
      <c r="Y21" s="14" t="n">
        <v>0.04</v>
      </c>
      <c r="Z21" s="14" t="n">
        <v>0.05</v>
      </c>
      <c r="AA21" s="14" t="n">
        <v>0.03</v>
      </c>
      <c r="AB21" s="14" t="n">
        <v>0.03</v>
      </c>
      <c r="AC21" s="14" t="n">
        <v>0.04</v>
      </c>
      <c r="AD21" s="14" t="n">
        <v>0.03</v>
      </c>
      <c r="AE21" s="14" t="n">
        <v>0.01</v>
      </c>
      <c r="AF21" s="14" t="n">
        <v>0.01</v>
      </c>
    </row>
    <row r="22">
      <c r="A22" s="20" t="n"/>
      <c r="B22" s="11" t="inlineStr">
        <is>
          <t>La protection des droits de l'homme dans l'UE et dans le monde</t>
        </is>
      </c>
      <c r="C22" s="12" t="n">
        <v>2208</v>
      </c>
      <c r="D22" s="12" t="n">
        <v>92</v>
      </c>
      <c r="E22" s="12" t="n">
        <v>72</v>
      </c>
      <c r="F22" s="12" t="n">
        <v>72</v>
      </c>
      <c r="G22" s="12" t="n">
        <v>119</v>
      </c>
      <c r="H22" s="12" t="n">
        <v>103</v>
      </c>
      <c r="I22" s="12" t="n">
        <v>127</v>
      </c>
      <c r="J22" s="12" t="n">
        <v>24</v>
      </c>
      <c r="K22" s="12" t="n">
        <v>62</v>
      </c>
      <c r="L22" s="12" t="n">
        <v>109</v>
      </c>
      <c r="M22" s="12" t="n">
        <v>84</v>
      </c>
      <c r="N22" s="12" t="n">
        <v>103</v>
      </c>
      <c r="O22" s="12" t="n">
        <v>70</v>
      </c>
      <c r="P22" s="12" t="n">
        <v>54</v>
      </c>
      <c r="Q22" s="12" t="n">
        <v>68</v>
      </c>
      <c r="R22" s="12" t="n">
        <v>58</v>
      </c>
      <c r="S22" s="12" t="n">
        <v>119</v>
      </c>
      <c r="T22" s="12" t="n">
        <v>104</v>
      </c>
      <c r="U22" s="12" t="n">
        <v>42</v>
      </c>
      <c r="V22" s="12" t="n">
        <v>85</v>
      </c>
      <c r="W22" s="12" t="n">
        <v>29</v>
      </c>
      <c r="X22" s="12" t="n">
        <v>116</v>
      </c>
      <c r="Y22" s="12" t="n">
        <v>114</v>
      </c>
      <c r="Z22" s="12" t="n">
        <v>60</v>
      </c>
      <c r="AA22" s="12" t="n">
        <v>95</v>
      </c>
      <c r="AB22" s="12" t="n">
        <v>94</v>
      </c>
      <c r="AC22" s="12" t="n">
        <v>103</v>
      </c>
      <c r="AD22" s="12" t="n">
        <v>89</v>
      </c>
      <c r="AE22" s="12" t="n">
        <v>98</v>
      </c>
      <c r="AF22" s="12" t="n">
        <v>156</v>
      </c>
    </row>
    <row r="23">
      <c r="A23" s="20" t="n"/>
      <c r="B23" s="13" t="inlineStr">
        <is>
          <t>The protection of human rights in the EU and worldwide</t>
        </is>
      </c>
      <c r="C23" s="14" t="n">
        <v>0.08</v>
      </c>
      <c r="D23" s="14" t="n">
        <v>0.09</v>
      </c>
      <c r="E23" s="14" t="n">
        <v>0.07000000000000001</v>
      </c>
      <c r="F23" s="14" t="n">
        <v>0.07000000000000001</v>
      </c>
      <c r="G23" s="14" t="n">
        <v>0.12</v>
      </c>
      <c r="H23" s="14" t="n">
        <v>0.09</v>
      </c>
      <c r="I23" s="14" t="n">
        <v>0.08</v>
      </c>
      <c r="J23" s="14" t="n">
        <v>0.08</v>
      </c>
      <c r="K23" s="14" t="n">
        <v>0.06</v>
      </c>
      <c r="L23" s="14" t="n">
        <v>0.11</v>
      </c>
      <c r="M23" s="14" t="n">
        <v>0.08</v>
      </c>
      <c r="N23" s="14" t="n">
        <v>0.1</v>
      </c>
      <c r="O23" s="14" t="n">
        <v>0.07000000000000001</v>
      </c>
      <c r="P23" s="14" t="n">
        <v>0.05</v>
      </c>
      <c r="Q23" s="14" t="n">
        <v>0.07000000000000001</v>
      </c>
      <c r="R23" s="14" t="n">
        <v>0.12</v>
      </c>
      <c r="S23" s="14" t="n">
        <v>0.12</v>
      </c>
      <c r="T23" s="14" t="n">
        <v>0.1</v>
      </c>
      <c r="U23" s="14" t="n">
        <v>0.08</v>
      </c>
      <c r="V23" s="14" t="n">
        <v>0.08</v>
      </c>
      <c r="W23" s="14" t="n">
        <v>0.06</v>
      </c>
      <c r="X23" s="14" t="n">
        <v>0.11</v>
      </c>
      <c r="Y23" s="14" t="n">
        <v>0.11</v>
      </c>
      <c r="Z23" s="14" t="n">
        <v>0.06</v>
      </c>
      <c r="AA23" s="14" t="n">
        <v>0.09</v>
      </c>
      <c r="AB23" s="14" t="n">
        <v>0.09</v>
      </c>
      <c r="AC23" s="14" t="n">
        <v>0.1</v>
      </c>
      <c r="AD23" s="14" t="n">
        <v>0.09</v>
      </c>
      <c r="AE23" s="14" t="n">
        <v>0.1</v>
      </c>
      <c r="AF23" s="14" t="n">
        <v>0.15</v>
      </c>
    </row>
    <row r="24">
      <c r="A24" s="20" t="n"/>
      <c r="B24" s="11" t="inlineStr">
        <is>
          <t>La liberté de religion et de croyance</t>
        </is>
      </c>
      <c r="C24" s="12" t="n">
        <v>416</v>
      </c>
      <c r="D24" s="12" t="n">
        <v>18</v>
      </c>
      <c r="E24" s="12" t="n">
        <v>15</v>
      </c>
      <c r="F24" s="12" t="n">
        <v>8</v>
      </c>
      <c r="G24" s="12" t="n">
        <v>11</v>
      </c>
      <c r="H24" s="12" t="n">
        <v>8</v>
      </c>
      <c r="I24" s="12" t="n">
        <v>10</v>
      </c>
      <c r="J24" s="12" t="n">
        <v>2</v>
      </c>
      <c r="K24" s="12" t="n">
        <v>32</v>
      </c>
      <c r="L24" s="12" t="n">
        <v>11</v>
      </c>
      <c r="M24" s="12" t="n">
        <v>21</v>
      </c>
      <c r="N24" s="12" t="n">
        <v>19</v>
      </c>
      <c r="O24" s="12" t="n">
        <v>21</v>
      </c>
      <c r="P24" s="12" t="n">
        <v>26</v>
      </c>
      <c r="Q24" s="12" t="n">
        <v>18</v>
      </c>
      <c r="R24" s="12" t="n">
        <v>10</v>
      </c>
      <c r="S24" s="12" t="n">
        <v>13</v>
      </c>
      <c r="T24" s="12" t="n">
        <v>8</v>
      </c>
      <c r="U24" s="12" t="n">
        <v>10</v>
      </c>
      <c r="V24" s="12" t="n">
        <v>12</v>
      </c>
      <c r="W24" s="12" t="n">
        <v>21</v>
      </c>
      <c r="X24" s="12" t="n">
        <v>19</v>
      </c>
      <c r="Y24" s="12" t="n">
        <v>15</v>
      </c>
      <c r="Z24" s="12" t="n">
        <v>13</v>
      </c>
      <c r="AA24" s="12" t="n">
        <v>7</v>
      </c>
      <c r="AB24" s="12" t="n">
        <v>48</v>
      </c>
      <c r="AC24" s="12" t="n">
        <v>9</v>
      </c>
      <c r="AD24" s="12" t="n">
        <v>15</v>
      </c>
      <c r="AE24" s="12" t="n">
        <v>9</v>
      </c>
      <c r="AF24" s="12" t="n">
        <v>8</v>
      </c>
    </row>
    <row r="25">
      <c r="A25" s="20" t="n"/>
      <c r="B25" s="13" t="inlineStr">
        <is>
          <t>Freedom of religion and belief</t>
        </is>
      </c>
      <c r="C25" s="14" t="n">
        <v>0.02</v>
      </c>
      <c r="D25" s="14" t="n">
        <v>0.02</v>
      </c>
      <c r="E25" s="14" t="n">
        <v>0.01</v>
      </c>
      <c r="F25" s="14" t="n">
        <v>0.01</v>
      </c>
      <c r="G25" s="14" t="n">
        <v>0.01</v>
      </c>
      <c r="H25" s="14" t="n">
        <v>0.01</v>
      </c>
      <c r="I25" s="14" t="n">
        <v>0.01</v>
      </c>
      <c r="J25" s="14" t="n">
        <v>0.01</v>
      </c>
      <c r="K25" s="14" t="n">
        <v>0.03</v>
      </c>
      <c r="L25" s="14" t="n">
        <v>0.01</v>
      </c>
      <c r="M25" s="14" t="n">
        <v>0.02</v>
      </c>
      <c r="N25" s="14" t="n">
        <v>0.02</v>
      </c>
      <c r="O25" s="14" t="n">
        <v>0.02</v>
      </c>
      <c r="P25" s="14" t="n">
        <v>0.02</v>
      </c>
      <c r="Q25" s="14" t="n">
        <v>0.02</v>
      </c>
      <c r="R25" s="14" t="n">
        <v>0.02</v>
      </c>
      <c r="S25" s="14" t="n">
        <v>0.01</v>
      </c>
      <c r="T25" s="14" t="n">
        <v>0.01</v>
      </c>
      <c r="U25" s="14" t="n">
        <v>0.02</v>
      </c>
      <c r="V25" s="14" t="n">
        <v>0.01</v>
      </c>
      <c r="W25" s="14" t="n">
        <v>0.04</v>
      </c>
      <c r="X25" s="14" t="n">
        <v>0.02</v>
      </c>
      <c r="Y25" s="14" t="n">
        <v>0.02</v>
      </c>
      <c r="Z25" s="14" t="n">
        <v>0.01</v>
      </c>
      <c r="AA25" s="14" t="n">
        <v>0.01</v>
      </c>
      <c r="AB25" s="14" t="n">
        <v>0.05</v>
      </c>
      <c r="AC25" s="14" t="n">
        <v>0.01</v>
      </c>
      <c r="AD25" s="14" t="n">
        <v>0.01</v>
      </c>
      <c r="AE25" s="14" t="n">
        <v>0.01</v>
      </c>
      <c r="AF25" s="14" t="n">
        <v>0.01</v>
      </c>
    </row>
    <row r="26">
      <c r="A26" s="20" t="n"/>
      <c r="B26" s="11" t="inlineStr">
        <is>
          <t>La libre circulation</t>
        </is>
      </c>
      <c r="C26" s="12" t="n">
        <v>1036</v>
      </c>
      <c r="D26" s="12" t="n">
        <v>45</v>
      </c>
      <c r="E26" s="12" t="n">
        <v>97</v>
      </c>
      <c r="F26" s="12" t="n">
        <v>48</v>
      </c>
      <c r="G26" s="12" t="n">
        <v>24</v>
      </c>
      <c r="H26" s="12" t="n">
        <v>25</v>
      </c>
      <c r="I26" s="12" t="n">
        <v>30</v>
      </c>
      <c r="J26" s="12" t="n">
        <v>5</v>
      </c>
      <c r="K26" s="12" t="n">
        <v>63</v>
      </c>
      <c r="L26" s="12" t="n">
        <v>89</v>
      </c>
      <c r="M26" s="12" t="n">
        <v>18</v>
      </c>
      <c r="N26" s="12" t="n">
        <v>26</v>
      </c>
      <c r="O26" s="12" t="n">
        <v>25</v>
      </c>
      <c r="P26" s="12" t="n">
        <v>58</v>
      </c>
      <c r="Q26" s="12" t="n">
        <v>47</v>
      </c>
      <c r="R26" s="12" t="n">
        <v>14</v>
      </c>
      <c r="S26" s="12" t="n">
        <v>40</v>
      </c>
      <c r="T26" s="12" t="n">
        <v>48</v>
      </c>
      <c r="U26" s="12" t="n">
        <v>13</v>
      </c>
      <c r="V26" s="12" t="n">
        <v>55</v>
      </c>
      <c r="W26" s="12" t="n">
        <v>22</v>
      </c>
      <c r="X26" s="12" t="n">
        <v>15</v>
      </c>
      <c r="Y26" s="12" t="n">
        <v>36</v>
      </c>
      <c r="Z26" s="12" t="n">
        <v>105</v>
      </c>
      <c r="AA26" s="12" t="n">
        <v>19</v>
      </c>
      <c r="AB26" s="12" t="n">
        <v>74</v>
      </c>
      <c r="AC26" s="12" t="n">
        <v>35</v>
      </c>
      <c r="AD26" s="12" t="n">
        <v>59</v>
      </c>
      <c r="AE26" s="12" t="n">
        <v>30</v>
      </c>
      <c r="AF26" s="12" t="n">
        <v>32</v>
      </c>
    </row>
    <row r="27">
      <c r="A27" s="20" t="n"/>
      <c r="B27" s="13" t="inlineStr">
        <is>
          <t>Freedom of movement</t>
        </is>
      </c>
      <c r="C27" s="14" t="n">
        <v>0.04</v>
      </c>
      <c r="D27" s="14" t="n">
        <v>0.04</v>
      </c>
      <c r="E27" s="14" t="n">
        <v>0.1</v>
      </c>
      <c r="F27" s="14" t="n">
        <v>0.04</v>
      </c>
      <c r="G27" s="14" t="n">
        <v>0.02</v>
      </c>
      <c r="H27" s="14" t="n">
        <v>0.02</v>
      </c>
      <c r="I27" s="14" t="n">
        <v>0.02</v>
      </c>
      <c r="J27" s="14" t="n">
        <v>0.02</v>
      </c>
      <c r="K27" s="14" t="n">
        <v>0.06</v>
      </c>
      <c r="L27" s="14" t="n">
        <v>0.09</v>
      </c>
      <c r="M27" s="14" t="n">
        <v>0.02</v>
      </c>
      <c r="N27" s="14" t="n">
        <v>0.03</v>
      </c>
      <c r="O27" s="14" t="n">
        <v>0.03</v>
      </c>
      <c r="P27" s="14" t="n">
        <v>0.06</v>
      </c>
      <c r="Q27" s="14" t="n">
        <v>0.05</v>
      </c>
      <c r="R27" s="14" t="n">
        <v>0.03</v>
      </c>
      <c r="S27" s="14" t="n">
        <v>0.04</v>
      </c>
      <c r="T27" s="14" t="n">
        <v>0.05</v>
      </c>
      <c r="U27" s="14" t="n">
        <v>0.03</v>
      </c>
      <c r="V27" s="14" t="n">
        <v>0.05</v>
      </c>
      <c r="W27" s="14" t="n">
        <v>0.04</v>
      </c>
      <c r="X27" s="14" t="n">
        <v>0.01</v>
      </c>
      <c r="Y27" s="14" t="n">
        <v>0.04</v>
      </c>
      <c r="Z27" s="14" t="n">
        <v>0.1</v>
      </c>
      <c r="AA27" s="14" t="n">
        <v>0.02</v>
      </c>
      <c r="AB27" s="14" t="n">
        <v>0.07000000000000001</v>
      </c>
      <c r="AC27" s="14" t="n">
        <v>0.04</v>
      </c>
      <c r="AD27" s="14" t="n">
        <v>0.06</v>
      </c>
      <c r="AE27" s="14" t="n">
        <v>0.03</v>
      </c>
      <c r="AF27" s="14" t="n">
        <v>0.03</v>
      </c>
    </row>
    <row r="28">
      <c r="A28" s="20" t="n"/>
      <c r="B28" s="11" t="inlineStr">
        <is>
          <t>La liberté d'expression et de pensée</t>
        </is>
      </c>
      <c r="C28" s="12" t="n">
        <v>1563</v>
      </c>
      <c r="D28" s="12" t="n">
        <v>60</v>
      </c>
      <c r="E28" s="12" t="n">
        <v>37</v>
      </c>
      <c r="F28" s="12" t="n">
        <v>86</v>
      </c>
      <c r="G28" s="12" t="n">
        <v>64</v>
      </c>
      <c r="H28" s="12" t="n">
        <v>61</v>
      </c>
      <c r="I28" s="12" t="n">
        <v>87</v>
      </c>
      <c r="J28" s="12" t="n">
        <v>26</v>
      </c>
      <c r="K28" s="12" t="n">
        <v>60</v>
      </c>
      <c r="L28" s="12" t="n">
        <v>63</v>
      </c>
      <c r="M28" s="12" t="n">
        <v>36</v>
      </c>
      <c r="N28" s="12" t="n">
        <v>63</v>
      </c>
      <c r="O28" s="12" t="n">
        <v>68</v>
      </c>
      <c r="P28" s="12" t="n">
        <v>58</v>
      </c>
      <c r="Q28" s="12" t="n">
        <v>49</v>
      </c>
      <c r="R28" s="12" t="n">
        <v>29</v>
      </c>
      <c r="S28" s="12" t="n">
        <v>90</v>
      </c>
      <c r="T28" s="12" t="n">
        <v>64</v>
      </c>
      <c r="U28" s="12" t="n">
        <v>27</v>
      </c>
      <c r="V28" s="12" t="n">
        <v>39</v>
      </c>
      <c r="W28" s="12" t="n">
        <v>25</v>
      </c>
      <c r="X28" s="12" t="n">
        <v>68</v>
      </c>
      <c r="Y28" s="12" t="n">
        <v>68</v>
      </c>
      <c r="Z28" s="12" t="n">
        <v>56</v>
      </c>
      <c r="AA28" s="12" t="n">
        <v>26</v>
      </c>
      <c r="AB28" s="12" t="n">
        <v>74</v>
      </c>
      <c r="AC28" s="12" t="n">
        <v>75</v>
      </c>
      <c r="AD28" s="12" t="n">
        <v>62</v>
      </c>
      <c r="AE28" s="12" t="n">
        <v>45</v>
      </c>
      <c r="AF28" s="12" t="n">
        <v>113</v>
      </c>
    </row>
    <row r="29">
      <c r="A29" s="20" t="n"/>
      <c r="B29" s="13" t="inlineStr">
        <is>
          <t>Freedom of speech and thought</t>
        </is>
      </c>
      <c r="C29" s="14" t="n">
        <v>0.06</v>
      </c>
      <c r="D29" s="14" t="n">
        <v>0.06</v>
      </c>
      <c r="E29" s="14" t="n">
        <v>0.04</v>
      </c>
      <c r="F29" s="14" t="n">
        <v>0.08</v>
      </c>
      <c r="G29" s="14" t="n">
        <v>0.06</v>
      </c>
      <c r="H29" s="14" t="n">
        <v>0.05</v>
      </c>
      <c r="I29" s="14" t="n">
        <v>0.06</v>
      </c>
      <c r="J29" s="14" t="n">
        <v>0.09</v>
      </c>
      <c r="K29" s="14" t="n">
        <v>0.06</v>
      </c>
      <c r="L29" s="14" t="n">
        <v>0.06</v>
      </c>
      <c r="M29" s="14" t="n">
        <v>0.04</v>
      </c>
      <c r="N29" s="14" t="n">
        <v>0.06</v>
      </c>
      <c r="O29" s="14" t="n">
        <v>0.07000000000000001</v>
      </c>
      <c r="P29" s="14" t="n">
        <v>0.06</v>
      </c>
      <c r="Q29" s="14" t="n">
        <v>0.05</v>
      </c>
      <c r="R29" s="14" t="n">
        <v>0.06</v>
      </c>
      <c r="S29" s="14" t="n">
        <v>0.09</v>
      </c>
      <c r="T29" s="14" t="n">
        <v>0.06</v>
      </c>
      <c r="U29" s="14" t="n">
        <v>0.05</v>
      </c>
      <c r="V29" s="14" t="n">
        <v>0.04</v>
      </c>
      <c r="W29" s="14" t="n">
        <v>0.05</v>
      </c>
      <c r="X29" s="14" t="n">
        <v>0.07000000000000001</v>
      </c>
      <c r="Y29" s="14" t="n">
        <v>0.07000000000000001</v>
      </c>
      <c r="Z29" s="14" t="n">
        <v>0.06</v>
      </c>
      <c r="AA29" s="14" t="n">
        <v>0.02</v>
      </c>
      <c r="AB29" s="14" t="n">
        <v>0.07000000000000001</v>
      </c>
      <c r="AC29" s="14" t="n">
        <v>0.07000000000000001</v>
      </c>
      <c r="AD29" s="14" t="n">
        <v>0.06</v>
      </c>
      <c r="AE29" s="14" t="n">
        <v>0.05</v>
      </c>
      <c r="AF29" s="14" t="n">
        <v>0.11</v>
      </c>
    </row>
    <row r="30">
      <c r="A30" s="20" t="n"/>
      <c r="B30" s="11" t="inlineStr">
        <is>
          <t>La dignité humaine, y compris l'interdiction de la peine de mort, de la torture et de l'esclavage</t>
        </is>
      </c>
      <c r="C30" s="12" t="n">
        <v>1262</v>
      </c>
      <c r="D30" s="12" t="n">
        <v>57</v>
      </c>
      <c r="E30" s="12" t="n">
        <v>32</v>
      </c>
      <c r="F30" s="12" t="n">
        <v>29</v>
      </c>
      <c r="G30" s="12" t="n">
        <v>45</v>
      </c>
      <c r="H30" s="12" t="n">
        <v>60</v>
      </c>
      <c r="I30" s="12" t="n">
        <v>72</v>
      </c>
      <c r="J30" s="12" t="n">
        <v>12</v>
      </c>
      <c r="K30" s="12" t="n">
        <v>25</v>
      </c>
      <c r="L30" s="12" t="n">
        <v>42</v>
      </c>
      <c r="M30" s="12" t="n">
        <v>62</v>
      </c>
      <c r="N30" s="12" t="n">
        <v>51</v>
      </c>
      <c r="O30" s="12" t="n">
        <v>47</v>
      </c>
      <c r="P30" s="12" t="n">
        <v>68</v>
      </c>
      <c r="Q30" s="12" t="n">
        <v>59</v>
      </c>
      <c r="R30" s="12" t="n">
        <v>45</v>
      </c>
      <c r="S30" s="12" t="n">
        <v>35</v>
      </c>
      <c r="T30" s="12" t="n">
        <v>20</v>
      </c>
      <c r="U30" s="12" t="n">
        <v>18</v>
      </c>
      <c r="V30" s="12" t="n">
        <v>45</v>
      </c>
      <c r="W30" s="12" t="n">
        <v>10</v>
      </c>
      <c r="X30" s="12" t="n">
        <v>41</v>
      </c>
      <c r="Y30" s="12" t="n">
        <v>35</v>
      </c>
      <c r="Z30" s="12" t="n">
        <v>48</v>
      </c>
      <c r="AA30" s="12" t="n">
        <v>36</v>
      </c>
      <c r="AB30" s="12" t="n">
        <v>40</v>
      </c>
      <c r="AC30" s="12" t="n">
        <v>46</v>
      </c>
      <c r="AD30" s="12" t="n">
        <v>56</v>
      </c>
      <c r="AE30" s="12" t="n">
        <v>58</v>
      </c>
      <c r="AF30" s="12" t="n">
        <v>58</v>
      </c>
    </row>
    <row r="31">
      <c r="A31" s="20" t="n"/>
      <c r="B31" s="13" t="inlineStr">
        <is>
          <t>Human dignity, including the prohibition of the death penalty, torture or slavery</t>
        </is>
      </c>
      <c r="C31" s="14" t="n">
        <v>0.05</v>
      </c>
      <c r="D31" s="14" t="n">
        <v>0.06</v>
      </c>
      <c r="E31" s="14" t="n">
        <v>0.03</v>
      </c>
      <c r="F31" s="14" t="n">
        <v>0.03</v>
      </c>
      <c r="G31" s="14" t="n">
        <v>0.04</v>
      </c>
      <c r="H31" s="14" t="n">
        <v>0.05</v>
      </c>
      <c r="I31" s="14" t="n">
        <v>0.05</v>
      </c>
      <c r="J31" s="14" t="n">
        <v>0.04</v>
      </c>
      <c r="K31" s="14" t="n">
        <v>0.03</v>
      </c>
      <c r="L31" s="14" t="n">
        <v>0.04</v>
      </c>
      <c r="M31" s="14" t="n">
        <v>0.06</v>
      </c>
      <c r="N31" s="14" t="n">
        <v>0.05</v>
      </c>
      <c r="O31" s="14" t="n">
        <v>0.05</v>
      </c>
      <c r="P31" s="14" t="n">
        <v>0.07000000000000001</v>
      </c>
      <c r="Q31" s="14" t="n">
        <v>0.06</v>
      </c>
      <c r="R31" s="14" t="n">
        <v>0.09</v>
      </c>
      <c r="S31" s="14" t="n">
        <v>0.04</v>
      </c>
      <c r="T31" s="14" t="n">
        <v>0.02</v>
      </c>
      <c r="U31" s="14" t="n">
        <v>0.04</v>
      </c>
      <c r="V31" s="14" t="n">
        <v>0.04</v>
      </c>
      <c r="W31" s="14" t="n">
        <v>0.02</v>
      </c>
      <c r="X31" s="14" t="n">
        <v>0.04</v>
      </c>
      <c r="Y31" s="14" t="n">
        <v>0.03</v>
      </c>
      <c r="Z31" s="14" t="n">
        <v>0.05</v>
      </c>
      <c r="AA31" s="14" t="n">
        <v>0.03</v>
      </c>
      <c r="AB31" s="14" t="n">
        <v>0.04</v>
      </c>
      <c r="AC31" s="14" t="n">
        <v>0.05</v>
      </c>
      <c r="AD31" s="14" t="n">
        <v>0.06</v>
      </c>
      <c r="AE31" s="14" t="n">
        <v>0.06</v>
      </c>
      <c r="AF31" s="14" t="n">
        <v>0.06</v>
      </c>
    </row>
    <row r="32">
      <c r="A32" s="20" t="n"/>
      <c r="B32" s="11" t="inlineStr">
        <is>
          <t>La démocratie</t>
        </is>
      </c>
      <c r="C32" s="12" t="n">
        <v>3117</v>
      </c>
      <c r="D32" s="12" t="n">
        <v>115</v>
      </c>
      <c r="E32" s="12" t="n">
        <v>60</v>
      </c>
      <c r="F32" s="12" t="n">
        <v>67</v>
      </c>
      <c r="G32" s="12" t="n">
        <v>201</v>
      </c>
      <c r="H32" s="12" t="n">
        <v>273</v>
      </c>
      <c r="I32" s="12" t="n">
        <v>316</v>
      </c>
      <c r="J32" s="12" t="n">
        <v>44</v>
      </c>
      <c r="K32" s="12" t="n">
        <v>60</v>
      </c>
      <c r="L32" s="12" t="n">
        <v>115</v>
      </c>
      <c r="M32" s="12" t="n">
        <v>74</v>
      </c>
      <c r="N32" s="12" t="n">
        <v>128</v>
      </c>
      <c r="O32" s="12" t="n">
        <v>91</v>
      </c>
      <c r="P32" s="12" t="n">
        <v>40</v>
      </c>
      <c r="Q32" s="12" t="n">
        <v>85</v>
      </c>
      <c r="R32" s="12" t="n">
        <v>66</v>
      </c>
      <c r="S32" s="12" t="n">
        <v>73</v>
      </c>
      <c r="T32" s="12" t="n">
        <v>49</v>
      </c>
      <c r="U32" s="12" t="n">
        <v>76</v>
      </c>
      <c r="V32" s="12" t="n">
        <v>122</v>
      </c>
      <c r="W32" s="12" t="n">
        <v>40</v>
      </c>
      <c r="X32" s="12" t="n">
        <v>133</v>
      </c>
      <c r="Y32" s="12" t="n">
        <v>101</v>
      </c>
      <c r="Z32" s="12" t="n">
        <v>49</v>
      </c>
      <c r="AA32" s="12" t="n">
        <v>113</v>
      </c>
      <c r="AB32" s="12" t="n">
        <v>82</v>
      </c>
      <c r="AC32" s="12" t="n">
        <v>51</v>
      </c>
      <c r="AD32" s="12" t="n">
        <v>70</v>
      </c>
      <c r="AE32" s="12" t="n">
        <v>156</v>
      </c>
      <c r="AF32" s="12" t="n">
        <v>231</v>
      </c>
    </row>
    <row r="33">
      <c r="A33" s="20" t="n"/>
      <c r="B33" s="13" t="inlineStr">
        <is>
          <t>Democracy</t>
        </is>
      </c>
      <c r="C33" s="14" t="n">
        <v>0.12</v>
      </c>
      <c r="D33" s="14" t="n">
        <v>0.11</v>
      </c>
      <c r="E33" s="14" t="n">
        <v>0.06</v>
      </c>
      <c r="F33" s="14" t="n">
        <v>0.06</v>
      </c>
      <c r="G33" s="14" t="n">
        <v>0.2</v>
      </c>
      <c r="H33" s="14" t="n">
        <v>0.23</v>
      </c>
      <c r="I33" s="14" t="n">
        <v>0.21</v>
      </c>
      <c r="J33" s="14" t="n">
        <v>0.15</v>
      </c>
      <c r="K33" s="14" t="n">
        <v>0.06</v>
      </c>
      <c r="L33" s="14" t="n">
        <v>0.11</v>
      </c>
      <c r="M33" s="14" t="n">
        <v>0.07000000000000001</v>
      </c>
      <c r="N33" s="14" t="n">
        <v>0.13</v>
      </c>
      <c r="O33" s="14" t="n">
        <v>0.09</v>
      </c>
      <c r="P33" s="14" t="n">
        <v>0.04</v>
      </c>
      <c r="Q33" s="14" t="n">
        <v>0.08</v>
      </c>
      <c r="R33" s="14" t="n">
        <v>0.13</v>
      </c>
      <c r="S33" s="14" t="n">
        <v>0.07000000000000001</v>
      </c>
      <c r="T33" s="14" t="n">
        <v>0.05</v>
      </c>
      <c r="U33" s="14" t="n">
        <v>0.15</v>
      </c>
      <c r="V33" s="14" t="n">
        <v>0.12</v>
      </c>
      <c r="W33" s="14" t="n">
        <v>0.08</v>
      </c>
      <c r="X33" s="14" t="n">
        <v>0.13</v>
      </c>
      <c r="Y33" s="14" t="n">
        <v>0.1</v>
      </c>
      <c r="Z33" s="14" t="n">
        <v>0.05</v>
      </c>
      <c r="AA33" s="14" t="n">
        <v>0.11</v>
      </c>
      <c r="AB33" s="14" t="n">
        <v>0.08</v>
      </c>
      <c r="AC33" s="14" t="n">
        <v>0.05</v>
      </c>
      <c r="AD33" s="14" t="n">
        <v>0.07000000000000001</v>
      </c>
      <c r="AE33" s="14" t="n">
        <v>0.15</v>
      </c>
      <c r="AF33" s="14" t="n">
        <v>0.22</v>
      </c>
    </row>
    <row r="34">
      <c r="A34" s="20" t="n"/>
      <c r="B34" s="11" t="inlineStr">
        <is>
          <t>L'État de droit</t>
        </is>
      </c>
      <c r="C34" s="12" t="n">
        <v>1712</v>
      </c>
      <c r="D34" s="12" t="n">
        <v>55</v>
      </c>
      <c r="E34" s="12" t="n">
        <v>88</v>
      </c>
      <c r="F34" s="12" t="n">
        <v>39</v>
      </c>
      <c r="G34" s="12" t="n">
        <v>92</v>
      </c>
      <c r="H34" s="12" t="n">
        <v>83</v>
      </c>
      <c r="I34" s="12" t="n">
        <v>97</v>
      </c>
      <c r="J34" s="12" t="n">
        <v>14</v>
      </c>
      <c r="K34" s="12" t="n">
        <v>58</v>
      </c>
      <c r="L34" s="12" t="n">
        <v>75</v>
      </c>
      <c r="M34" s="12" t="n">
        <v>131</v>
      </c>
      <c r="N34" s="12" t="n">
        <v>80</v>
      </c>
      <c r="O34" s="12" t="n">
        <v>51</v>
      </c>
      <c r="P34" s="12" t="n">
        <v>65</v>
      </c>
      <c r="Q34" s="12" t="n">
        <v>43</v>
      </c>
      <c r="R34" s="12" t="n">
        <v>60</v>
      </c>
      <c r="S34" s="12" t="n">
        <v>41</v>
      </c>
      <c r="T34" s="12" t="n">
        <v>43</v>
      </c>
      <c r="U34" s="12" t="n">
        <v>22</v>
      </c>
      <c r="V34" s="12" t="n">
        <v>48</v>
      </c>
      <c r="W34" s="12" t="n">
        <v>63</v>
      </c>
      <c r="X34" s="12" t="n">
        <v>104</v>
      </c>
      <c r="Y34" s="12" t="n">
        <v>54</v>
      </c>
      <c r="Z34" s="12" t="n">
        <v>71</v>
      </c>
      <c r="AA34" s="12" t="n">
        <v>58</v>
      </c>
      <c r="AB34" s="12" t="n">
        <v>78</v>
      </c>
      <c r="AC34" s="12" t="n">
        <v>62</v>
      </c>
      <c r="AD34" s="12" t="n">
        <v>81</v>
      </c>
      <c r="AE34" s="12" t="n">
        <v>106</v>
      </c>
      <c r="AF34" s="12" t="n">
        <v>79</v>
      </c>
    </row>
    <row r="35">
      <c r="A35" s="20" t="n"/>
      <c r="B35" s="13" t="inlineStr">
        <is>
          <t>The rule of law</t>
        </is>
      </c>
      <c r="C35" s="14" t="n">
        <v>0.06</v>
      </c>
      <c r="D35" s="14" t="n">
        <v>0.05</v>
      </c>
      <c r="E35" s="14" t="n">
        <v>0.09</v>
      </c>
      <c r="F35" s="14" t="n">
        <v>0.04</v>
      </c>
      <c r="G35" s="14" t="n">
        <v>0.09</v>
      </c>
      <c r="H35" s="14" t="n">
        <v>0.07000000000000001</v>
      </c>
      <c r="I35" s="14" t="n">
        <v>0.07000000000000001</v>
      </c>
      <c r="J35" s="14" t="n">
        <v>0.05</v>
      </c>
      <c r="K35" s="14" t="n">
        <v>0.06</v>
      </c>
      <c r="L35" s="14" t="n">
        <v>0.07000000000000001</v>
      </c>
      <c r="M35" s="14" t="n">
        <v>0.13</v>
      </c>
      <c r="N35" s="14" t="n">
        <v>0.08</v>
      </c>
      <c r="O35" s="14" t="n">
        <v>0.05</v>
      </c>
      <c r="P35" s="14" t="n">
        <v>0.06</v>
      </c>
      <c r="Q35" s="14" t="n">
        <v>0.04</v>
      </c>
      <c r="R35" s="14" t="n">
        <v>0.12</v>
      </c>
      <c r="S35" s="14" t="n">
        <v>0.04</v>
      </c>
      <c r="T35" s="14" t="n">
        <v>0.04</v>
      </c>
      <c r="U35" s="14" t="n">
        <v>0.04</v>
      </c>
      <c r="V35" s="14" t="n">
        <v>0.05</v>
      </c>
      <c r="W35" s="14" t="n">
        <v>0.13</v>
      </c>
      <c r="X35" s="14" t="n">
        <v>0.1</v>
      </c>
      <c r="Y35" s="14" t="n">
        <v>0.05</v>
      </c>
      <c r="Z35" s="14" t="n">
        <v>0.07000000000000001</v>
      </c>
      <c r="AA35" s="14" t="n">
        <v>0.06</v>
      </c>
      <c r="AB35" s="14" t="n">
        <v>0.07000000000000001</v>
      </c>
      <c r="AC35" s="14" t="n">
        <v>0.06</v>
      </c>
      <c r="AD35" s="14" t="n">
        <v>0.08</v>
      </c>
      <c r="AE35" s="14" t="n">
        <v>0.11</v>
      </c>
      <c r="AF35" s="14" t="n">
        <v>0.08</v>
      </c>
    </row>
    <row r="36">
      <c r="A36" s="20" t="n"/>
      <c r="B36" s="11" t="inlineStr">
        <is>
          <t>Le respect des identités, cultures et traditions nationales dans les États membres de l’UE</t>
        </is>
      </c>
      <c r="C36" s="12" t="n">
        <v>1335</v>
      </c>
      <c r="D36" s="12" t="n">
        <v>53</v>
      </c>
      <c r="E36" s="12" t="n">
        <v>102</v>
      </c>
      <c r="F36" s="12" t="n">
        <v>95</v>
      </c>
      <c r="G36" s="12" t="n">
        <v>58</v>
      </c>
      <c r="H36" s="12" t="n">
        <v>16</v>
      </c>
      <c r="I36" s="12" t="n">
        <v>26</v>
      </c>
      <c r="J36" s="12" t="n">
        <v>10</v>
      </c>
      <c r="K36" s="12" t="n">
        <v>74</v>
      </c>
      <c r="L36" s="12" t="n">
        <v>35</v>
      </c>
      <c r="M36" s="12" t="n">
        <v>50</v>
      </c>
      <c r="N36" s="12" t="n">
        <v>62</v>
      </c>
      <c r="O36" s="12" t="n">
        <v>55</v>
      </c>
      <c r="P36" s="12" t="n">
        <v>62</v>
      </c>
      <c r="Q36" s="12" t="n">
        <v>49</v>
      </c>
      <c r="R36" s="12" t="n">
        <v>26</v>
      </c>
      <c r="S36" s="12" t="n">
        <v>73</v>
      </c>
      <c r="T36" s="12" t="n">
        <v>52</v>
      </c>
      <c r="U36" s="12" t="n">
        <v>23</v>
      </c>
      <c r="V36" s="12" t="n">
        <v>76</v>
      </c>
      <c r="W36" s="12" t="n">
        <v>32</v>
      </c>
      <c r="X36" s="12" t="n">
        <v>49</v>
      </c>
      <c r="Y36" s="12" t="n">
        <v>44</v>
      </c>
      <c r="Z36" s="12" t="n">
        <v>66</v>
      </c>
      <c r="AA36" s="12" t="n">
        <v>124</v>
      </c>
      <c r="AB36" s="12" t="n">
        <v>64</v>
      </c>
      <c r="AC36" s="12" t="n">
        <v>51</v>
      </c>
      <c r="AD36" s="12" t="n">
        <v>66</v>
      </c>
      <c r="AE36" s="12" t="n">
        <v>45</v>
      </c>
      <c r="AF36" s="12" t="n">
        <v>25</v>
      </c>
    </row>
    <row r="37">
      <c r="A37" s="20" t="n"/>
      <c r="B37" s="13" t="inlineStr">
        <is>
          <t>Respect for national identities, cultures and traditions in the EU Member States</t>
        </is>
      </c>
      <c r="C37" s="14" t="n">
        <v>0.05</v>
      </c>
      <c r="D37" s="14" t="n">
        <v>0.05</v>
      </c>
      <c r="E37" s="14" t="n">
        <v>0.1</v>
      </c>
      <c r="F37" s="14" t="n">
        <v>0.09</v>
      </c>
      <c r="G37" s="14" t="n">
        <v>0.06</v>
      </c>
      <c r="H37" s="14" t="n">
        <v>0.01</v>
      </c>
      <c r="I37" s="14" t="n">
        <v>0.02</v>
      </c>
      <c r="J37" s="14" t="n">
        <v>0.03</v>
      </c>
      <c r="K37" s="14" t="n">
        <v>0.07000000000000001</v>
      </c>
      <c r="L37" s="14" t="n">
        <v>0.04</v>
      </c>
      <c r="M37" s="14" t="n">
        <v>0.05</v>
      </c>
      <c r="N37" s="14" t="n">
        <v>0.06</v>
      </c>
      <c r="O37" s="14" t="n">
        <v>0.05</v>
      </c>
      <c r="P37" s="14" t="n">
        <v>0.06</v>
      </c>
      <c r="Q37" s="14" t="n">
        <v>0.05</v>
      </c>
      <c r="R37" s="14" t="n">
        <v>0.05</v>
      </c>
      <c r="S37" s="14" t="n">
        <v>0.07000000000000001</v>
      </c>
      <c r="T37" s="14" t="n">
        <v>0.05</v>
      </c>
      <c r="U37" s="14" t="n">
        <v>0.05</v>
      </c>
      <c r="V37" s="14" t="n">
        <v>0.07000000000000001</v>
      </c>
      <c r="W37" s="14" t="n">
        <v>0.06</v>
      </c>
      <c r="X37" s="14" t="n">
        <v>0.05</v>
      </c>
      <c r="Y37" s="14" t="n">
        <v>0.04</v>
      </c>
      <c r="Z37" s="14" t="n">
        <v>0.06</v>
      </c>
      <c r="AA37" s="14" t="n">
        <v>0.12</v>
      </c>
      <c r="AB37" s="14" t="n">
        <v>0.06</v>
      </c>
      <c r="AC37" s="14" t="n">
        <v>0.05</v>
      </c>
      <c r="AD37" s="14" t="n">
        <v>0.07000000000000001</v>
      </c>
      <c r="AE37" s="14" t="n">
        <v>0.04</v>
      </c>
      <c r="AF37" s="14" t="n">
        <v>0.02</v>
      </c>
    </row>
    <row r="38">
      <c r="A38" s="20" t="n"/>
      <c r="B38" s="11" t="inlineStr">
        <is>
          <t>Le droit de demander l'asile en cas de persécution</t>
        </is>
      </c>
      <c r="C38" s="12" t="n">
        <v>343</v>
      </c>
      <c r="D38" s="12" t="n">
        <v>9</v>
      </c>
      <c r="E38" s="12" t="n">
        <v>6</v>
      </c>
      <c r="F38" s="12" t="n">
        <v>6</v>
      </c>
      <c r="G38" s="12" t="n">
        <v>6</v>
      </c>
      <c r="H38" s="12" t="n">
        <v>14</v>
      </c>
      <c r="I38" s="12" t="n">
        <v>16</v>
      </c>
      <c r="J38" s="12" t="n">
        <v>3</v>
      </c>
      <c r="K38" s="12" t="n">
        <v>7</v>
      </c>
      <c r="L38" s="12" t="n">
        <v>17</v>
      </c>
      <c r="M38" s="12" t="n">
        <v>14</v>
      </c>
      <c r="N38" s="12" t="n">
        <v>11</v>
      </c>
      <c r="O38" s="12" t="n">
        <v>12</v>
      </c>
      <c r="P38" s="12" t="n">
        <v>8</v>
      </c>
      <c r="Q38" s="12" t="n">
        <v>19</v>
      </c>
      <c r="R38" s="12" t="n">
        <v>2</v>
      </c>
      <c r="S38" s="12" t="n">
        <v>6</v>
      </c>
      <c r="T38" s="12" t="n">
        <v>6</v>
      </c>
      <c r="U38" s="12" t="n">
        <v>5</v>
      </c>
      <c r="V38" s="12" t="n">
        <v>32</v>
      </c>
      <c r="W38" s="12" t="n">
        <v>7</v>
      </c>
      <c r="X38" s="12" t="n">
        <v>9</v>
      </c>
      <c r="Y38" s="12" t="n">
        <v>16</v>
      </c>
      <c r="Z38" s="12" t="n">
        <v>19</v>
      </c>
      <c r="AA38" s="12" t="n">
        <v>6</v>
      </c>
      <c r="AB38" s="12" t="n">
        <v>26</v>
      </c>
      <c r="AC38" s="12" t="n">
        <v>8</v>
      </c>
      <c r="AD38" s="12" t="n">
        <v>4</v>
      </c>
      <c r="AE38" s="12" t="n">
        <v>3</v>
      </c>
      <c r="AF38" s="12" t="n">
        <v>4</v>
      </c>
    </row>
    <row r="39">
      <c r="A39" s="20" t="n"/>
      <c r="B39" s="13" t="inlineStr">
        <is>
          <t>The right to seek asylum from persecution</t>
        </is>
      </c>
      <c r="C39" s="14" t="n">
        <v>0.01</v>
      </c>
      <c r="D39" s="14" t="n">
        <v>0.01</v>
      </c>
      <c r="E39" s="14" t="n">
        <v>0.01</v>
      </c>
      <c r="F39" s="14" t="n">
        <v>0.01</v>
      </c>
      <c r="G39" s="14" t="n">
        <v>0.01</v>
      </c>
      <c r="H39" s="14" t="n">
        <v>0.01</v>
      </c>
      <c r="I39" s="14" t="n">
        <v>0.01</v>
      </c>
      <c r="J39" s="14" t="n">
        <v>0.01</v>
      </c>
      <c r="K39" s="14" t="n">
        <v>0.01</v>
      </c>
      <c r="L39" s="14" t="n">
        <v>0.02</v>
      </c>
      <c r="M39" s="14" t="n">
        <v>0.01</v>
      </c>
      <c r="N39" s="14" t="n">
        <v>0.01</v>
      </c>
      <c r="O39" s="14" t="n">
        <v>0.01</v>
      </c>
      <c r="P39" s="14" t="n">
        <v>0.01</v>
      </c>
      <c r="Q39" s="14" t="n">
        <v>0.02</v>
      </c>
      <c r="R39" s="15" t="inlineStr">
        <is>
          <t>-</t>
        </is>
      </c>
      <c r="S39" s="14" t="n">
        <v>0.01</v>
      </c>
      <c r="T39" s="14" t="n">
        <v>0.01</v>
      </c>
      <c r="U39" s="14" t="n">
        <v>0.01</v>
      </c>
      <c r="V39" s="14" t="n">
        <v>0.03</v>
      </c>
      <c r="W39" s="14" t="n">
        <v>0.01</v>
      </c>
      <c r="X39" s="14" t="n">
        <v>0.01</v>
      </c>
      <c r="Y39" s="14" t="n">
        <v>0.02</v>
      </c>
      <c r="Z39" s="14" t="n">
        <v>0.02</v>
      </c>
      <c r="AA39" s="14" t="n">
        <v>0.01</v>
      </c>
      <c r="AB39" s="14" t="n">
        <v>0.02</v>
      </c>
      <c r="AC39" s="14" t="n">
        <v>0.01</v>
      </c>
      <c r="AD39" s="15" t="inlineStr">
        <is>
          <t>-</t>
        </is>
      </c>
      <c r="AE39" s="15" t="inlineStr">
        <is>
          <t>-</t>
        </is>
      </c>
      <c r="AF39" s="14" t="n">
        <v>0.01</v>
      </c>
    </row>
    <row r="40">
      <c r="A40" s="20" t="n"/>
      <c r="B40" s="11" t="inlineStr">
        <is>
          <t>La paix</t>
        </is>
      </c>
      <c r="C40" s="12" t="n">
        <v>7646</v>
      </c>
      <c r="D40" s="12" t="n">
        <v>246</v>
      </c>
      <c r="E40" s="12" t="n">
        <v>335</v>
      </c>
      <c r="F40" s="12" t="n">
        <v>378</v>
      </c>
      <c r="G40" s="12" t="n">
        <v>247</v>
      </c>
      <c r="H40" s="12" t="n">
        <v>377</v>
      </c>
      <c r="I40" s="12" t="n">
        <v>485</v>
      </c>
      <c r="J40" s="12" t="n">
        <v>108</v>
      </c>
      <c r="K40" s="12" t="n">
        <v>401</v>
      </c>
      <c r="L40" s="12" t="n">
        <v>238</v>
      </c>
      <c r="M40" s="12" t="n">
        <v>278</v>
      </c>
      <c r="N40" s="12" t="n">
        <v>171</v>
      </c>
      <c r="O40" s="12" t="n">
        <v>293</v>
      </c>
      <c r="P40" s="12" t="n">
        <v>341</v>
      </c>
      <c r="Q40" s="12" t="n">
        <v>382</v>
      </c>
      <c r="R40" s="12" t="n">
        <v>103</v>
      </c>
      <c r="S40" s="12" t="n">
        <v>367</v>
      </c>
      <c r="T40" s="12" t="n">
        <v>438</v>
      </c>
      <c r="U40" s="12" t="n">
        <v>160</v>
      </c>
      <c r="V40" s="12" t="n">
        <v>302</v>
      </c>
      <c r="W40" s="12" t="n">
        <v>138</v>
      </c>
      <c r="X40" s="12" t="n">
        <v>245</v>
      </c>
      <c r="Y40" s="12" t="n">
        <v>289</v>
      </c>
      <c r="Z40" s="12" t="n">
        <v>295</v>
      </c>
      <c r="AA40" s="12" t="n">
        <v>341</v>
      </c>
      <c r="AB40" s="12" t="n">
        <v>239</v>
      </c>
      <c r="AC40" s="12" t="n">
        <v>401</v>
      </c>
      <c r="AD40" s="12" t="n">
        <v>299</v>
      </c>
      <c r="AE40" s="12" t="n">
        <v>305</v>
      </c>
      <c r="AF40" s="12" t="n">
        <v>181</v>
      </c>
    </row>
    <row r="41">
      <c r="A41" s="20" t="n"/>
      <c r="B41" s="13" t="inlineStr">
        <is>
          <t>Peace</t>
        </is>
      </c>
      <c r="C41" s="14" t="n">
        <v>0.29</v>
      </c>
      <c r="D41" s="14" t="n">
        <v>0.24</v>
      </c>
      <c r="E41" s="14" t="n">
        <v>0.33</v>
      </c>
      <c r="F41" s="14" t="n">
        <v>0.36</v>
      </c>
      <c r="G41" s="14" t="n">
        <v>0.24</v>
      </c>
      <c r="H41" s="14" t="n">
        <v>0.31</v>
      </c>
      <c r="I41" s="14" t="n">
        <v>0.32</v>
      </c>
      <c r="J41" s="14" t="n">
        <v>0.37</v>
      </c>
      <c r="K41" s="14" t="n">
        <v>0.4</v>
      </c>
      <c r="L41" s="14" t="n">
        <v>0.24</v>
      </c>
      <c r="M41" s="14" t="n">
        <v>0.28</v>
      </c>
      <c r="N41" s="14" t="n">
        <v>0.17</v>
      </c>
      <c r="O41" s="14" t="n">
        <v>0.29</v>
      </c>
      <c r="P41" s="14" t="n">
        <v>0.34</v>
      </c>
      <c r="Q41" s="14" t="n">
        <v>0.37</v>
      </c>
      <c r="R41" s="14" t="n">
        <v>0.2</v>
      </c>
      <c r="S41" s="14" t="n">
        <v>0.37</v>
      </c>
      <c r="T41" s="14" t="n">
        <v>0.43</v>
      </c>
      <c r="U41" s="14" t="n">
        <v>0.32</v>
      </c>
      <c r="V41" s="14" t="n">
        <v>0.3</v>
      </c>
      <c r="W41" s="14" t="n">
        <v>0.28</v>
      </c>
      <c r="X41" s="14" t="n">
        <v>0.24</v>
      </c>
      <c r="Y41" s="14" t="n">
        <v>0.29</v>
      </c>
      <c r="Z41" s="14" t="n">
        <v>0.29</v>
      </c>
      <c r="AA41" s="14" t="n">
        <v>0.33</v>
      </c>
      <c r="AB41" s="14" t="n">
        <v>0.23</v>
      </c>
      <c r="AC41" s="14" t="n">
        <v>0.4</v>
      </c>
      <c r="AD41" s="14" t="n">
        <v>0.3</v>
      </c>
      <c r="AE41" s="14" t="n">
        <v>0.3</v>
      </c>
      <c r="AF41" s="14" t="n">
        <v>0.18</v>
      </c>
    </row>
    <row r="42">
      <c r="A42" s="20" t="n"/>
      <c r="B42" s="11" t="inlineStr">
        <is>
          <t>Autre (SPONTANÉ)</t>
        </is>
      </c>
      <c r="C42" s="12" t="n">
        <v>78</v>
      </c>
      <c r="D42" s="12" t="n">
        <v>0</v>
      </c>
      <c r="E42" s="12" t="n">
        <v>5</v>
      </c>
      <c r="F42" s="12" t="n">
        <v>1</v>
      </c>
      <c r="G42" s="12" t="n">
        <v>1</v>
      </c>
      <c r="H42" s="12" t="n">
        <v>5</v>
      </c>
      <c r="I42" s="12" t="n">
        <v>5</v>
      </c>
      <c r="J42" s="12" t="n">
        <v>0</v>
      </c>
      <c r="K42" s="12" t="n">
        <v>5</v>
      </c>
      <c r="L42" s="12" t="n">
        <v>2</v>
      </c>
      <c r="M42" s="12" t="n">
        <v>1</v>
      </c>
      <c r="N42" s="12" t="n">
        <v>7</v>
      </c>
      <c r="O42" s="12" t="n">
        <v>3</v>
      </c>
      <c r="P42" s="12" t="n">
        <v>0</v>
      </c>
      <c r="Q42" s="12" t="n">
        <v>2</v>
      </c>
      <c r="R42" s="12" t="n">
        <v>0</v>
      </c>
      <c r="S42" s="12" t="n">
        <v>1</v>
      </c>
      <c r="T42" s="12" t="n">
        <v>5</v>
      </c>
      <c r="U42" s="12" t="n">
        <v>1</v>
      </c>
      <c r="V42" s="12" t="n">
        <v>0</v>
      </c>
      <c r="W42" s="12" t="n">
        <v>1</v>
      </c>
      <c r="X42" s="12" t="n">
        <v>4</v>
      </c>
      <c r="Y42" s="12" t="n">
        <v>11</v>
      </c>
      <c r="Z42" s="12" t="n">
        <v>1</v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2</v>
      </c>
      <c r="AF42" s="12" t="n">
        <v>3</v>
      </c>
    </row>
    <row r="43">
      <c r="A43" s="20" t="n"/>
      <c r="B43" s="13" t="inlineStr">
        <is>
          <t>Other (SPONTANEOUS)</t>
        </is>
      </c>
      <c r="C43" s="15" t="inlineStr">
        <is>
          <t>-</t>
        </is>
      </c>
      <c r="D43" s="15" t="inlineStr">
        <is>
          <t>-</t>
        </is>
      </c>
      <c r="E43" s="14" t="n">
        <v>0.01</v>
      </c>
      <c r="F43" s="15" t="inlineStr">
        <is>
          <t>-</t>
        </is>
      </c>
      <c r="G43" s="15" t="inlineStr">
        <is>
          <t>-</t>
        </is>
      </c>
      <c r="H43" s="15" t="inlineStr">
        <is>
          <t>-</t>
        </is>
      </c>
      <c r="I43" s="15" t="inlineStr">
        <is>
          <t>-</t>
        </is>
      </c>
      <c r="J43" s="15" t="inlineStr">
        <is>
          <t>-</t>
        </is>
      </c>
      <c r="K43" s="14" t="n">
        <v>0.01</v>
      </c>
      <c r="L43" s="15" t="inlineStr">
        <is>
          <t>-</t>
        </is>
      </c>
      <c r="M43" s="15" t="inlineStr">
        <is>
          <t>-</t>
        </is>
      </c>
      <c r="N43" s="14" t="n">
        <v>0.01</v>
      </c>
      <c r="O43" s="15" t="inlineStr">
        <is>
          <t>-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15" t="inlineStr">
        <is>
          <t>-</t>
        </is>
      </c>
      <c r="T43" s="14" t="n">
        <v>0.01</v>
      </c>
      <c r="U43" s="15" t="inlineStr">
        <is>
          <t>-</t>
        </is>
      </c>
      <c r="V43" s="15" t="inlineStr">
        <is>
          <t>-</t>
        </is>
      </c>
      <c r="W43" s="15" t="inlineStr">
        <is>
          <t>-</t>
        </is>
      </c>
      <c r="X43" s="15" t="inlineStr">
        <is>
          <t>-</t>
        </is>
      </c>
      <c r="Y43" s="14" t="n">
        <v>0.01</v>
      </c>
      <c r="Z43" s="15" t="inlineStr">
        <is>
          <t>-</t>
        </is>
      </c>
      <c r="AA43" s="15" t="inlineStr">
        <is>
          <t>-</t>
        </is>
      </c>
      <c r="AB43" s="15" t="inlineStr">
        <is>
          <t>-</t>
        </is>
      </c>
      <c r="AC43" s="15" t="inlineStr">
        <is>
          <t>-</t>
        </is>
      </c>
      <c r="AD43" s="15" t="inlineStr">
        <is>
          <t>-</t>
        </is>
      </c>
      <c r="AE43" s="15" t="inlineStr">
        <is>
          <t>-</t>
        </is>
      </c>
      <c r="AF43" s="15" t="inlineStr">
        <is>
          <t>-</t>
        </is>
      </c>
    </row>
    <row r="44">
      <c r="A44" s="20" t="n"/>
      <c r="B44" s="11" t="inlineStr">
        <is>
          <t>Aucun (SPONTANÉ)</t>
        </is>
      </c>
      <c r="C44" s="12" t="n">
        <v>176</v>
      </c>
      <c r="D44" s="12" t="n">
        <v>2</v>
      </c>
      <c r="E44" s="12" t="n">
        <v>10</v>
      </c>
      <c r="F44" s="12" t="n">
        <v>9</v>
      </c>
      <c r="G44" s="12" t="n">
        <v>0</v>
      </c>
      <c r="H44" s="12" t="n">
        <v>14</v>
      </c>
      <c r="I44" s="12" t="n">
        <v>14</v>
      </c>
      <c r="J44" s="12" t="n">
        <v>0</v>
      </c>
      <c r="K44" s="12" t="n">
        <v>9</v>
      </c>
      <c r="L44" s="12" t="n">
        <v>1</v>
      </c>
      <c r="M44" s="12" t="n">
        <v>1</v>
      </c>
      <c r="N44" s="12" t="n">
        <v>12</v>
      </c>
      <c r="O44" s="12" t="n">
        <v>10</v>
      </c>
      <c r="P44" s="12" t="n">
        <v>0</v>
      </c>
      <c r="Q44" s="12" t="n">
        <v>2</v>
      </c>
      <c r="R44" s="12" t="n">
        <v>0</v>
      </c>
      <c r="S44" s="12" t="n">
        <v>4</v>
      </c>
      <c r="T44" s="12" t="n">
        <v>7</v>
      </c>
      <c r="U44" s="12" t="n">
        <v>1</v>
      </c>
      <c r="V44" s="12" t="n">
        <v>1</v>
      </c>
      <c r="W44" s="12" t="n">
        <v>0</v>
      </c>
      <c r="X44" s="12" t="n">
        <v>15</v>
      </c>
      <c r="Y44" s="12" t="n">
        <v>6</v>
      </c>
      <c r="Z44" s="12" t="n">
        <v>4</v>
      </c>
      <c r="AA44" s="12" t="n">
        <v>2</v>
      </c>
      <c r="AB44" s="12" t="n">
        <v>5</v>
      </c>
      <c r="AC44" s="12" t="n">
        <v>1</v>
      </c>
      <c r="AD44" s="12" t="n">
        <v>1</v>
      </c>
      <c r="AE44" s="12" t="n">
        <v>4</v>
      </c>
      <c r="AF44" s="12" t="n">
        <v>1</v>
      </c>
    </row>
    <row r="45">
      <c r="A45" s="20" t="n"/>
      <c r="B45" s="13" t="inlineStr">
        <is>
          <t>None (SPONTANEOUS)</t>
        </is>
      </c>
      <c r="C45" s="14" t="n">
        <v>0.01</v>
      </c>
      <c r="D45" s="15" t="inlineStr">
        <is>
          <t>-</t>
        </is>
      </c>
      <c r="E45" s="14" t="n">
        <v>0.01</v>
      </c>
      <c r="F45" s="14" t="n">
        <v>0.01</v>
      </c>
      <c r="G45" s="15" t="inlineStr">
        <is>
          <t>-</t>
        </is>
      </c>
      <c r="H45" s="14" t="n">
        <v>0.01</v>
      </c>
      <c r="I45" s="14" t="n">
        <v>0.01</v>
      </c>
      <c r="J45" s="15" t="inlineStr">
        <is>
          <t>-</t>
        </is>
      </c>
      <c r="K45" s="14" t="n">
        <v>0.01</v>
      </c>
      <c r="L45" s="15" t="inlineStr">
        <is>
          <t>-</t>
        </is>
      </c>
      <c r="M45" s="15" t="inlineStr">
        <is>
          <t>-</t>
        </is>
      </c>
      <c r="N45" s="14" t="n">
        <v>0.01</v>
      </c>
      <c r="O45" s="14" t="n">
        <v>0.01</v>
      </c>
      <c r="P45" s="15" t="inlineStr">
        <is>
          <t>-</t>
        </is>
      </c>
      <c r="Q45" s="15" t="inlineStr">
        <is>
          <t>-</t>
        </is>
      </c>
      <c r="R45" s="15" t="inlineStr">
        <is>
          <t>-</t>
        </is>
      </c>
      <c r="S45" s="15" t="inlineStr">
        <is>
          <t>-</t>
        </is>
      </c>
      <c r="T45" s="14" t="n">
        <v>0.01</v>
      </c>
      <c r="U45" s="15" t="inlineStr">
        <is>
          <t>-</t>
        </is>
      </c>
      <c r="V45" s="15" t="inlineStr">
        <is>
          <t>-</t>
        </is>
      </c>
      <c r="W45" s="15" t="inlineStr">
        <is>
          <t>-</t>
        </is>
      </c>
      <c r="X45" s="14" t="n">
        <v>0.02</v>
      </c>
      <c r="Y45" s="14" t="n">
        <v>0.01</v>
      </c>
      <c r="Z45" s="15" t="inlineStr">
        <is>
          <t>-</t>
        </is>
      </c>
      <c r="AA45" s="15" t="inlineStr">
        <is>
          <t>-</t>
        </is>
      </c>
      <c r="AB45" s="14" t="n">
        <v>0.01</v>
      </c>
      <c r="AC45" s="15" t="inlineStr">
        <is>
          <t>-</t>
        </is>
      </c>
      <c r="AD45" s="15" t="inlineStr">
        <is>
          <t>-</t>
        </is>
      </c>
      <c r="AE45" s="15" t="inlineStr">
        <is>
          <t>-</t>
        </is>
      </c>
      <c r="AF45" s="15" t="inlineStr">
        <is>
          <t>-</t>
        </is>
      </c>
    </row>
    <row r="46">
      <c r="A46" s="20" t="n"/>
      <c r="B46" s="11" t="inlineStr">
        <is>
          <t>Ne sait pas</t>
        </is>
      </c>
      <c r="C46" s="12" t="n">
        <v>251</v>
      </c>
      <c r="D46" s="12" t="n">
        <v>0</v>
      </c>
      <c r="E46" s="12" t="n">
        <v>21</v>
      </c>
      <c r="F46" s="12" t="n">
        <v>47</v>
      </c>
      <c r="G46" s="12" t="n">
        <v>7</v>
      </c>
      <c r="H46" s="12" t="n">
        <v>6</v>
      </c>
      <c r="I46" s="12" t="n">
        <v>6</v>
      </c>
      <c r="J46" s="12" t="n">
        <v>0</v>
      </c>
      <c r="K46" s="12" t="n">
        <v>15</v>
      </c>
      <c r="L46" s="12" t="n">
        <v>15</v>
      </c>
      <c r="M46" s="12" t="n">
        <v>1</v>
      </c>
      <c r="N46" s="12" t="n">
        <v>20</v>
      </c>
      <c r="O46" s="12" t="n">
        <v>13</v>
      </c>
      <c r="P46" s="12" t="n">
        <v>2</v>
      </c>
      <c r="Q46" s="12" t="n">
        <v>1</v>
      </c>
      <c r="R46" s="12" t="n">
        <v>2</v>
      </c>
      <c r="S46" s="12" t="n">
        <v>13</v>
      </c>
      <c r="T46" s="12" t="n">
        <v>14</v>
      </c>
      <c r="U46" s="12" t="n">
        <v>1</v>
      </c>
      <c r="V46" s="12" t="n">
        <v>2</v>
      </c>
      <c r="W46" s="12" t="n">
        <v>6</v>
      </c>
      <c r="X46" s="12" t="n">
        <v>3</v>
      </c>
      <c r="Y46" s="12" t="n">
        <v>3</v>
      </c>
      <c r="Z46" s="12" t="n">
        <v>15</v>
      </c>
      <c r="AA46" s="12" t="n">
        <v>10</v>
      </c>
      <c r="AB46" s="12" t="n">
        <v>23</v>
      </c>
      <c r="AC46" s="12" t="n">
        <v>1</v>
      </c>
      <c r="AD46" s="12" t="n">
        <v>0</v>
      </c>
      <c r="AE46" s="12" t="n">
        <v>4</v>
      </c>
      <c r="AF46" s="12" t="n">
        <v>0</v>
      </c>
    </row>
    <row r="47">
      <c r="A47" s="23" t="n"/>
      <c r="B47" s="13" t="inlineStr">
        <is>
          <t>Don't know</t>
        </is>
      </c>
      <c r="C47" s="14" t="n">
        <v>0.01</v>
      </c>
      <c r="D47" s="15" t="inlineStr">
        <is>
          <t>-</t>
        </is>
      </c>
      <c r="E47" s="14" t="n">
        <v>0.02</v>
      </c>
      <c r="F47" s="14" t="n">
        <v>0.04</v>
      </c>
      <c r="G47" s="14" t="n">
        <v>0.01</v>
      </c>
      <c r="H47" s="14" t="n">
        <v>0.01</v>
      </c>
      <c r="I47" s="15" t="inlineStr">
        <is>
          <t>-</t>
        </is>
      </c>
      <c r="J47" s="15" t="inlineStr">
        <is>
          <t>-</t>
        </is>
      </c>
      <c r="K47" s="14" t="n">
        <v>0.01</v>
      </c>
      <c r="L47" s="14" t="n">
        <v>0.02</v>
      </c>
      <c r="M47" s="15" t="inlineStr">
        <is>
          <t>-</t>
        </is>
      </c>
      <c r="N47" s="14" t="n">
        <v>0.02</v>
      </c>
      <c r="O47" s="14" t="n">
        <v>0.01</v>
      </c>
      <c r="P47" s="15" t="inlineStr">
        <is>
          <t>-</t>
        </is>
      </c>
      <c r="Q47" s="15" t="inlineStr">
        <is>
          <t>-</t>
        </is>
      </c>
      <c r="R47" s="15" t="inlineStr">
        <is>
          <t>-</t>
        </is>
      </c>
      <c r="S47" s="14" t="n">
        <v>0.01</v>
      </c>
      <c r="T47" s="14" t="n">
        <v>0.01</v>
      </c>
      <c r="U47" s="15" t="inlineStr">
        <is>
          <t>-</t>
        </is>
      </c>
      <c r="V47" s="15" t="inlineStr">
        <is>
          <t>-</t>
        </is>
      </c>
      <c r="W47" s="14" t="n">
        <v>0.01</v>
      </c>
      <c r="X47" s="15" t="inlineStr">
        <is>
          <t>-</t>
        </is>
      </c>
      <c r="Y47" s="15" t="inlineStr">
        <is>
          <t>-</t>
        </is>
      </c>
      <c r="Z47" s="14" t="n">
        <v>0.01</v>
      </c>
      <c r="AA47" s="14" t="n">
        <v>0.01</v>
      </c>
      <c r="AB47" s="14" t="n">
        <v>0.02</v>
      </c>
      <c r="AC47" s="15" t="inlineStr">
        <is>
          <t>-</t>
        </is>
      </c>
      <c r="AD47" s="15" t="inlineStr">
        <is>
          <t>-</t>
        </is>
      </c>
      <c r="AE47" s="15" t="inlineStr">
        <is>
          <t>-</t>
        </is>
      </c>
      <c r="AF47" s="15" t="inlineStr">
        <is>
          <t>-</t>
        </is>
      </c>
    </row>
  </sheetData>
  <mergeCells count="9">
    <mergeCell ref="B4:F4"/>
    <mergeCell ref="A10:A47"/>
    <mergeCell ref="H3:L3"/>
    <mergeCell ref="C8:AF8"/>
    <mergeCell ref="B3:F3"/>
    <mergeCell ref="B5:F5"/>
    <mergeCell ref="H5:L5"/>
    <mergeCell ref="B10:B11"/>
    <mergeCell ref="H4:L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47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12" customHeight="1" s="18">
      <c r="B3" s="21" t="inlineStr">
        <is>
          <t>QA8b. Et ensuite ? (2 RÉPONSES MAX.)</t>
        </is>
      </c>
      <c r="H3" s="21" t="inlineStr">
        <is>
          <t>QA8b. And then? (MAX. 2 ANSWERS)</t>
        </is>
      </c>
    </row>
    <row r="4" ht="27" customHeight="1" s="18">
      <c r="B4" s="21" t="n"/>
      <c r="H4" s="21" t="n"/>
    </row>
    <row r="5" ht="24" customHeight="1" s="18">
      <c r="B5" s="21" t="inlineStr">
        <is>
          <t>Base: Not asked to respondents who answered "None" or "Don't know" in QA8a</t>
        </is>
      </c>
      <c r="H5" s="21" t="inlineStr">
        <is>
          <t>Base: Pas demandé aux répondants qui ont répondu “Aucun” ou “Ne sait pas” à la QA8a</t>
        </is>
      </c>
    </row>
    <row r="6" ht="0.95" customHeight="1" s="18"/>
    <row r="7" ht="0.95" customHeight="1" s="18"/>
    <row r="8">
      <c r="C8" s="22" t="n"/>
    </row>
    <row r="9">
      <c r="A9" s="5">
        <f>HYPERLINK("#Content!A22","&lt;&lt;Back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25994</v>
      </c>
      <c r="D10" s="10" t="n">
        <v>1019</v>
      </c>
      <c r="E10" s="10" t="n">
        <v>983</v>
      </c>
      <c r="F10" s="10" t="n">
        <v>993</v>
      </c>
      <c r="G10" s="10" t="n">
        <v>1000</v>
      </c>
      <c r="H10" s="10" t="n">
        <v>1193</v>
      </c>
      <c r="I10" s="10" t="n">
        <v>1486</v>
      </c>
      <c r="J10" s="10" t="n">
        <v>293</v>
      </c>
      <c r="K10" s="10" t="n">
        <v>982</v>
      </c>
      <c r="L10" s="10" t="n">
        <v>994</v>
      </c>
      <c r="M10" s="10" t="n">
        <v>1005</v>
      </c>
      <c r="N10" s="10" t="n">
        <v>974</v>
      </c>
      <c r="O10" s="10" t="n">
        <v>993</v>
      </c>
      <c r="P10" s="10" t="n">
        <v>1005</v>
      </c>
      <c r="Q10" s="10" t="n">
        <v>1027</v>
      </c>
      <c r="R10" s="10" t="n">
        <v>502</v>
      </c>
      <c r="S10" s="10" t="n">
        <v>988</v>
      </c>
      <c r="T10" s="10" t="n">
        <v>997</v>
      </c>
      <c r="U10" s="10" t="n">
        <v>506</v>
      </c>
      <c r="V10" s="10" t="n">
        <v>1017</v>
      </c>
      <c r="W10" s="10" t="n">
        <v>499</v>
      </c>
      <c r="X10" s="10" t="n">
        <v>1005</v>
      </c>
      <c r="Y10" s="10" t="n">
        <v>994</v>
      </c>
      <c r="Z10" s="10" t="n">
        <v>1001</v>
      </c>
      <c r="AA10" s="10" t="n">
        <v>1018</v>
      </c>
      <c r="AB10" s="10" t="n">
        <v>1016</v>
      </c>
      <c r="AC10" s="10" t="n">
        <v>1005</v>
      </c>
      <c r="AD10" s="10" t="n">
        <v>1000</v>
      </c>
      <c r="AE10" s="10" t="n">
        <v>1008</v>
      </c>
      <c r="AF10" s="10" t="n">
        <v>1036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L'égalité entre les femmes et les hommes</t>
        </is>
      </c>
      <c r="C12" s="12" t="n">
        <v>2680</v>
      </c>
      <c r="D12" s="12" t="n">
        <v>166</v>
      </c>
      <c r="E12" s="12" t="n">
        <v>42</v>
      </c>
      <c r="F12" s="12" t="n">
        <v>83</v>
      </c>
      <c r="G12" s="12" t="n">
        <v>96</v>
      </c>
      <c r="H12" s="12" t="n">
        <v>92</v>
      </c>
      <c r="I12" s="12" t="n">
        <v>127</v>
      </c>
      <c r="J12" s="12" t="n">
        <v>35</v>
      </c>
      <c r="K12" s="12" t="n">
        <v>61</v>
      </c>
      <c r="L12" s="12" t="n">
        <v>126</v>
      </c>
      <c r="M12" s="12" t="n">
        <v>70</v>
      </c>
      <c r="N12" s="12" t="n">
        <v>137</v>
      </c>
      <c r="O12" s="12" t="n">
        <v>130</v>
      </c>
      <c r="P12" s="12" t="n">
        <v>78</v>
      </c>
      <c r="Q12" s="12" t="n">
        <v>100</v>
      </c>
      <c r="R12" s="12" t="n">
        <v>24</v>
      </c>
      <c r="S12" s="12" t="n">
        <v>60</v>
      </c>
      <c r="T12" s="12" t="n">
        <v>62</v>
      </c>
      <c r="U12" s="12" t="n">
        <v>47</v>
      </c>
      <c r="V12" s="12" t="n">
        <v>71</v>
      </c>
      <c r="W12" s="12" t="n">
        <v>40</v>
      </c>
      <c r="X12" s="12" t="n">
        <v>133</v>
      </c>
      <c r="Y12" s="12" t="n">
        <v>135</v>
      </c>
      <c r="Z12" s="12" t="n">
        <v>70</v>
      </c>
      <c r="AA12" s="12" t="n">
        <v>124</v>
      </c>
      <c r="AB12" s="12" t="n">
        <v>68</v>
      </c>
      <c r="AC12" s="12" t="n">
        <v>78</v>
      </c>
      <c r="AD12" s="12" t="n">
        <v>58</v>
      </c>
      <c r="AE12" s="12" t="n">
        <v>88</v>
      </c>
      <c r="AF12" s="12" t="n">
        <v>137</v>
      </c>
    </row>
    <row r="13">
      <c r="A13" s="20" t="n"/>
      <c r="B13" s="13" t="inlineStr">
        <is>
          <t>Equality between women and men</t>
        </is>
      </c>
      <c r="C13" s="14" t="n">
        <v>0.11</v>
      </c>
      <c r="D13" s="14" t="n">
        <v>0.17</v>
      </c>
      <c r="E13" s="14" t="n">
        <v>0.04</v>
      </c>
      <c r="F13" s="14" t="n">
        <v>0.09</v>
      </c>
      <c r="G13" s="14" t="n">
        <v>0.1</v>
      </c>
      <c r="H13" s="14" t="n">
        <v>0.08</v>
      </c>
      <c r="I13" s="14" t="n">
        <v>0.09</v>
      </c>
      <c r="J13" s="14" t="n">
        <v>0.13</v>
      </c>
      <c r="K13" s="14" t="n">
        <v>0.06</v>
      </c>
      <c r="L13" s="14" t="n">
        <v>0.13</v>
      </c>
      <c r="M13" s="14" t="n">
        <v>0.07000000000000001</v>
      </c>
      <c r="N13" s="14" t="n">
        <v>0.15</v>
      </c>
      <c r="O13" s="14" t="n">
        <v>0.14</v>
      </c>
      <c r="P13" s="14" t="n">
        <v>0.08</v>
      </c>
      <c r="Q13" s="14" t="n">
        <v>0.1</v>
      </c>
      <c r="R13" s="14" t="n">
        <v>0.05</v>
      </c>
      <c r="S13" s="14" t="n">
        <v>0.06</v>
      </c>
      <c r="T13" s="14" t="n">
        <v>0.06</v>
      </c>
      <c r="U13" s="14" t="n">
        <v>0.1</v>
      </c>
      <c r="V13" s="14" t="n">
        <v>0.07000000000000001</v>
      </c>
      <c r="W13" s="14" t="n">
        <v>0.08</v>
      </c>
      <c r="X13" s="14" t="n">
        <v>0.14</v>
      </c>
      <c r="Y13" s="14" t="n">
        <v>0.14</v>
      </c>
      <c r="Z13" s="14" t="n">
        <v>0.07000000000000001</v>
      </c>
      <c r="AA13" s="14" t="n">
        <v>0.13</v>
      </c>
      <c r="AB13" s="14" t="n">
        <v>0.07000000000000001</v>
      </c>
      <c r="AC13" s="14" t="n">
        <v>0.08</v>
      </c>
      <c r="AD13" s="14" t="n">
        <v>0.06</v>
      </c>
      <c r="AE13" s="14" t="n">
        <v>0.09</v>
      </c>
      <c r="AF13" s="14" t="n">
        <v>0.14</v>
      </c>
    </row>
    <row r="14">
      <c r="A14" s="20" t="n"/>
      <c r="B14" s="11" t="inlineStr">
        <is>
          <t>La lutte contre les discriminations et la protection des minorités</t>
        </is>
      </c>
      <c r="C14" s="12" t="n">
        <v>2011</v>
      </c>
      <c r="D14" s="12" t="n">
        <v>91</v>
      </c>
      <c r="E14" s="12" t="n">
        <v>51</v>
      </c>
      <c r="F14" s="12" t="n">
        <v>40</v>
      </c>
      <c r="G14" s="12" t="n">
        <v>57</v>
      </c>
      <c r="H14" s="12" t="n">
        <v>80</v>
      </c>
      <c r="I14" s="12" t="n">
        <v>97</v>
      </c>
      <c r="J14" s="12" t="n">
        <v>17</v>
      </c>
      <c r="K14" s="12" t="n">
        <v>63</v>
      </c>
      <c r="L14" s="12" t="n">
        <v>73</v>
      </c>
      <c r="M14" s="12" t="n">
        <v>98</v>
      </c>
      <c r="N14" s="12" t="n">
        <v>68</v>
      </c>
      <c r="O14" s="12" t="n">
        <v>101</v>
      </c>
      <c r="P14" s="12" t="n">
        <v>69</v>
      </c>
      <c r="Q14" s="12" t="n">
        <v>95</v>
      </c>
      <c r="R14" s="12" t="n">
        <v>27</v>
      </c>
      <c r="S14" s="12" t="n">
        <v>47</v>
      </c>
      <c r="T14" s="12" t="n">
        <v>46</v>
      </c>
      <c r="U14" s="12" t="n">
        <v>44</v>
      </c>
      <c r="V14" s="12" t="n">
        <v>85</v>
      </c>
      <c r="W14" s="12" t="n">
        <v>49</v>
      </c>
      <c r="X14" s="12" t="n">
        <v>75</v>
      </c>
      <c r="Y14" s="12" t="n">
        <v>92</v>
      </c>
      <c r="Z14" s="12" t="n">
        <v>65</v>
      </c>
      <c r="AA14" s="12" t="n">
        <v>85</v>
      </c>
      <c r="AB14" s="12" t="n">
        <v>65</v>
      </c>
      <c r="AC14" s="12" t="n">
        <v>56</v>
      </c>
      <c r="AD14" s="12" t="n">
        <v>58</v>
      </c>
      <c r="AE14" s="12" t="n">
        <v>85</v>
      </c>
      <c r="AF14" s="12" t="n">
        <v>77</v>
      </c>
    </row>
    <row r="15">
      <c r="A15" s="20" t="n"/>
      <c r="B15" s="13" t="inlineStr">
        <is>
          <t>Fighting discrimination and protecting minorities</t>
        </is>
      </c>
      <c r="C15" s="14" t="n">
        <v>0.08</v>
      </c>
      <c r="D15" s="14" t="n">
        <v>0.09</v>
      </c>
      <c r="E15" s="14" t="n">
        <v>0.05</v>
      </c>
      <c r="F15" s="14" t="n">
        <v>0.04</v>
      </c>
      <c r="G15" s="14" t="n">
        <v>0.06</v>
      </c>
      <c r="H15" s="14" t="n">
        <v>0.07000000000000001</v>
      </c>
      <c r="I15" s="14" t="n">
        <v>0.07000000000000001</v>
      </c>
      <c r="J15" s="14" t="n">
        <v>0.06</v>
      </c>
      <c r="K15" s="14" t="n">
        <v>0.07000000000000001</v>
      </c>
      <c r="L15" s="14" t="n">
        <v>0.08</v>
      </c>
      <c r="M15" s="14" t="n">
        <v>0.1</v>
      </c>
      <c r="N15" s="14" t="n">
        <v>0.07000000000000001</v>
      </c>
      <c r="O15" s="14" t="n">
        <v>0.11</v>
      </c>
      <c r="P15" s="14" t="n">
        <v>0.07000000000000001</v>
      </c>
      <c r="Q15" s="14" t="n">
        <v>0.1</v>
      </c>
      <c r="R15" s="14" t="n">
        <v>0.06</v>
      </c>
      <c r="S15" s="14" t="n">
        <v>0.05</v>
      </c>
      <c r="T15" s="14" t="n">
        <v>0.05</v>
      </c>
      <c r="U15" s="14" t="n">
        <v>0.09</v>
      </c>
      <c r="V15" s="14" t="n">
        <v>0.09</v>
      </c>
      <c r="W15" s="14" t="n">
        <v>0.1</v>
      </c>
      <c r="X15" s="14" t="n">
        <v>0.08</v>
      </c>
      <c r="Y15" s="14" t="n">
        <v>0.1</v>
      </c>
      <c r="Z15" s="14" t="n">
        <v>0.07000000000000001</v>
      </c>
      <c r="AA15" s="14" t="n">
        <v>0.09</v>
      </c>
      <c r="AB15" s="14" t="n">
        <v>0.07000000000000001</v>
      </c>
      <c r="AC15" s="14" t="n">
        <v>0.06</v>
      </c>
      <c r="AD15" s="14" t="n">
        <v>0.06</v>
      </c>
      <c r="AE15" s="14" t="n">
        <v>0.09</v>
      </c>
      <c r="AF15" s="14" t="n">
        <v>0.08</v>
      </c>
    </row>
    <row r="16">
      <c r="A16" s="20" t="n"/>
      <c r="B16" s="11" t="inlineStr">
        <is>
          <t>La tolérance et le respect de la diversité au sein de la société</t>
        </is>
      </c>
      <c r="C16" s="12" t="n">
        <v>2633</v>
      </c>
      <c r="D16" s="12" t="n">
        <v>91</v>
      </c>
      <c r="E16" s="12" t="n">
        <v>117</v>
      </c>
      <c r="F16" s="12" t="n">
        <v>66</v>
      </c>
      <c r="G16" s="12" t="n">
        <v>119</v>
      </c>
      <c r="H16" s="12" t="n">
        <v>109</v>
      </c>
      <c r="I16" s="12" t="n">
        <v>136</v>
      </c>
      <c r="J16" s="12" t="n">
        <v>27</v>
      </c>
      <c r="K16" s="12" t="n">
        <v>73</v>
      </c>
      <c r="L16" s="12" t="n">
        <v>69</v>
      </c>
      <c r="M16" s="12" t="n">
        <v>83</v>
      </c>
      <c r="N16" s="12" t="n">
        <v>126</v>
      </c>
      <c r="O16" s="12" t="n">
        <v>118</v>
      </c>
      <c r="P16" s="12" t="n">
        <v>117</v>
      </c>
      <c r="Q16" s="12" t="n">
        <v>96</v>
      </c>
      <c r="R16" s="12" t="n">
        <v>15</v>
      </c>
      <c r="S16" s="12" t="n">
        <v>56</v>
      </c>
      <c r="T16" s="12" t="n">
        <v>110</v>
      </c>
      <c r="U16" s="12" t="n">
        <v>60</v>
      </c>
      <c r="V16" s="12" t="n">
        <v>88</v>
      </c>
      <c r="W16" s="12" t="n">
        <v>63</v>
      </c>
      <c r="X16" s="12" t="n">
        <v>144</v>
      </c>
      <c r="Y16" s="12" t="n">
        <v>106</v>
      </c>
      <c r="Z16" s="12" t="n">
        <v>78</v>
      </c>
      <c r="AA16" s="12" t="n">
        <v>72</v>
      </c>
      <c r="AB16" s="12" t="n">
        <v>79</v>
      </c>
      <c r="AC16" s="12" t="n">
        <v>150</v>
      </c>
      <c r="AD16" s="12" t="n">
        <v>95</v>
      </c>
      <c r="AE16" s="12" t="n">
        <v>125</v>
      </c>
      <c r="AF16" s="12" t="n">
        <v>133</v>
      </c>
    </row>
    <row r="17">
      <c r="A17" s="20" t="n"/>
      <c r="B17" s="13" t="inlineStr">
        <is>
          <t>Tolerance and respect for diversity in society</t>
        </is>
      </c>
      <c r="C17" s="14" t="n">
        <v>0.11</v>
      </c>
      <c r="D17" s="14" t="n">
        <v>0.09</v>
      </c>
      <c r="E17" s="14" t="n">
        <v>0.12</v>
      </c>
      <c r="F17" s="14" t="n">
        <v>0.07000000000000001</v>
      </c>
      <c r="G17" s="14" t="n">
        <v>0.12</v>
      </c>
      <c r="H17" s="14" t="n">
        <v>0.1</v>
      </c>
      <c r="I17" s="14" t="n">
        <v>0.09</v>
      </c>
      <c r="J17" s="14" t="n">
        <v>0.09</v>
      </c>
      <c r="K17" s="14" t="n">
        <v>0.08</v>
      </c>
      <c r="L17" s="14" t="n">
        <v>0.07000000000000001</v>
      </c>
      <c r="M17" s="14" t="n">
        <v>0.08</v>
      </c>
      <c r="N17" s="14" t="n">
        <v>0.14</v>
      </c>
      <c r="O17" s="14" t="n">
        <v>0.13</v>
      </c>
      <c r="P17" s="14" t="n">
        <v>0.12</v>
      </c>
      <c r="Q17" s="14" t="n">
        <v>0.1</v>
      </c>
      <c r="R17" s="14" t="n">
        <v>0.03</v>
      </c>
      <c r="S17" s="14" t="n">
        <v>0.06</v>
      </c>
      <c r="T17" s="14" t="n">
        <v>0.11</v>
      </c>
      <c r="U17" s="14" t="n">
        <v>0.12</v>
      </c>
      <c r="V17" s="14" t="n">
        <v>0.09</v>
      </c>
      <c r="W17" s="14" t="n">
        <v>0.13</v>
      </c>
      <c r="X17" s="14" t="n">
        <v>0.15</v>
      </c>
      <c r="Y17" s="14" t="n">
        <v>0.11</v>
      </c>
      <c r="Z17" s="14" t="n">
        <v>0.08</v>
      </c>
      <c r="AA17" s="14" t="n">
        <v>0.07000000000000001</v>
      </c>
      <c r="AB17" s="14" t="n">
        <v>0.08</v>
      </c>
      <c r="AC17" s="14" t="n">
        <v>0.16</v>
      </c>
      <c r="AD17" s="14" t="n">
        <v>0.1</v>
      </c>
      <c r="AE17" s="14" t="n">
        <v>0.13</v>
      </c>
      <c r="AF17" s="14" t="n">
        <v>0.13</v>
      </c>
    </row>
    <row r="18">
      <c r="A18" s="20" t="n"/>
      <c r="B18" s="11" t="inlineStr">
        <is>
          <t>La solidarité entre États membres de l'UE et entre ses régions</t>
        </is>
      </c>
      <c r="C18" s="12" t="n">
        <v>3222</v>
      </c>
      <c r="D18" s="12" t="n">
        <v>114</v>
      </c>
      <c r="E18" s="12" t="n">
        <v>143</v>
      </c>
      <c r="F18" s="12" t="n">
        <v>127</v>
      </c>
      <c r="G18" s="12" t="n">
        <v>120</v>
      </c>
      <c r="H18" s="12" t="n">
        <v>138</v>
      </c>
      <c r="I18" s="12" t="n">
        <v>172</v>
      </c>
      <c r="J18" s="12" t="n">
        <v>35</v>
      </c>
      <c r="K18" s="12" t="n">
        <v>76</v>
      </c>
      <c r="L18" s="12" t="n">
        <v>95</v>
      </c>
      <c r="M18" s="12" t="n">
        <v>156</v>
      </c>
      <c r="N18" s="12" t="n">
        <v>113</v>
      </c>
      <c r="O18" s="12" t="n">
        <v>85</v>
      </c>
      <c r="P18" s="12" t="n">
        <v>162</v>
      </c>
      <c r="Q18" s="12" t="n">
        <v>183</v>
      </c>
      <c r="R18" s="12" t="n">
        <v>54</v>
      </c>
      <c r="S18" s="12" t="n">
        <v>95</v>
      </c>
      <c r="T18" s="12" t="n">
        <v>117</v>
      </c>
      <c r="U18" s="12" t="n">
        <v>54</v>
      </c>
      <c r="V18" s="12" t="n">
        <v>94</v>
      </c>
      <c r="W18" s="12" t="n">
        <v>42</v>
      </c>
      <c r="X18" s="12" t="n">
        <v>105</v>
      </c>
      <c r="Y18" s="12" t="n">
        <v>120</v>
      </c>
      <c r="Z18" s="12" t="n">
        <v>160</v>
      </c>
      <c r="AA18" s="12" t="n">
        <v>123</v>
      </c>
      <c r="AB18" s="12" t="n">
        <v>131</v>
      </c>
      <c r="AC18" s="12" t="n">
        <v>138</v>
      </c>
      <c r="AD18" s="12" t="n">
        <v>155</v>
      </c>
      <c r="AE18" s="12" t="n">
        <v>86</v>
      </c>
      <c r="AF18" s="12" t="n">
        <v>75</v>
      </c>
    </row>
    <row r="19">
      <c r="A19" s="20" t="n"/>
      <c r="B19" s="13" t="inlineStr">
        <is>
          <t>Solidarity between EU Member States and between its regions</t>
        </is>
      </c>
      <c r="C19" s="14" t="n">
        <v>0.13</v>
      </c>
      <c r="D19" s="14" t="n">
        <v>0.12</v>
      </c>
      <c r="E19" s="14" t="n">
        <v>0.15</v>
      </c>
      <c r="F19" s="14" t="n">
        <v>0.14</v>
      </c>
      <c r="G19" s="14" t="n">
        <v>0.13</v>
      </c>
      <c r="H19" s="14" t="n">
        <v>0.12</v>
      </c>
      <c r="I19" s="14" t="n">
        <v>0.12</v>
      </c>
      <c r="J19" s="14" t="n">
        <v>0.13</v>
      </c>
      <c r="K19" s="14" t="n">
        <v>0.08</v>
      </c>
      <c r="L19" s="14" t="n">
        <v>0.1</v>
      </c>
      <c r="M19" s="14" t="n">
        <v>0.17</v>
      </c>
      <c r="N19" s="14" t="n">
        <v>0.12</v>
      </c>
      <c r="O19" s="14" t="n">
        <v>0.09</v>
      </c>
      <c r="P19" s="14" t="n">
        <v>0.18</v>
      </c>
      <c r="Q19" s="14" t="n">
        <v>0.19</v>
      </c>
      <c r="R19" s="14" t="n">
        <v>0.11</v>
      </c>
      <c r="S19" s="14" t="n">
        <v>0.1</v>
      </c>
      <c r="T19" s="14" t="n">
        <v>0.12</v>
      </c>
      <c r="U19" s="14" t="n">
        <v>0.11</v>
      </c>
      <c r="V19" s="14" t="n">
        <v>0.1</v>
      </c>
      <c r="W19" s="14" t="n">
        <v>0.09</v>
      </c>
      <c r="X19" s="14" t="n">
        <v>0.11</v>
      </c>
      <c r="Y19" s="14" t="n">
        <v>0.13</v>
      </c>
      <c r="Z19" s="14" t="n">
        <v>0.17</v>
      </c>
      <c r="AA19" s="14" t="n">
        <v>0.13</v>
      </c>
      <c r="AB19" s="14" t="n">
        <v>0.14</v>
      </c>
      <c r="AC19" s="14" t="n">
        <v>0.14</v>
      </c>
      <c r="AD19" s="14" t="n">
        <v>0.17</v>
      </c>
      <c r="AE19" s="14" t="n">
        <v>0.09</v>
      </c>
      <c r="AF19" s="14" t="n">
        <v>0.08</v>
      </c>
    </row>
    <row r="20">
      <c r="A20" s="20" t="n"/>
      <c r="B20" s="11" t="inlineStr">
        <is>
          <t>La solidarité entre l’UE et les pays en développement dans le monde</t>
        </is>
      </c>
      <c r="C20" s="12" t="n">
        <v>1910</v>
      </c>
      <c r="D20" s="12" t="n">
        <v>76</v>
      </c>
      <c r="E20" s="12" t="n">
        <v>52</v>
      </c>
      <c r="F20" s="12" t="n">
        <v>61</v>
      </c>
      <c r="G20" s="12" t="n">
        <v>60</v>
      </c>
      <c r="H20" s="12" t="n">
        <v>71</v>
      </c>
      <c r="I20" s="12" t="n">
        <v>92</v>
      </c>
      <c r="J20" s="12" t="n">
        <v>22</v>
      </c>
      <c r="K20" s="12" t="n">
        <v>41</v>
      </c>
      <c r="L20" s="12" t="n">
        <v>72</v>
      </c>
      <c r="M20" s="12" t="n">
        <v>141</v>
      </c>
      <c r="N20" s="12" t="n">
        <v>71</v>
      </c>
      <c r="O20" s="12" t="n">
        <v>67</v>
      </c>
      <c r="P20" s="12" t="n">
        <v>102</v>
      </c>
      <c r="Q20" s="12" t="n">
        <v>96</v>
      </c>
      <c r="R20" s="12" t="n">
        <v>38</v>
      </c>
      <c r="S20" s="12" t="n">
        <v>42</v>
      </c>
      <c r="T20" s="12" t="n">
        <v>65</v>
      </c>
      <c r="U20" s="12" t="n">
        <v>42</v>
      </c>
      <c r="V20" s="12" t="n">
        <v>95</v>
      </c>
      <c r="W20" s="12" t="n">
        <v>35</v>
      </c>
      <c r="X20" s="12" t="n">
        <v>50</v>
      </c>
      <c r="Y20" s="12" t="n">
        <v>51</v>
      </c>
      <c r="Z20" s="12" t="n">
        <v>89</v>
      </c>
      <c r="AA20" s="12" t="n">
        <v>82</v>
      </c>
      <c r="AB20" s="12" t="n">
        <v>95</v>
      </c>
      <c r="AC20" s="12" t="n">
        <v>89</v>
      </c>
      <c r="AD20" s="12" t="n">
        <v>38</v>
      </c>
      <c r="AE20" s="12" t="n">
        <v>39</v>
      </c>
      <c r="AF20" s="12" t="n">
        <v>34</v>
      </c>
    </row>
    <row r="21">
      <c r="A21" s="20" t="n"/>
      <c r="B21" s="13" t="inlineStr">
        <is>
          <t>Solidarity between the EU and developing countries in the world</t>
        </is>
      </c>
      <c r="C21" s="14" t="n">
        <v>0.08</v>
      </c>
      <c r="D21" s="14" t="n">
        <v>0.08</v>
      </c>
      <c r="E21" s="14" t="n">
        <v>0.05</v>
      </c>
      <c r="F21" s="14" t="n">
        <v>0.06</v>
      </c>
      <c r="G21" s="14" t="n">
        <v>0.06</v>
      </c>
      <c r="H21" s="14" t="n">
        <v>0.06</v>
      </c>
      <c r="I21" s="14" t="n">
        <v>0.06</v>
      </c>
      <c r="J21" s="14" t="n">
        <v>0.08</v>
      </c>
      <c r="K21" s="14" t="n">
        <v>0.04</v>
      </c>
      <c r="L21" s="14" t="n">
        <v>0.08</v>
      </c>
      <c r="M21" s="14" t="n">
        <v>0.15</v>
      </c>
      <c r="N21" s="14" t="n">
        <v>0.08</v>
      </c>
      <c r="O21" s="14" t="n">
        <v>0.07000000000000001</v>
      </c>
      <c r="P21" s="14" t="n">
        <v>0.11</v>
      </c>
      <c r="Q21" s="14" t="n">
        <v>0.1</v>
      </c>
      <c r="R21" s="14" t="n">
        <v>0.08</v>
      </c>
      <c r="S21" s="14" t="n">
        <v>0.04</v>
      </c>
      <c r="T21" s="14" t="n">
        <v>0.07000000000000001</v>
      </c>
      <c r="U21" s="14" t="n">
        <v>0.09</v>
      </c>
      <c r="V21" s="14" t="n">
        <v>0.1</v>
      </c>
      <c r="W21" s="14" t="n">
        <v>0.07000000000000001</v>
      </c>
      <c r="X21" s="14" t="n">
        <v>0.05</v>
      </c>
      <c r="Y21" s="14" t="n">
        <v>0.05</v>
      </c>
      <c r="Z21" s="14" t="n">
        <v>0.09</v>
      </c>
      <c r="AA21" s="14" t="n">
        <v>0.08</v>
      </c>
      <c r="AB21" s="14" t="n">
        <v>0.1</v>
      </c>
      <c r="AC21" s="14" t="n">
        <v>0.09</v>
      </c>
      <c r="AD21" s="14" t="n">
        <v>0.04</v>
      </c>
      <c r="AE21" s="14" t="n">
        <v>0.04</v>
      </c>
      <c r="AF21" s="14" t="n">
        <v>0.03</v>
      </c>
    </row>
    <row r="22">
      <c r="A22" s="20" t="n"/>
      <c r="B22" s="11" t="inlineStr">
        <is>
          <t>La protection des droits de l'homme dans l'UE et dans le monde</t>
        </is>
      </c>
      <c r="C22" s="12" t="n">
        <v>3570</v>
      </c>
      <c r="D22" s="12" t="n">
        <v>145</v>
      </c>
      <c r="E22" s="12" t="n">
        <v>135</v>
      </c>
      <c r="F22" s="12" t="n">
        <v>162</v>
      </c>
      <c r="G22" s="12" t="n">
        <v>175</v>
      </c>
      <c r="H22" s="12" t="n">
        <v>133</v>
      </c>
      <c r="I22" s="12" t="n">
        <v>177</v>
      </c>
      <c r="J22" s="12" t="n">
        <v>44</v>
      </c>
      <c r="K22" s="12" t="n">
        <v>139</v>
      </c>
      <c r="L22" s="12" t="n">
        <v>130</v>
      </c>
      <c r="M22" s="12" t="n">
        <v>167</v>
      </c>
      <c r="N22" s="12" t="n">
        <v>138</v>
      </c>
      <c r="O22" s="12" t="n">
        <v>123</v>
      </c>
      <c r="P22" s="12" t="n">
        <v>151</v>
      </c>
      <c r="Q22" s="12" t="n">
        <v>133</v>
      </c>
      <c r="R22" s="12" t="n">
        <v>88</v>
      </c>
      <c r="S22" s="12" t="n">
        <v>181</v>
      </c>
      <c r="T22" s="12" t="n">
        <v>175</v>
      </c>
      <c r="U22" s="12" t="n">
        <v>82</v>
      </c>
      <c r="V22" s="12" t="n">
        <v>151</v>
      </c>
      <c r="W22" s="12" t="n">
        <v>82</v>
      </c>
      <c r="X22" s="12" t="n">
        <v>161</v>
      </c>
      <c r="Y22" s="12" t="n">
        <v>160</v>
      </c>
      <c r="Z22" s="12" t="n">
        <v>105</v>
      </c>
      <c r="AA22" s="12" t="n">
        <v>210</v>
      </c>
      <c r="AB22" s="12" t="n">
        <v>139</v>
      </c>
      <c r="AC22" s="12" t="n">
        <v>146</v>
      </c>
      <c r="AD22" s="12" t="n">
        <v>174</v>
      </c>
      <c r="AE22" s="12" t="n">
        <v>142</v>
      </c>
      <c r="AF22" s="12" t="n">
        <v>248</v>
      </c>
    </row>
    <row r="23">
      <c r="A23" s="20" t="n"/>
      <c r="B23" s="13" t="inlineStr">
        <is>
          <t>The protection of human rights in the EU and worldwide</t>
        </is>
      </c>
      <c r="C23" s="14" t="n">
        <v>0.15</v>
      </c>
      <c r="D23" s="14" t="n">
        <v>0.16</v>
      </c>
      <c r="E23" s="14" t="n">
        <v>0.15</v>
      </c>
      <c r="F23" s="14" t="n">
        <v>0.18</v>
      </c>
      <c r="G23" s="14" t="n">
        <v>0.2</v>
      </c>
      <c r="H23" s="14" t="n">
        <v>0.12</v>
      </c>
      <c r="I23" s="14" t="n">
        <v>0.13</v>
      </c>
      <c r="J23" s="14" t="n">
        <v>0.16</v>
      </c>
      <c r="K23" s="14" t="n">
        <v>0.15</v>
      </c>
      <c r="L23" s="14" t="n">
        <v>0.15</v>
      </c>
      <c r="M23" s="14" t="n">
        <v>0.18</v>
      </c>
      <c r="N23" s="14" t="n">
        <v>0.16</v>
      </c>
      <c r="O23" s="14" t="n">
        <v>0.13</v>
      </c>
      <c r="P23" s="14" t="n">
        <v>0.16</v>
      </c>
      <c r="Q23" s="14" t="n">
        <v>0.14</v>
      </c>
      <c r="R23" s="14" t="n">
        <v>0.2</v>
      </c>
      <c r="S23" s="14" t="n">
        <v>0.21</v>
      </c>
      <c r="T23" s="14" t="n">
        <v>0.2</v>
      </c>
      <c r="U23" s="14" t="n">
        <v>0.18</v>
      </c>
      <c r="V23" s="14" t="n">
        <v>0.16</v>
      </c>
      <c r="W23" s="14" t="n">
        <v>0.17</v>
      </c>
      <c r="X23" s="14" t="n">
        <v>0.18</v>
      </c>
      <c r="Y23" s="14" t="n">
        <v>0.18</v>
      </c>
      <c r="Z23" s="14" t="n">
        <v>0.11</v>
      </c>
      <c r="AA23" s="14" t="n">
        <v>0.23</v>
      </c>
      <c r="AB23" s="14" t="n">
        <v>0.15</v>
      </c>
      <c r="AC23" s="14" t="n">
        <v>0.16</v>
      </c>
      <c r="AD23" s="14" t="n">
        <v>0.19</v>
      </c>
      <c r="AE23" s="14" t="n">
        <v>0.16</v>
      </c>
      <c r="AF23" s="14" t="n">
        <v>0.28</v>
      </c>
    </row>
    <row r="24">
      <c r="A24" s="20" t="n"/>
      <c r="B24" s="11" t="inlineStr">
        <is>
          <t>La liberté de religion et de croyance</t>
        </is>
      </c>
      <c r="C24" s="12" t="n">
        <v>1116</v>
      </c>
      <c r="D24" s="12" t="n">
        <v>48</v>
      </c>
      <c r="E24" s="12" t="n">
        <v>51</v>
      </c>
      <c r="F24" s="12" t="n">
        <v>18</v>
      </c>
      <c r="G24" s="12" t="n">
        <v>36</v>
      </c>
      <c r="H24" s="12" t="n">
        <v>30</v>
      </c>
      <c r="I24" s="12" t="n">
        <v>36</v>
      </c>
      <c r="J24" s="12" t="n">
        <v>6</v>
      </c>
      <c r="K24" s="12" t="n">
        <v>87</v>
      </c>
      <c r="L24" s="12" t="n">
        <v>65</v>
      </c>
      <c r="M24" s="12" t="n">
        <v>42</v>
      </c>
      <c r="N24" s="12" t="n">
        <v>32</v>
      </c>
      <c r="O24" s="12" t="n">
        <v>42</v>
      </c>
      <c r="P24" s="12" t="n">
        <v>79</v>
      </c>
      <c r="Q24" s="12" t="n">
        <v>44</v>
      </c>
      <c r="R24" s="12" t="n">
        <v>32</v>
      </c>
      <c r="S24" s="12" t="n">
        <v>32</v>
      </c>
      <c r="T24" s="12" t="n">
        <v>27</v>
      </c>
      <c r="U24" s="12" t="n">
        <v>26</v>
      </c>
      <c r="V24" s="12" t="n">
        <v>52</v>
      </c>
      <c r="W24" s="12" t="n">
        <v>49</v>
      </c>
      <c r="X24" s="12" t="n">
        <v>43</v>
      </c>
      <c r="Y24" s="12" t="n">
        <v>63</v>
      </c>
      <c r="Z24" s="12" t="n">
        <v>72</v>
      </c>
      <c r="AA24" s="12" t="n">
        <v>29</v>
      </c>
      <c r="AB24" s="12" t="n">
        <v>91</v>
      </c>
      <c r="AC24" s="12" t="n">
        <v>41</v>
      </c>
      <c r="AD24" s="12" t="n">
        <v>55</v>
      </c>
      <c r="AE24" s="12" t="n">
        <v>46</v>
      </c>
      <c r="AF24" s="12" t="n">
        <v>35</v>
      </c>
    </row>
    <row r="25">
      <c r="A25" s="20" t="n"/>
      <c r="B25" s="13" t="inlineStr">
        <is>
          <t>Freedom of religion and belief</t>
        </is>
      </c>
      <c r="C25" s="14" t="n">
        <v>0.04</v>
      </c>
      <c r="D25" s="14" t="n">
        <v>0.05</v>
      </c>
      <c r="E25" s="14" t="n">
        <v>0.05</v>
      </c>
      <c r="F25" s="14" t="n">
        <v>0.02</v>
      </c>
      <c r="G25" s="14" t="n">
        <v>0.04</v>
      </c>
      <c r="H25" s="14" t="n">
        <v>0.03</v>
      </c>
      <c r="I25" s="14" t="n">
        <v>0.02</v>
      </c>
      <c r="J25" s="14" t="n">
        <v>0.02</v>
      </c>
      <c r="K25" s="14" t="n">
        <v>0.09</v>
      </c>
      <c r="L25" s="14" t="n">
        <v>0.07000000000000001</v>
      </c>
      <c r="M25" s="14" t="n">
        <v>0.04</v>
      </c>
      <c r="N25" s="14" t="n">
        <v>0.03</v>
      </c>
      <c r="O25" s="14" t="n">
        <v>0.04</v>
      </c>
      <c r="P25" s="14" t="n">
        <v>0.08</v>
      </c>
      <c r="Q25" s="14" t="n">
        <v>0.04</v>
      </c>
      <c r="R25" s="14" t="n">
        <v>0.07000000000000001</v>
      </c>
      <c r="S25" s="14" t="n">
        <v>0.03</v>
      </c>
      <c r="T25" s="14" t="n">
        <v>0.03</v>
      </c>
      <c r="U25" s="14" t="n">
        <v>0.05</v>
      </c>
      <c r="V25" s="14" t="n">
        <v>0.05</v>
      </c>
      <c r="W25" s="14" t="n">
        <v>0.1</v>
      </c>
      <c r="X25" s="14" t="n">
        <v>0.04</v>
      </c>
      <c r="Y25" s="14" t="n">
        <v>0.06</v>
      </c>
      <c r="Z25" s="14" t="n">
        <v>0.07000000000000001</v>
      </c>
      <c r="AA25" s="14" t="n">
        <v>0.03</v>
      </c>
      <c r="AB25" s="14" t="n">
        <v>0.09</v>
      </c>
      <c r="AC25" s="14" t="n">
        <v>0.04</v>
      </c>
      <c r="AD25" s="14" t="n">
        <v>0.06</v>
      </c>
      <c r="AE25" s="14" t="n">
        <v>0.05</v>
      </c>
      <c r="AF25" s="14" t="n">
        <v>0.03</v>
      </c>
    </row>
    <row r="26">
      <c r="A26" s="20" t="n"/>
      <c r="B26" s="11" t="inlineStr">
        <is>
          <t>La libre circulation</t>
        </is>
      </c>
      <c r="C26" s="12" t="n">
        <v>2925</v>
      </c>
      <c r="D26" s="12" t="n">
        <v>74</v>
      </c>
      <c r="E26" s="12" t="n">
        <v>213</v>
      </c>
      <c r="F26" s="12" t="n">
        <v>191</v>
      </c>
      <c r="G26" s="12" t="n">
        <v>88</v>
      </c>
      <c r="H26" s="12" t="n">
        <v>93</v>
      </c>
      <c r="I26" s="12" t="n">
        <v>118</v>
      </c>
      <c r="J26" s="12" t="n">
        <v>25</v>
      </c>
      <c r="K26" s="12" t="n">
        <v>202</v>
      </c>
      <c r="L26" s="12" t="n">
        <v>129</v>
      </c>
      <c r="M26" s="12" t="n">
        <v>57</v>
      </c>
      <c r="N26" s="12" t="n">
        <v>99</v>
      </c>
      <c r="O26" s="12" t="n">
        <v>89</v>
      </c>
      <c r="P26" s="12" t="n">
        <v>183</v>
      </c>
      <c r="Q26" s="12" t="n">
        <v>154</v>
      </c>
      <c r="R26" s="12" t="n">
        <v>31</v>
      </c>
      <c r="S26" s="12" t="n">
        <v>109</v>
      </c>
      <c r="T26" s="12" t="n">
        <v>173</v>
      </c>
      <c r="U26" s="12" t="n">
        <v>73</v>
      </c>
      <c r="V26" s="12" t="n">
        <v>160</v>
      </c>
      <c r="W26" s="12" t="n">
        <v>49</v>
      </c>
      <c r="X26" s="12" t="n">
        <v>63</v>
      </c>
      <c r="Y26" s="12" t="n">
        <v>85</v>
      </c>
      <c r="Z26" s="12" t="n">
        <v>181</v>
      </c>
      <c r="AA26" s="12" t="n">
        <v>49</v>
      </c>
      <c r="AB26" s="12" t="n">
        <v>160</v>
      </c>
      <c r="AC26" s="12" t="n">
        <v>128</v>
      </c>
      <c r="AD26" s="12" t="n">
        <v>147</v>
      </c>
      <c r="AE26" s="12" t="n">
        <v>117</v>
      </c>
      <c r="AF26" s="12" t="n">
        <v>67</v>
      </c>
    </row>
    <row r="27">
      <c r="A27" s="20" t="n"/>
      <c r="B27" s="13" t="inlineStr">
        <is>
          <t>Freedom of movement</t>
        </is>
      </c>
      <c r="C27" s="14" t="n">
        <v>0.12</v>
      </c>
      <c r="D27" s="14" t="n">
        <v>0.08</v>
      </c>
      <c r="E27" s="14" t="n">
        <v>0.24</v>
      </c>
      <c r="F27" s="14" t="n">
        <v>0.2</v>
      </c>
      <c r="G27" s="14" t="n">
        <v>0.09</v>
      </c>
      <c r="H27" s="14" t="n">
        <v>0.08</v>
      </c>
      <c r="I27" s="14" t="n">
        <v>0.08</v>
      </c>
      <c r="J27" s="14" t="n">
        <v>0.09</v>
      </c>
      <c r="K27" s="14" t="n">
        <v>0.22</v>
      </c>
      <c r="L27" s="14" t="n">
        <v>0.14</v>
      </c>
      <c r="M27" s="14" t="n">
        <v>0.06</v>
      </c>
      <c r="N27" s="14" t="n">
        <v>0.1</v>
      </c>
      <c r="O27" s="14" t="n">
        <v>0.09</v>
      </c>
      <c r="P27" s="14" t="n">
        <v>0.19</v>
      </c>
      <c r="Q27" s="14" t="n">
        <v>0.16</v>
      </c>
      <c r="R27" s="14" t="n">
        <v>0.06</v>
      </c>
      <c r="S27" s="14" t="n">
        <v>0.11</v>
      </c>
      <c r="T27" s="14" t="n">
        <v>0.18</v>
      </c>
      <c r="U27" s="14" t="n">
        <v>0.15</v>
      </c>
      <c r="V27" s="14" t="n">
        <v>0.17</v>
      </c>
      <c r="W27" s="14" t="n">
        <v>0.1</v>
      </c>
      <c r="X27" s="14" t="n">
        <v>0.06</v>
      </c>
      <c r="Y27" s="14" t="n">
        <v>0.09</v>
      </c>
      <c r="Z27" s="14" t="n">
        <v>0.2</v>
      </c>
      <c r="AA27" s="14" t="n">
        <v>0.05</v>
      </c>
      <c r="AB27" s="14" t="n">
        <v>0.17</v>
      </c>
      <c r="AC27" s="14" t="n">
        <v>0.13</v>
      </c>
      <c r="AD27" s="14" t="n">
        <v>0.16</v>
      </c>
      <c r="AE27" s="14" t="n">
        <v>0.12</v>
      </c>
      <c r="AF27" s="14" t="n">
        <v>0.07000000000000001</v>
      </c>
    </row>
    <row r="28">
      <c r="A28" s="20" t="n"/>
      <c r="B28" s="11" t="inlineStr">
        <is>
          <t>La liberté d'expression et de pensée</t>
        </is>
      </c>
      <c r="C28" s="12" t="n">
        <v>4187</v>
      </c>
      <c r="D28" s="12" t="n">
        <v>157</v>
      </c>
      <c r="E28" s="12" t="n">
        <v>110</v>
      </c>
      <c r="F28" s="12" t="n">
        <v>200</v>
      </c>
      <c r="G28" s="12" t="n">
        <v>206</v>
      </c>
      <c r="H28" s="12" t="n">
        <v>242</v>
      </c>
      <c r="I28" s="12" t="n">
        <v>309</v>
      </c>
      <c r="J28" s="12" t="n">
        <v>67</v>
      </c>
      <c r="K28" s="12" t="n">
        <v>162</v>
      </c>
      <c r="L28" s="12" t="n">
        <v>157</v>
      </c>
      <c r="M28" s="12" t="n">
        <v>105</v>
      </c>
      <c r="N28" s="12" t="n">
        <v>113</v>
      </c>
      <c r="O28" s="12" t="n">
        <v>162</v>
      </c>
      <c r="P28" s="12" t="n">
        <v>157</v>
      </c>
      <c r="Q28" s="12" t="n">
        <v>165</v>
      </c>
      <c r="R28" s="12" t="n">
        <v>79</v>
      </c>
      <c r="S28" s="12" t="n">
        <v>196</v>
      </c>
      <c r="T28" s="12" t="n">
        <v>220</v>
      </c>
      <c r="U28" s="12" t="n">
        <v>88</v>
      </c>
      <c r="V28" s="12" t="n">
        <v>149</v>
      </c>
      <c r="W28" s="12" t="n">
        <v>54</v>
      </c>
      <c r="X28" s="12" t="n">
        <v>179</v>
      </c>
      <c r="Y28" s="12" t="n">
        <v>230</v>
      </c>
      <c r="Z28" s="12" t="n">
        <v>95</v>
      </c>
      <c r="AA28" s="12" t="n">
        <v>86</v>
      </c>
      <c r="AB28" s="12" t="n">
        <v>151</v>
      </c>
      <c r="AC28" s="12" t="n">
        <v>138</v>
      </c>
      <c r="AD28" s="12" t="n">
        <v>146</v>
      </c>
      <c r="AE28" s="12" t="n">
        <v>172</v>
      </c>
      <c r="AF28" s="12" t="n">
        <v>266</v>
      </c>
    </row>
    <row r="29">
      <c r="A29" s="20" t="n"/>
      <c r="B29" s="13" t="inlineStr">
        <is>
          <t>Freedom of speech and thought</t>
        </is>
      </c>
      <c r="C29" s="14" t="n">
        <v>0.17</v>
      </c>
      <c r="D29" s="14" t="n">
        <v>0.16</v>
      </c>
      <c r="E29" s="14" t="n">
        <v>0.12</v>
      </c>
      <c r="F29" s="14" t="n">
        <v>0.22</v>
      </c>
      <c r="G29" s="14" t="n">
        <v>0.22</v>
      </c>
      <c r="H29" s="14" t="n">
        <v>0.21</v>
      </c>
      <c r="I29" s="14" t="n">
        <v>0.22</v>
      </c>
      <c r="J29" s="14" t="n">
        <v>0.25</v>
      </c>
      <c r="K29" s="14" t="n">
        <v>0.18</v>
      </c>
      <c r="L29" s="14" t="n">
        <v>0.17</v>
      </c>
      <c r="M29" s="14" t="n">
        <v>0.11</v>
      </c>
      <c r="N29" s="14" t="n">
        <v>0.12</v>
      </c>
      <c r="O29" s="14" t="n">
        <v>0.18</v>
      </c>
      <c r="P29" s="14" t="n">
        <v>0.17</v>
      </c>
      <c r="Q29" s="14" t="n">
        <v>0.17</v>
      </c>
      <c r="R29" s="14" t="n">
        <v>0.17</v>
      </c>
      <c r="S29" s="14" t="n">
        <v>0.22</v>
      </c>
      <c r="T29" s="14" t="n">
        <v>0.24</v>
      </c>
      <c r="U29" s="14" t="n">
        <v>0.18</v>
      </c>
      <c r="V29" s="14" t="n">
        <v>0.15</v>
      </c>
      <c r="W29" s="14" t="n">
        <v>0.11</v>
      </c>
      <c r="X29" s="14" t="n">
        <v>0.19</v>
      </c>
      <c r="Y29" s="14" t="n">
        <v>0.25</v>
      </c>
      <c r="Z29" s="14" t="n">
        <v>0.1</v>
      </c>
      <c r="AA29" s="14" t="n">
        <v>0.09</v>
      </c>
      <c r="AB29" s="14" t="n">
        <v>0.16</v>
      </c>
      <c r="AC29" s="14" t="n">
        <v>0.15</v>
      </c>
      <c r="AD29" s="14" t="n">
        <v>0.16</v>
      </c>
      <c r="AE29" s="14" t="n">
        <v>0.18</v>
      </c>
      <c r="AF29" s="14" t="n">
        <v>0.29</v>
      </c>
    </row>
    <row r="30">
      <c r="A30" s="20" t="n"/>
      <c r="B30" s="11" t="inlineStr">
        <is>
          <t>La dignité humaine, y compris l'interdiction de la peine de mort, de la torture et de l'esclavage</t>
        </is>
      </c>
      <c r="C30" s="12" t="n">
        <v>2489</v>
      </c>
      <c r="D30" s="12" t="n">
        <v>103</v>
      </c>
      <c r="E30" s="12" t="n">
        <v>85</v>
      </c>
      <c r="F30" s="12" t="n">
        <v>84</v>
      </c>
      <c r="G30" s="12" t="n">
        <v>107</v>
      </c>
      <c r="H30" s="12" t="n">
        <v>94</v>
      </c>
      <c r="I30" s="12" t="n">
        <v>122</v>
      </c>
      <c r="J30" s="12" t="n">
        <v>27</v>
      </c>
      <c r="K30" s="12" t="n">
        <v>73</v>
      </c>
      <c r="L30" s="12" t="n">
        <v>91</v>
      </c>
      <c r="M30" s="12" t="n">
        <v>167</v>
      </c>
      <c r="N30" s="12" t="n">
        <v>99</v>
      </c>
      <c r="O30" s="12" t="n">
        <v>96</v>
      </c>
      <c r="P30" s="12" t="n">
        <v>129</v>
      </c>
      <c r="Q30" s="12" t="n">
        <v>102</v>
      </c>
      <c r="R30" s="12" t="n">
        <v>66</v>
      </c>
      <c r="S30" s="12" t="n">
        <v>45</v>
      </c>
      <c r="T30" s="12" t="n">
        <v>59</v>
      </c>
      <c r="U30" s="12" t="n">
        <v>42</v>
      </c>
      <c r="V30" s="12" t="n">
        <v>75</v>
      </c>
      <c r="W30" s="12" t="n">
        <v>30</v>
      </c>
      <c r="X30" s="12" t="n">
        <v>106</v>
      </c>
      <c r="Y30" s="12" t="n">
        <v>97</v>
      </c>
      <c r="Z30" s="12" t="n">
        <v>91</v>
      </c>
      <c r="AA30" s="12" t="n">
        <v>112</v>
      </c>
      <c r="AB30" s="12" t="n">
        <v>64</v>
      </c>
      <c r="AC30" s="12" t="n">
        <v>94</v>
      </c>
      <c r="AD30" s="12" t="n">
        <v>127</v>
      </c>
      <c r="AE30" s="12" t="n">
        <v>121</v>
      </c>
      <c r="AF30" s="12" t="n">
        <v>136</v>
      </c>
    </row>
    <row r="31">
      <c r="A31" s="20" t="n"/>
      <c r="B31" s="13" t="inlineStr">
        <is>
          <t>Human dignity, including the prohibition of the death penalty, torture or slavery</t>
        </is>
      </c>
      <c r="C31" s="14" t="n">
        <v>0.1</v>
      </c>
      <c r="D31" s="14" t="n">
        <v>0.11</v>
      </c>
      <c r="E31" s="14" t="n">
        <v>0.09</v>
      </c>
      <c r="F31" s="14" t="n">
        <v>0.09</v>
      </c>
      <c r="G31" s="14" t="n">
        <v>0.11</v>
      </c>
      <c r="H31" s="14" t="n">
        <v>0.08</v>
      </c>
      <c r="I31" s="14" t="n">
        <v>0.09</v>
      </c>
      <c r="J31" s="14" t="n">
        <v>0.1</v>
      </c>
      <c r="K31" s="14" t="n">
        <v>0.08</v>
      </c>
      <c r="L31" s="14" t="n">
        <v>0.1</v>
      </c>
      <c r="M31" s="14" t="n">
        <v>0.18</v>
      </c>
      <c r="N31" s="14" t="n">
        <v>0.11</v>
      </c>
      <c r="O31" s="14" t="n">
        <v>0.1</v>
      </c>
      <c r="P31" s="14" t="n">
        <v>0.14</v>
      </c>
      <c r="Q31" s="14" t="n">
        <v>0.11</v>
      </c>
      <c r="R31" s="14" t="n">
        <v>0.14</v>
      </c>
      <c r="S31" s="14" t="n">
        <v>0.05</v>
      </c>
      <c r="T31" s="14" t="n">
        <v>0.06</v>
      </c>
      <c r="U31" s="14" t="n">
        <v>0.09</v>
      </c>
      <c r="V31" s="14" t="n">
        <v>0.08</v>
      </c>
      <c r="W31" s="14" t="n">
        <v>0.06</v>
      </c>
      <c r="X31" s="14" t="n">
        <v>0.11</v>
      </c>
      <c r="Y31" s="14" t="n">
        <v>0.1</v>
      </c>
      <c r="Z31" s="14" t="n">
        <v>0.1</v>
      </c>
      <c r="AA31" s="14" t="n">
        <v>0.11</v>
      </c>
      <c r="AB31" s="14" t="n">
        <v>0.07000000000000001</v>
      </c>
      <c r="AC31" s="14" t="n">
        <v>0.1</v>
      </c>
      <c r="AD31" s="14" t="n">
        <v>0.13</v>
      </c>
      <c r="AE31" s="14" t="n">
        <v>0.13</v>
      </c>
      <c r="AF31" s="14" t="n">
        <v>0.14</v>
      </c>
    </row>
    <row r="32">
      <c r="A32" s="20" t="n"/>
      <c r="B32" s="11" t="inlineStr">
        <is>
          <t>La démocratie</t>
        </is>
      </c>
      <c r="C32" s="12" t="n">
        <v>5314</v>
      </c>
      <c r="D32" s="12" t="n">
        <v>215</v>
      </c>
      <c r="E32" s="12" t="n">
        <v>161</v>
      </c>
      <c r="F32" s="12" t="n">
        <v>181</v>
      </c>
      <c r="G32" s="12" t="n">
        <v>243</v>
      </c>
      <c r="H32" s="12" t="n">
        <v>332</v>
      </c>
      <c r="I32" s="12" t="n">
        <v>393</v>
      </c>
      <c r="J32" s="12" t="n">
        <v>61</v>
      </c>
      <c r="K32" s="12" t="n">
        <v>112</v>
      </c>
      <c r="L32" s="12" t="n">
        <v>172</v>
      </c>
      <c r="M32" s="12" t="n">
        <v>227</v>
      </c>
      <c r="N32" s="12" t="n">
        <v>155</v>
      </c>
      <c r="O32" s="12" t="n">
        <v>189</v>
      </c>
      <c r="P32" s="12" t="n">
        <v>124</v>
      </c>
      <c r="Q32" s="12" t="n">
        <v>223</v>
      </c>
      <c r="R32" s="12" t="n">
        <v>97</v>
      </c>
      <c r="S32" s="12" t="n">
        <v>156</v>
      </c>
      <c r="T32" s="12" t="n">
        <v>137</v>
      </c>
      <c r="U32" s="12" t="n">
        <v>102</v>
      </c>
      <c r="V32" s="12" t="n">
        <v>237</v>
      </c>
      <c r="W32" s="12" t="n">
        <v>90</v>
      </c>
      <c r="X32" s="12" t="n">
        <v>218</v>
      </c>
      <c r="Y32" s="12" t="n">
        <v>190</v>
      </c>
      <c r="Z32" s="12" t="n">
        <v>135</v>
      </c>
      <c r="AA32" s="12" t="n">
        <v>221</v>
      </c>
      <c r="AB32" s="12" t="n">
        <v>175</v>
      </c>
      <c r="AC32" s="12" t="n">
        <v>167</v>
      </c>
      <c r="AD32" s="12" t="n">
        <v>148</v>
      </c>
      <c r="AE32" s="12" t="n">
        <v>250</v>
      </c>
      <c r="AF32" s="12" t="n">
        <v>294</v>
      </c>
    </row>
    <row r="33">
      <c r="A33" s="20" t="n"/>
      <c r="B33" s="13" t="inlineStr">
        <is>
          <t>Democracy</t>
        </is>
      </c>
      <c r="C33" s="14" t="n">
        <v>0.23</v>
      </c>
      <c r="D33" s="14" t="n">
        <v>0.24</v>
      </c>
      <c r="E33" s="14" t="n">
        <v>0.17</v>
      </c>
      <c r="F33" s="14" t="n">
        <v>0.2</v>
      </c>
      <c r="G33" s="14" t="n">
        <v>0.3</v>
      </c>
      <c r="H33" s="14" t="n">
        <v>0.36</v>
      </c>
      <c r="I33" s="14" t="n">
        <v>0.34</v>
      </c>
      <c r="J33" s="14" t="n">
        <v>0.24</v>
      </c>
      <c r="K33" s="14" t="n">
        <v>0.12</v>
      </c>
      <c r="L33" s="14" t="n">
        <v>0.2</v>
      </c>
      <c r="M33" s="14" t="n">
        <v>0.24</v>
      </c>
      <c r="N33" s="14" t="n">
        <v>0.18</v>
      </c>
      <c r="O33" s="14" t="n">
        <v>0.21</v>
      </c>
      <c r="P33" s="14" t="n">
        <v>0.13</v>
      </c>
      <c r="Q33" s="14" t="n">
        <v>0.24</v>
      </c>
      <c r="R33" s="14" t="n">
        <v>0.22</v>
      </c>
      <c r="S33" s="14" t="n">
        <v>0.17</v>
      </c>
      <c r="T33" s="14" t="n">
        <v>0.14</v>
      </c>
      <c r="U33" s="14" t="n">
        <v>0.24</v>
      </c>
      <c r="V33" s="14" t="n">
        <v>0.26</v>
      </c>
      <c r="W33" s="14" t="n">
        <v>0.2</v>
      </c>
      <c r="X33" s="14" t="n">
        <v>0.25</v>
      </c>
      <c r="Y33" s="14" t="n">
        <v>0.21</v>
      </c>
      <c r="Z33" s="14" t="n">
        <v>0.14</v>
      </c>
      <c r="AA33" s="14" t="n">
        <v>0.24</v>
      </c>
      <c r="AB33" s="14" t="n">
        <v>0.19</v>
      </c>
      <c r="AC33" s="14" t="n">
        <v>0.18</v>
      </c>
      <c r="AD33" s="14" t="n">
        <v>0.16</v>
      </c>
      <c r="AE33" s="14" t="n">
        <v>0.29</v>
      </c>
      <c r="AF33" s="14" t="n">
        <v>0.37</v>
      </c>
    </row>
    <row r="34">
      <c r="A34" s="20" t="n"/>
      <c r="B34" s="11" t="inlineStr">
        <is>
          <t>L'État de droit</t>
        </is>
      </c>
      <c r="C34" s="12" t="n">
        <v>3768</v>
      </c>
      <c r="D34" s="12" t="n">
        <v>131</v>
      </c>
      <c r="E34" s="12" t="n">
        <v>180</v>
      </c>
      <c r="F34" s="12" t="n">
        <v>109</v>
      </c>
      <c r="G34" s="12" t="n">
        <v>153</v>
      </c>
      <c r="H34" s="12" t="n">
        <v>243</v>
      </c>
      <c r="I34" s="12" t="n">
        <v>302</v>
      </c>
      <c r="J34" s="12" t="n">
        <v>59</v>
      </c>
      <c r="K34" s="12" t="n">
        <v>122</v>
      </c>
      <c r="L34" s="12" t="n">
        <v>144</v>
      </c>
      <c r="M34" s="12" t="n">
        <v>231</v>
      </c>
      <c r="N34" s="12" t="n">
        <v>127</v>
      </c>
      <c r="O34" s="12" t="n">
        <v>107</v>
      </c>
      <c r="P34" s="12" t="n">
        <v>159</v>
      </c>
      <c r="Q34" s="12" t="n">
        <v>117</v>
      </c>
      <c r="R34" s="12" t="n">
        <v>126</v>
      </c>
      <c r="S34" s="12" t="n">
        <v>176</v>
      </c>
      <c r="T34" s="12" t="n">
        <v>82</v>
      </c>
      <c r="U34" s="12" t="n">
        <v>66</v>
      </c>
      <c r="V34" s="12" t="n">
        <v>161</v>
      </c>
      <c r="W34" s="12" t="n">
        <v>98</v>
      </c>
      <c r="X34" s="12" t="n">
        <v>178</v>
      </c>
      <c r="Y34" s="12" t="n">
        <v>154</v>
      </c>
      <c r="Z34" s="12" t="n">
        <v>117</v>
      </c>
      <c r="AA34" s="12" t="n">
        <v>97</v>
      </c>
      <c r="AB34" s="12" t="n">
        <v>119</v>
      </c>
      <c r="AC34" s="12" t="n">
        <v>162</v>
      </c>
      <c r="AD34" s="12" t="n">
        <v>182</v>
      </c>
      <c r="AE34" s="12" t="n">
        <v>228</v>
      </c>
      <c r="AF34" s="12" t="n">
        <v>155</v>
      </c>
    </row>
    <row r="35">
      <c r="A35" s="20" t="n"/>
      <c r="B35" s="13" t="inlineStr">
        <is>
          <t>The rule of law</t>
        </is>
      </c>
      <c r="C35" s="14" t="n">
        <v>0.16</v>
      </c>
      <c r="D35" s="14" t="n">
        <v>0.14</v>
      </c>
      <c r="E35" s="14" t="n">
        <v>0.2</v>
      </c>
      <c r="F35" s="14" t="n">
        <v>0.11</v>
      </c>
      <c r="G35" s="14" t="n">
        <v>0.17</v>
      </c>
      <c r="H35" s="14" t="n">
        <v>0.22</v>
      </c>
      <c r="I35" s="14" t="n">
        <v>0.22</v>
      </c>
      <c r="J35" s="14" t="n">
        <v>0.21</v>
      </c>
      <c r="K35" s="14" t="n">
        <v>0.13</v>
      </c>
      <c r="L35" s="14" t="n">
        <v>0.16</v>
      </c>
      <c r="M35" s="14" t="n">
        <v>0.26</v>
      </c>
      <c r="N35" s="14" t="n">
        <v>0.14</v>
      </c>
      <c r="O35" s="14" t="n">
        <v>0.11</v>
      </c>
      <c r="P35" s="14" t="n">
        <v>0.17</v>
      </c>
      <c r="Q35" s="14" t="n">
        <v>0.12</v>
      </c>
      <c r="R35" s="14" t="n">
        <v>0.29</v>
      </c>
      <c r="S35" s="14" t="n">
        <v>0.19</v>
      </c>
      <c r="T35" s="14" t="n">
        <v>0.09</v>
      </c>
      <c r="U35" s="14" t="n">
        <v>0.14</v>
      </c>
      <c r="V35" s="14" t="n">
        <v>0.17</v>
      </c>
      <c r="W35" s="14" t="n">
        <v>0.23</v>
      </c>
      <c r="X35" s="14" t="n">
        <v>0.2</v>
      </c>
      <c r="Y35" s="14" t="n">
        <v>0.16</v>
      </c>
      <c r="Z35" s="14" t="n">
        <v>0.13</v>
      </c>
      <c r="AA35" s="14" t="n">
        <v>0.1</v>
      </c>
      <c r="AB35" s="14" t="n">
        <v>0.13</v>
      </c>
      <c r="AC35" s="14" t="n">
        <v>0.17</v>
      </c>
      <c r="AD35" s="14" t="n">
        <v>0.2</v>
      </c>
      <c r="AE35" s="14" t="n">
        <v>0.25</v>
      </c>
      <c r="AF35" s="14" t="n">
        <v>0.16</v>
      </c>
    </row>
    <row r="36">
      <c r="A36" s="20" t="n"/>
      <c r="B36" s="11" t="inlineStr">
        <is>
          <t>Le respect des identités, cultures et traditions nationales dans les États membres de l’UE</t>
        </is>
      </c>
      <c r="C36" s="12" t="n">
        <v>2587</v>
      </c>
      <c r="D36" s="12" t="n">
        <v>87</v>
      </c>
      <c r="E36" s="12" t="n">
        <v>171</v>
      </c>
      <c r="F36" s="12" t="n">
        <v>116</v>
      </c>
      <c r="G36" s="12" t="n">
        <v>136</v>
      </c>
      <c r="H36" s="12" t="n">
        <v>84</v>
      </c>
      <c r="I36" s="12" t="n">
        <v>103</v>
      </c>
      <c r="J36" s="12" t="n">
        <v>19</v>
      </c>
      <c r="K36" s="12" t="n">
        <v>194</v>
      </c>
      <c r="L36" s="12" t="n">
        <v>79</v>
      </c>
      <c r="M36" s="12" t="n">
        <v>112</v>
      </c>
      <c r="N36" s="12" t="n">
        <v>113</v>
      </c>
      <c r="O36" s="12" t="n">
        <v>96</v>
      </c>
      <c r="P36" s="12" t="n">
        <v>120</v>
      </c>
      <c r="Q36" s="12" t="n">
        <v>103</v>
      </c>
      <c r="R36" s="12" t="n">
        <v>41</v>
      </c>
      <c r="S36" s="12" t="n">
        <v>96</v>
      </c>
      <c r="T36" s="12" t="n">
        <v>110</v>
      </c>
      <c r="U36" s="12" t="n">
        <v>56</v>
      </c>
      <c r="V36" s="12" t="n">
        <v>106</v>
      </c>
      <c r="W36" s="12" t="n">
        <v>44</v>
      </c>
      <c r="X36" s="12" t="n">
        <v>93</v>
      </c>
      <c r="Y36" s="12" t="n">
        <v>133</v>
      </c>
      <c r="Z36" s="12" t="n">
        <v>114</v>
      </c>
      <c r="AA36" s="12" t="n">
        <v>100</v>
      </c>
      <c r="AB36" s="12" t="n">
        <v>134</v>
      </c>
      <c r="AC36" s="12" t="n">
        <v>103</v>
      </c>
      <c r="AD36" s="12" t="n">
        <v>131</v>
      </c>
      <c r="AE36" s="12" t="n">
        <v>71</v>
      </c>
      <c r="AF36" s="12" t="n">
        <v>64</v>
      </c>
    </row>
    <row r="37">
      <c r="A37" s="20" t="n"/>
      <c r="B37" s="13" t="inlineStr">
        <is>
          <t>Respect for national identities, cultures and traditions in the EU Member States</t>
        </is>
      </c>
      <c r="C37" s="14" t="n">
        <v>0.1</v>
      </c>
      <c r="D37" s="14" t="n">
        <v>0.09</v>
      </c>
      <c r="E37" s="14" t="n">
        <v>0.19</v>
      </c>
      <c r="F37" s="14" t="n">
        <v>0.13</v>
      </c>
      <c r="G37" s="14" t="n">
        <v>0.14</v>
      </c>
      <c r="H37" s="14" t="n">
        <v>0.07000000000000001</v>
      </c>
      <c r="I37" s="14" t="n">
        <v>0.07000000000000001</v>
      </c>
      <c r="J37" s="14" t="n">
        <v>0.07000000000000001</v>
      </c>
      <c r="K37" s="14" t="n">
        <v>0.21</v>
      </c>
      <c r="L37" s="14" t="n">
        <v>0.08</v>
      </c>
      <c r="M37" s="14" t="n">
        <v>0.12</v>
      </c>
      <c r="N37" s="14" t="n">
        <v>0.12</v>
      </c>
      <c r="O37" s="14" t="n">
        <v>0.1</v>
      </c>
      <c r="P37" s="14" t="n">
        <v>0.13</v>
      </c>
      <c r="Q37" s="14" t="n">
        <v>0.11</v>
      </c>
      <c r="R37" s="14" t="n">
        <v>0.09</v>
      </c>
      <c r="S37" s="14" t="n">
        <v>0.1</v>
      </c>
      <c r="T37" s="14" t="n">
        <v>0.12</v>
      </c>
      <c r="U37" s="14" t="n">
        <v>0.12</v>
      </c>
      <c r="V37" s="14" t="n">
        <v>0.11</v>
      </c>
      <c r="W37" s="14" t="n">
        <v>0.09</v>
      </c>
      <c r="X37" s="14" t="n">
        <v>0.1</v>
      </c>
      <c r="Y37" s="14" t="n">
        <v>0.14</v>
      </c>
      <c r="Z37" s="14" t="n">
        <v>0.12</v>
      </c>
      <c r="AA37" s="14" t="n">
        <v>0.11</v>
      </c>
      <c r="AB37" s="14" t="n">
        <v>0.14</v>
      </c>
      <c r="AC37" s="14" t="n">
        <v>0.11</v>
      </c>
      <c r="AD37" s="14" t="n">
        <v>0.14</v>
      </c>
      <c r="AE37" s="14" t="n">
        <v>0.07000000000000001</v>
      </c>
      <c r="AF37" s="14" t="n">
        <v>0.06</v>
      </c>
    </row>
    <row r="38">
      <c r="A38" s="20" t="n"/>
      <c r="B38" s="11" t="inlineStr">
        <is>
          <t>Le droit de demander l'asile en cas de persécution</t>
        </is>
      </c>
      <c r="C38" s="12" t="n">
        <v>1084</v>
      </c>
      <c r="D38" s="12" t="n">
        <v>36</v>
      </c>
      <c r="E38" s="12" t="n">
        <v>30</v>
      </c>
      <c r="F38" s="12" t="n">
        <v>22</v>
      </c>
      <c r="G38" s="12" t="n">
        <v>28</v>
      </c>
      <c r="H38" s="12" t="n">
        <v>56</v>
      </c>
      <c r="I38" s="12" t="n">
        <v>64</v>
      </c>
      <c r="J38" s="12" t="n">
        <v>8</v>
      </c>
      <c r="K38" s="12" t="n">
        <v>32</v>
      </c>
      <c r="L38" s="12" t="n">
        <v>49</v>
      </c>
      <c r="M38" s="12" t="n">
        <v>41</v>
      </c>
      <c r="N38" s="12" t="n">
        <v>42</v>
      </c>
      <c r="O38" s="12" t="n">
        <v>30</v>
      </c>
      <c r="P38" s="12" t="n">
        <v>32</v>
      </c>
      <c r="Q38" s="12" t="n">
        <v>60</v>
      </c>
      <c r="R38" s="12" t="n">
        <v>8</v>
      </c>
      <c r="S38" s="12" t="n">
        <v>27</v>
      </c>
      <c r="T38" s="12" t="n">
        <v>19</v>
      </c>
      <c r="U38" s="12" t="n">
        <v>3</v>
      </c>
      <c r="V38" s="12" t="n">
        <v>69</v>
      </c>
      <c r="W38" s="12" t="n">
        <v>21</v>
      </c>
      <c r="X38" s="12" t="n">
        <v>27</v>
      </c>
      <c r="Y38" s="12" t="n">
        <v>46</v>
      </c>
      <c r="Z38" s="12" t="n">
        <v>60</v>
      </c>
      <c r="AA38" s="12" t="n">
        <v>24</v>
      </c>
      <c r="AB38" s="12" t="n">
        <v>43</v>
      </c>
      <c r="AC38" s="12" t="n">
        <v>20</v>
      </c>
      <c r="AD38" s="12" t="n">
        <v>22</v>
      </c>
      <c r="AE38" s="12" t="n">
        <v>9</v>
      </c>
      <c r="AF38" s="12" t="n">
        <v>40</v>
      </c>
    </row>
    <row r="39">
      <c r="A39" s="20" t="n"/>
      <c r="B39" s="13" t="inlineStr">
        <is>
          <t>The right to seek asylum from persecution</t>
        </is>
      </c>
      <c r="C39" s="14" t="n">
        <v>0.04</v>
      </c>
      <c r="D39" s="14" t="n">
        <v>0.04</v>
      </c>
      <c r="E39" s="14" t="n">
        <v>0.03</v>
      </c>
      <c r="F39" s="14" t="n">
        <v>0.02</v>
      </c>
      <c r="G39" s="14" t="n">
        <v>0.03</v>
      </c>
      <c r="H39" s="14" t="n">
        <v>0.05</v>
      </c>
      <c r="I39" s="14" t="n">
        <v>0.04</v>
      </c>
      <c r="J39" s="14" t="n">
        <v>0.03</v>
      </c>
      <c r="K39" s="14" t="n">
        <v>0.03</v>
      </c>
      <c r="L39" s="14" t="n">
        <v>0.05</v>
      </c>
      <c r="M39" s="14" t="n">
        <v>0.04</v>
      </c>
      <c r="N39" s="14" t="n">
        <v>0.04</v>
      </c>
      <c r="O39" s="14" t="n">
        <v>0.03</v>
      </c>
      <c r="P39" s="14" t="n">
        <v>0.03</v>
      </c>
      <c r="Q39" s="14" t="n">
        <v>0.06</v>
      </c>
      <c r="R39" s="14" t="n">
        <v>0.02</v>
      </c>
      <c r="S39" s="14" t="n">
        <v>0.03</v>
      </c>
      <c r="T39" s="14" t="n">
        <v>0.02</v>
      </c>
      <c r="U39" s="14" t="n">
        <v>0.01</v>
      </c>
      <c r="V39" s="14" t="n">
        <v>0.07000000000000001</v>
      </c>
      <c r="W39" s="14" t="n">
        <v>0.04</v>
      </c>
      <c r="X39" s="14" t="n">
        <v>0.03</v>
      </c>
      <c r="Y39" s="14" t="n">
        <v>0.05</v>
      </c>
      <c r="Z39" s="14" t="n">
        <v>0.06</v>
      </c>
      <c r="AA39" s="14" t="n">
        <v>0.02</v>
      </c>
      <c r="AB39" s="14" t="n">
        <v>0.04</v>
      </c>
      <c r="AC39" s="14" t="n">
        <v>0.02</v>
      </c>
      <c r="AD39" s="14" t="n">
        <v>0.02</v>
      </c>
      <c r="AE39" s="14" t="n">
        <v>0.01</v>
      </c>
      <c r="AF39" s="14" t="n">
        <v>0.04</v>
      </c>
    </row>
    <row r="40">
      <c r="A40" s="20" t="n"/>
      <c r="B40" s="11" t="inlineStr">
        <is>
          <t>La paix</t>
        </is>
      </c>
      <c r="C40" s="12" t="n">
        <v>5810</v>
      </c>
      <c r="D40" s="12" t="n">
        <v>221</v>
      </c>
      <c r="E40" s="12" t="n">
        <v>268</v>
      </c>
      <c r="F40" s="12" t="n">
        <v>222</v>
      </c>
      <c r="G40" s="12" t="n">
        <v>219</v>
      </c>
      <c r="H40" s="12" t="n">
        <v>285</v>
      </c>
      <c r="I40" s="12" t="n">
        <v>363</v>
      </c>
      <c r="J40" s="12" t="n">
        <v>78</v>
      </c>
      <c r="K40" s="12" t="n">
        <v>215</v>
      </c>
      <c r="L40" s="12" t="n">
        <v>255</v>
      </c>
      <c r="M40" s="12" t="n">
        <v>262</v>
      </c>
      <c r="N40" s="12" t="n">
        <v>196</v>
      </c>
      <c r="O40" s="12" t="n">
        <v>258</v>
      </c>
      <c r="P40" s="12" t="n">
        <v>203</v>
      </c>
      <c r="Q40" s="12" t="n">
        <v>191</v>
      </c>
      <c r="R40" s="12" t="n">
        <v>168</v>
      </c>
      <c r="S40" s="12" t="n">
        <v>197</v>
      </c>
      <c r="T40" s="12" t="n">
        <v>219</v>
      </c>
      <c r="U40" s="12" t="n">
        <v>113</v>
      </c>
      <c r="V40" s="12" t="n">
        <v>233</v>
      </c>
      <c r="W40" s="12" t="n">
        <v>112</v>
      </c>
      <c r="X40" s="12" t="n">
        <v>240</v>
      </c>
      <c r="Y40" s="12" t="n">
        <v>226</v>
      </c>
      <c r="Z40" s="12" t="n">
        <v>175</v>
      </c>
      <c r="AA40" s="12" t="n">
        <v>257</v>
      </c>
      <c r="AB40" s="12" t="n">
        <v>209</v>
      </c>
      <c r="AC40" s="12" t="n">
        <v>263</v>
      </c>
      <c r="AD40" s="12" t="n">
        <v>232</v>
      </c>
      <c r="AE40" s="12" t="n">
        <v>209</v>
      </c>
      <c r="AF40" s="12" t="n">
        <v>218</v>
      </c>
    </row>
    <row r="41">
      <c r="A41" s="20" t="n"/>
      <c r="B41" s="13" t="inlineStr">
        <is>
          <t>Peace</t>
        </is>
      </c>
      <c r="C41" s="14" t="n">
        <v>0.32</v>
      </c>
      <c r="D41" s="14" t="n">
        <v>0.29</v>
      </c>
      <c r="E41" s="14" t="n">
        <v>0.41</v>
      </c>
      <c r="F41" s="14" t="n">
        <v>0.36</v>
      </c>
      <c r="G41" s="14" t="n">
        <v>0.29</v>
      </c>
      <c r="H41" s="14" t="n">
        <v>0.35</v>
      </c>
      <c r="I41" s="14" t="n">
        <v>0.36</v>
      </c>
      <c r="J41" s="14" t="n">
        <v>0.42</v>
      </c>
      <c r="K41" s="14" t="n">
        <v>0.37</v>
      </c>
      <c r="L41" s="14" t="n">
        <v>0.34</v>
      </c>
      <c r="M41" s="14" t="n">
        <v>0.36</v>
      </c>
      <c r="N41" s="14" t="n">
        <v>0.24</v>
      </c>
      <c r="O41" s="14" t="n">
        <v>0.37</v>
      </c>
      <c r="P41" s="14" t="n">
        <v>0.31</v>
      </c>
      <c r="Q41" s="14" t="n">
        <v>0.3</v>
      </c>
      <c r="R41" s="14" t="n">
        <v>0.42</v>
      </c>
      <c r="S41" s="14" t="n">
        <v>0.32</v>
      </c>
      <c r="T41" s="14" t="n">
        <v>0.39</v>
      </c>
      <c r="U41" s="14" t="n">
        <v>0.33</v>
      </c>
      <c r="V41" s="14" t="n">
        <v>0.33</v>
      </c>
      <c r="W41" s="14" t="n">
        <v>0.31</v>
      </c>
      <c r="X41" s="14" t="n">
        <v>0.32</v>
      </c>
      <c r="Y41" s="14" t="n">
        <v>0.32</v>
      </c>
      <c r="Z41" s="14" t="n">
        <v>0.25</v>
      </c>
      <c r="AA41" s="14" t="n">
        <v>0.38</v>
      </c>
      <c r="AB41" s="14" t="n">
        <v>0.27</v>
      </c>
      <c r="AC41" s="14" t="n">
        <v>0.43</v>
      </c>
      <c r="AD41" s="14" t="n">
        <v>0.33</v>
      </c>
      <c r="AE41" s="14" t="n">
        <v>0.3</v>
      </c>
      <c r="AF41" s="14" t="n">
        <v>0.26</v>
      </c>
    </row>
    <row r="42">
      <c r="A42" s="20" t="n"/>
      <c r="B42" s="11" t="inlineStr">
        <is>
          <t>Autre (SPONTANÉ)</t>
        </is>
      </c>
      <c r="C42" s="12" t="n">
        <v>108</v>
      </c>
      <c r="D42" s="12" t="n">
        <v>1</v>
      </c>
      <c r="E42" s="12" t="n">
        <v>3</v>
      </c>
      <c r="F42" s="12" t="n">
        <v>2</v>
      </c>
      <c r="G42" s="12" t="n">
        <v>1</v>
      </c>
      <c r="H42" s="12" t="n">
        <v>10</v>
      </c>
      <c r="I42" s="12" t="n">
        <v>11</v>
      </c>
      <c r="J42" s="12" t="n">
        <v>1</v>
      </c>
      <c r="K42" s="12" t="n">
        <v>9</v>
      </c>
      <c r="L42" s="12" t="n">
        <v>2</v>
      </c>
      <c r="M42" s="12" t="n">
        <v>4</v>
      </c>
      <c r="N42" s="12" t="n">
        <v>6</v>
      </c>
      <c r="O42" s="12" t="n">
        <v>3</v>
      </c>
      <c r="P42" s="12" t="n">
        <v>0</v>
      </c>
      <c r="Q42" s="12" t="n">
        <v>5</v>
      </c>
      <c r="R42" s="12" t="n">
        <v>0</v>
      </c>
      <c r="S42" s="12" t="n">
        <v>3</v>
      </c>
      <c r="T42" s="12" t="n">
        <v>9</v>
      </c>
      <c r="U42" s="12" t="n">
        <v>1</v>
      </c>
      <c r="V42" s="12" t="n">
        <v>0</v>
      </c>
      <c r="W42" s="12" t="n">
        <v>1</v>
      </c>
      <c r="X42" s="12" t="n">
        <v>4</v>
      </c>
      <c r="Y42" s="12" t="n">
        <v>20</v>
      </c>
      <c r="Z42" s="12" t="n">
        <v>0</v>
      </c>
      <c r="AA42" s="12" t="n">
        <v>3</v>
      </c>
      <c r="AB42" s="12" t="n">
        <v>0</v>
      </c>
      <c r="AC42" s="12" t="n">
        <v>1</v>
      </c>
      <c r="AD42" s="12" t="n">
        <v>1</v>
      </c>
      <c r="AE42" s="12" t="n">
        <v>1</v>
      </c>
      <c r="AF42" s="12" t="n">
        <v>0</v>
      </c>
    </row>
    <row r="43">
      <c r="A43" s="20" t="n"/>
      <c r="B43" s="13" t="inlineStr">
        <is>
          <t>Other (SPONTANEOUS)</t>
        </is>
      </c>
      <c r="C43" s="15" t="inlineStr">
        <is>
          <t>-</t>
        </is>
      </c>
      <c r="D43" s="15" t="inlineStr">
        <is>
          <t>-</t>
        </is>
      </c>
      <c r="E43" s="15" t="inlineStr">
        <is>
          <t>-</t>
        </is>
      </c>
      <c r="F43" s="15" t="inlineStr">
        <is>
          <t>-</t>
        </is>
      </c>
      <c r="G43" s="15" t="inlineStr">
        <is>
          <t>-</t>
        </is>
      </c>
      <c r="H43" s="14" t="n">
        <v>0.01</v>
      </c>
      <c r="I43" s="14" t="n">
        <v>0.01</v>
      </c>
      <c r="J43" s="15" t="inlineStr">
        <is>
          <t>-</t>
        </is>
      </c>
      <c r="K43" s="14" t="n">
        <v>0.01</v>
      </c>
      <c r="L43" s="15" t="inlineStr">
        <is>
          <t>-</t>
        </is>
      </c>
      <c r="M43" s="15" t="inlineStr">
        <is>
          <t>-</t>
        </is>
      </c>
      <c r="N43" s="14" t="n">
        <v>0.01</v>
      </c>
      <c r="O43" s="15" t="inlineStr">
        <is>
          <t>-</t>
        </is>
      </c>
      <c r="P43" s="15" t="inlineStr">
        <is>
          <t>-</t>
        </is>
      </c>
      <c r="Q43" s="14" t="n">
        <v>0.01</v>
      </c>
      <c r="R43" s="15" t="inlineStr">
        <is>
          <t>-</t>
        </is>
      </c>
      <c r="S43" s="15" t="inlineStr">
        <is>
          <t>-</t>
        </is>
      </c>
      <c r="T43" s="14" t="n">
        <v>0.01</v>
      </c>
      <c r="U43" s="15" t="inlineStr">
        <is>
          <t>-</t>
        </is>
      </c>
      <c r="V43" s="15" t="inlineStr">
        <is>
          <t>-</t>
        </is>
      </c>
      <c r="W43" s="15" t="inlineStr">
        <is>
          <t>-</t>
        </is>
      </c>
      <c r="X43" s="15" t="inlineStr">
        <is>
          <t>-</t>
        </is>
      </c>
      <c r="Y43" s="14" t="n">
        <v>0.02</v>
      </c>
      <c r="Z43" s="15" t="inlineStr">
        <is>
          <t>-</t>
        </is>
      </c>
      <c r="AA43" s="15" t="inlineStr">
        <is>
          <t>-</t>
        </is>
      </c>
      <c r="AB43" s="15" t="inlineStr">
        <is>
          <t>-</t>
        </is>
      </c>
      <c r="AC43" s="15" t="inlineStr">
        <is>
          <t>-</t>
        </is>
      </c>
      <c r="AD43" s="15" t="inlineStr">
        <is>
          <t>-</t>
        </is>
      </c>
      <c r="AE43" s="15" t="inlineStr">
        <is>
          <t>-</t>
        </is>
      </c>
      <c r="AF43" s="15" t="inlineStr">
        <is>
          <t>-</t>
        </is>
      </c>
    </row>
    <row r="44">
      <c r="A44" s="20" t="n"/>
      <c r="B44" s="11" t="inlineStr">
        <is>
          <t>Aucun (SPONTANÉ)</t>
        </is>
      </c>
      <c r="C44" s="12" t="n">
        <v>160</v>
      </c>
      <c r="D44" s="12" t="n">
        <v>1</v>
      </c>
      <c r="E44" s="12" t="n">
        <v>2</v>
      </c>
      <c r="F44" s="12" t="n">
        <v>3</v>
      </c>
      <c r="G44" s="12" t="n">
        <v>3</v>
      </c>
      <c r="H44" s="12" t="n">
        <v>7</v>
      </c>
      <c r="I44" s="12" t="n">
        <v>9</v>
      </c>
      <c r="J44" s="12" t="n">
        <v>2</v>
      </c>
      <c r="K44" s="12" t="n">
        <v>12</v>
      </c>
      <c r="L44" s="12" t="n">
        <v>7</v>
      </c>
      <c r="M44" s="12" t="n">
        <v>0</v>
      </c>
      <c r="N44" s="12" t="n">
        <v>14</v>
      </c>
      <c r="O44" s="12" t="n">
        <v>13</v>
      </c>
      <c r="P44" s="12" t="n">
        <v>2</v>
      </c>
      <c r="Q44" s="12" t="n">
        <v>3</v>
      </c>
      <c r="R44" s="12" t="n">
        <v>7</v>
      </c>
      <c r="S44" s="12" t="n">
        <v>5</v>
      </c>
      <c r="T44" s="12" t="n">
        <v>4</v>
      </c>
      <c r="U44" s="12" t="n">
        <v>0</v>
      </c>
      <c r="V44" s="12" t="n">
        <v>0</v>
      </c>
      <c r="W44" s="12" t="n">
        <v>9</v>
      </c>
      <c r="X44" s="12" t="n">
        <v>7</v>
      </c>
      <c r="Y44" s="12" t="n">
        <v>6</v>
      </c>
      <c r="Z44" s="12" t="n">
        <v>1</v>
      </c>
      <c r="AA44" s="12" t="n">
        <v>0</v>
      </c>
      <c r="AB44" s="12" t="n">
        <v>2</v>
      </c>
      <c r="AC44" s="12" t="n">
        <v>7</v>
      </c>
      <c r="AD44" s="12" t="n">
        <v>1</v>
      </c>
      <c r="AE44" s="12" t="n">
        <v>9</v>
      </c>
      <c r="AF44" s="12" t="n">
        <v>5</v>
      </c>
    </row>
    <row r="45">
      <c r="A45" s="20" t="n"/>
      <c r="B45" s="13" t="inlineStr">
        <is>
          <t>None (SPONTANEOUS)</t>
        </is>
      </c>
      <c r="C45" s="14" t="n">
        <v>0.01</v>
      </c>
      <c r="D45" s="15" t="inlineStr">
        <is>
          <t>-</t>
        </is>
      </c>
      <c r="E45" s="15" t="inlineStr">
        <is>
          <t>-</t>
        </is>
      </c>
      <c r="F45" s="15" t="inlineStr">
        <is>
          <t>-</t>
        </is>
      </c>
      <c r="G45" s="15" t="inlineStr">
        <is>
          <t>-</t>
        </is>
      </c>
      <c r="H45" s="14" t="n">
        <v>0.01</v>
      </c>
      <c r="I45" s="14" t="n">
        <v>0.01</v>
      </c>
      <c r="J45" s="14" t="n">
        <v>0.01</v>
      </c>
      <c r="K45" s="14" t="n">
        <v>0.01</v>
      </c>
      <c r="L45" s="14" t="n">
        <v>0.01</v>
      </c>
      <c r="M45" s="15" t="inlineStr">
        <is>
          <t>-</t>
        </is>
      </c>
      <c r="N45" s="14" t="n">
        <v>0.01</v>
      </c>
      <c r="O45" s="14" t="n">
        <v>0.01</v>
      </c>
      <c r="P45" s="15" t="inlineStr">
        <is>
          <t>-</t>
        </is>
      </c>
      <c r="Q45" s="15" t="inlineStr">
        <is>
          <t>-</t>
        </is>
      </c>
      <c r="R45" s="14" t="n">
        <v>0.01</v>
      </c>
      <c r="S45" s="14" t="n">
        <v>0.01</v>
      </c>
      <c r="T45" s="15" t="inlineStr">
        <is>
          <t>-</t>
        </is>
      </c>
      <c r="U45" s="15" t="inlineStr">
        <is>
          <t>-</t>
        </is>
      </c>
      <c r="V45" s="15" t="inlineStr">
        <is>
          <t>-</t>
        </is>
      </c>
      <c r="W45" s="14" t="n">
        <v>0.02</v>
      </c>
      <c r="X45" s="14" t="n">
        <v>0.01</v>
      </c>
      <c r="Y45" s="14" t="n">
        <v>0.01</v>
      </c>
      <c r="Z45" s="15" t="inlineStr">
        <is>
          <t>-</t>
        </is>
      </c>
      <c r="AA45" s="15" t="inlineStr">
        <is>
          <t>-</t>
        </is>
      </c>
      <c r="AB45" s="15" t="inlineStr">
        <is>
          <t>-</t>
        </is>
      </c>
      <c r="AC45" s="14" t="n">
        <v>0.01</v>
      </c>
      <c r="AD45" s="15" t="inlineStr">
        <is>
          <t>-</t>
        </is>
      </c>
      <c r="AE45" s="14" t="n">
        <v>0.01</v>
      </c>
      <c r="AF45" s="14" t="n">
        <v>0.01</v>
      </c>
    </row>
    <row r="46">
      <c r="A46" s="20" t="n"/>
      <c r="B46" s="11" t="inlineStr">
        <is>
          <t>Ne sait pas</t>
        </is>
      </c>
      <c r="C46" s="12" t="n">
        <v>196</v>
      </c>
      <c r="D46" s="12" t="n">
        <v>6</v>
      </c>
      <c r="E46" s="12" t="n">
        <v>4</v>
      </c>
      <c r="F46" s="12" t="n">
        <v>8</v>
      </c>
      <c r="G46" s="12" t="n">
        <v>6</v>
      </c>
      <c r="H46" s="12" t="n">
        <v>3</v>
      </c>
      <c r="I46" s="12" t="n">
        <v>3</v>
      </c>
      <c r="J46" s="12" t="n">
        <v>0</v>
      </c>
      <c r="K46" s="12" t="n">
        <v>18</v>
      </c>
      <c r="L46" s="12" t="n">
        <v>10</v>
      </c>
      <c r="M46" s="12" t="n">
        <v>1</v>
      </c>
      <c r="N46" s="12" t="n">
        <v>20</v>
      </c>
      <c r="O46" s="12" t="n">
        <v>21</v>
      </c>
      <c r="P46" s="12" t="n">
        <v>1</v>
      </c>
      <c r="Q46" s="12" t="n">
        <v>1</v>
      </c>
      <c r="R46" s="12" t="n">
        <v>1</v>
      </c>
      <c r="S46" s="12" t="n">
        <v>32</v>
      </c>
      <c r="T46" s="12" t="n">
        <v>9</v>
      </c>
      <c r="U46" s="12" t="n">
        <v>2</v>
      </c>
      <c r="V46" s="12" t="n">
        <v>3</v>
      </c>
      <c r="W46" s="12" t="n">
        <v>5</v>
      </c>
      <c r="X46" s="12" t="n">
        <v>1</v>
      </c>
      <c r="Y46" s="12" t="n">
        <v>1</v>
      </c>
      <c r="Z46" s="12" t="n">
        <v>2</v>
      </c>
      <c r="AA46" s="12" t="n">
        <v>11</v>
      </c>
      <c r="AB46" s="12" t="n">
        <v>0</v>
      </c>
      <c r="AC46" s="12" t="n">
        <v>1</v>
      </c>
      <c r="AD46" s="12" t="n">
        <v>1</v>
      </c>
      <c r="AE46" s="12" t="n">
        <v>8</v>
      </c>
      <c r="AF46" s="12" t="n">
        <v>7</v>
      </c>
    </row>
    <row r="47">
      <c r="A47" s="23" t="n"/>
      <c r="B47" s="13" t="inlineStr">
        <is>
          <t>Don't know</t>
        </is>
      </c>
      <c r="C47" s="14" t="n">
        <v>0.01</v>
      </c>
      <c r="D47" s="14" t="n">
        <v>0.01</v>
      </c>
      <c r="E47" s="15" t="inlineStr">
        <is>
          <t>-</t>
        </is>
      </c>
      <c r="F47" s="14" t="n">
        <v>0.01</v>
      </c>
      <c r="G47" s="14" t="n">
        <v>0.01</v>
      </c>
      <c r="H47" s="15" t="inlineStr">
        <is>
          <t>-</t>
        </is>
      </c>
      <c r="I47" s="15" t="inlineStr">
        <is>
          <t>-</t>
        </is>
      </c>
      <c r="J47" s="15" t="inlineStr">
        <is>
          <t>-</t>
        </is>
      </c>
      <c r="K47" s="14" t="n">
        <v>0.02</v>
      </c>
      <c r="L47" s="14" t="n">
        <v>0.01</v>
      </c>
      <c r="M47" s="15" t="inlineStr">
        <is>
          <t>-</t>
        </is>
      </c>
      <c r="N47" s="14" t="n">
        <v>0.02</v>
      </c>
      <c r="O47" s="14" t="n">
        <v>0.02</v>
      </c>
      <c r="P47" s="15" t="inlineStr">
        <is>
          <t>-</t>
        </is>
      </c>
      <c r="Q47" s="15" t="inlineStr">
        <is>
          <t>-</t>
        </is>
      </c>
      <c r="R47" s="15" t="inlineStr">
        <is>
          <t>-</t>
        </is>
      </c>
      <c r="S47" s="14" t="n">
        <v>0.03</v>
      </c>
      <c r="T47" s="14" t="n">
        <v>0.01</v>
      </c>
      <c r="U47" s="15" t="inlineStr">
        <is>
          <t>-</t>
        </is>
      </c>
      <c r="V47" s="15" t="inlineStr">
        <is>
          <t>-</t>
        </is>
      </c>
      <c r="W47" s="14" t="n">
        <v>0.01</v>
      </c>
      <c r="X47" s="15" t="inlineStr">
        <is>
          <t>-</t>
        </is>
      </c>
      <c r="Y47" s="15" t="inlineStr">
        <is>
          <t>-</t>
        </is>
      </c>
      <c r="Z47" s="15" t="inlineStr">
        <is>
          <t>-</t>
        </is>
      </c>
      <c r="AA47" s="14" t="n">
        <v>0.01</v>
      </c>
      <c r="AB47" s="15" t="inlineStr">
        <is>
          <t>-</t>
        </is>
      </c>
      <c r="AC47" s="15" t="inlineStr">
        <is>
          <t>-</t>
        </is>
      </c>
      <c r="AD47" s="15" t="inlineStr">
        <is>
          <t>-</t>
        </is>
      </c>
      <c r="AE47" s="14" t="n">
        <v>0.01</v>
      </c>
      <c r="AF47" s="14" t="n">
        <v>0.01</v>
      </c>
    </row>
  </sheetData>
  <mergeCells count="9">
    <mergeCell ref="B4:F4"/>
    <mergeCell ref="A10:A47"/>
    <mergeCell ref="H3:L3"/>
    <mergeCell ref="C8:AF8"/>
    <mergeCell ref="B3:F3"/>
    <mergeCell ref="B5:F5"/>
    <mergeCell ref="H5:L5"/>
    <mergeCell ref="B10:B11"/>
    <mergeCell ref="H4:L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47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36" customHeight="1" s="18">
      <c r="B3" s="21" t="inlineStr">
        <is>
          <t>QA8ab. Parmi les propositions suivantes, quelles sont selon vous les valeurs que le Parlement européen devrait défendre en priorité ? En premier ? Et ensuite ? (3 RÉPONSES MAX.)</t>
        </is>
      </c>
      <c r="H3" s="21" t="inlineStr">
        <is>
          <t>QA8ab. In your opinion, which of the following values should the European Parliament defend as a matter of priority? Firstly? And then? (MAX. 3 ANSWERS)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HYPERLINK("#Content!A23","&lt;&lt;Back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L'égalité entre les femmes et les hommes</t>
        </is>
      </c>
      <c r="C12" s="12" t="n">
        <v>3736</v>
      </c>
      <c r="D12" s="12" t="n">
        <v>235</v>
      </c>
      <c r="E12" s="12" t="n">
        <v>56</v>
      </c>
      <c r="F12" s="12" t="n">
        <v>110</v>
      </c>
      <c r="G12" s="12" t="n">
        <v>118</v>
      </c>
      <c r="H12" s="12" t="n">
        <v>108</v>
      </c>
      <c r="I12" s="12" t="n">
        <v>156</v>
      </c>
      <c r="J12" s="12" t="n">
        <v>48</v>
      </c>
      <c r="K12" s="12" t="n">
        <v>82</v>
      </c>
      <c r="L12" s="12" t="n">
        <v>171</v>
      </c>
      <c r="M12" s="12" t="n">
        <v>88</v>
      </c>
      <c r="N12" s="12" t="n">
        <v>199</v>
      </c>
      <c r="O12" s="12" t="n">
        <v>201</v>
      </c>
      <c r="P12" s="12" t="n">
        <v>102</v>
      </c>
      <c r="Q12" s="12" t="n">
        <v>144</v>
      </c>
      <c r="R12" s="12" t="n">
        <v>44</v>
      </c>
      <c r="S12" s="12" t="n">
        <v>81</v>
      </c>
      <c r="T12" s="12" t="n">
        <v>86</v>
      </c>
      <c r="U12" s="12" t="n">
        <v>70</v>
      </c>
      <c r="V12" s="12" t="n">
        <v>100</v>
      </c>
      <c r="W12" s="12" t="n">
        <v>71</v>
      </c>
      <c r="X12" s="12" t="n">
        <v>179</v>
      </c>
      <c r="Y12" s="12" t="n">
        <v>189</v>
      </c>
      <c r="Z12" s="12" t="n">
        <v>94</v>
      </c>
      <c r="AA12" s="12" t="n">
        <v>166</v>
      </c>
      <c r="AB12" s="12" t="n">
        <v>101</v>
      </c>
      <c r="AC12" s="12" t="n">
        <v>97</v>
      </c>
      <c r="AD12" s="12" t="n">
        <v>77</v>
      </c>
      <c r="AE12" s="12" t="n">
        <v>129</v>
      </c>
      <c r="AF12" s="12" t="n">
        <v>159</v>
      </c>
    </row>
    <row r="13">
      <c r="A13" s="20" t="n"/>
      <c r="B13" s="13" t="inlineStr">
        <is>
          <t>Equality between women and men</t>
        </is>
      </c>
      <c r="C13" s="14" t="n">
        <v>0.14</v>
      </c>
      <c r="D13" s="14" t="n">
        <v>0.23</v>
      </c>
      <c r="E13" s="14" t="n">
        <v>0.05</v>
      </c>
      <c r="F13" s="14" t="n">
        <v>0.11</v>
      </c>
      <c r="G13" s="14" t="n">
        <v>0.12</v>
      </c>
      <c r="H13" s="14" t="n">
        <v>0.09</v>
      </c>
      <c r="I13" s="14" t="n">
        <v>0.1</v>
      </c>
      <c r="J13" s="14" t="n">
        <v>0.16</v>
      </c>
      <c r="K13" s="14" t="n">
        <v>0.08</v>
      </c>
      <c r="L13" s="14" t="n">
        <v>0.17</v>
      </c>
      <c r="M13" s="14" t="n">
        <v>0.09</v>
      </c>
      <c r="N13" s="14" t="n">
        <v>0.2</v>
      </c>
      <c r="O13" s="14" t="n">
        <v>0.2</v>
      </c>
      <c r="P13" s="14" t="n">
        <v>0.1</v>
      </c>
      <c r="Q13" s="14" t="n">
        <v>0.14</v>
      </c>
      <c r="R13" s="14" t="n">
        <v>0.09</v>
      </c>
      <c r="S13" s="14" t="n">
        <v>0.08</v>
      </c>
      <c r="T13" s="14" t="n">
        <v>0.08</v>
      </c>
      <c r="U13" s="14" t="n">
        <v>0.14</v>
      </c>
      <c r="V13" s="14" t="n">
        <v>0.1</v>
      </c>
      <c r="W13" s="14" t="n">
        <v>0.14</v>
      </c>
      <c r="X13" s="14" t="n">
        <v>0.17</v>
      </c>
      <c r="Y13" s="14" t="n">
        <v>0.19</v>
      </c>
      <c r="Z13" s="14" t="n">
        <v>0.09</v>
      </c>
      <c r="AA13" s="14" t="n">
        <v>0.16</v>
      </c>
      <c r="AB13" s="14" t="n">
        <v>0.1</v>
      </c>
      <c r="AC13" s="14" t="n">
        <v>0.1</v>
      </c>
      <c r="AD13" s="14" t="n">
        <v>0.08</v>
      </c>
      <c r="AE13" s="14" t="n">
        <v>0.13</v>
      </c>
      <c r="AF13" s="14" t="n">
        <v>0.15</v>
      </c>
    </row>
    <row r="14">
      <c r="A14" s="20" t="n"/>
      <c r="B14" s="11" t="inlineStr">
        <is>
          <t>La lutte contre les discriminations et la protection des minorités</t>
        </is>
      </c>
      <c r="C14" s="12" t="n">
        <v>2814</v>
      </c>
      <c r="D14" s="12" t="n">
        <v>120</v>
      </c>
      <c r="E14" s="12" t="n">
        <v>72</v>
      </c>
      <c r="F14" s="12" t="n">
        <v>61</v>
      </c>
      <c r="G14" s="12" t="n">
        <v>69</v>
      </c>
      <c r="H14" s="12" t="n">
        <v>110</v>
      </c>
      <c r="I14" s="12" t="n">
        <v>134</v>
      </c>
      <c r="J14" s="12" t="n">
        <v>24</v>
      </c>
      <c r="K14" s="12" t="n">
        <v>83</v>
      </c>
      <c r="L14" s="12" t="n">
        <v>94</v>
      </c>
      <c r="M14" s="12" t="n">
        <v>141</v>
      </c>
      <c r="N14" s="12" t="n">
        <v>97</v>
      </c>
      <c r="O14" s="12" t="n">
        <v>142</v>
      </c>
      <c r="P14" s="12" t="n">
        <v>96</v>
      </c>
      <c r="Q14" s="12" t="n">
        <v>130</v>
      </c>
      <c r="R14" s="12" t="n">
        <v>40</v>
      </c>
      <c r="S14" s="12" t="n">
        <v>73</v>
      </c>
      <c r="T14" s="12" t="n">
        <v>67</v>
      </c>
      <c r="U14" s="12" t="n">
        <v>64</v>
      </c>
      <c r="V14" s="12" t="n">
        <v>125</v>
      </c>
      <c r="W14" s="12" t="n">
        <v>66</v>
      </c>
      <c r="X14" s="12" t="n">
        <v>99</v>
      </c>
      <c r="Y14" s="12" t="n">
        <v>125</v>
      </c>
      <c r="Z14" s="12" t="n">
        <v>95</v>
      </c>
      <c r="AA14" s="12" t="n">
        <v>131</v>
      </c>
      <c r="AB14" s="12" t="n">
        <v>97</v>
      </c>
      <c r="AC14" s="12" t="n">
        <v>70</v>
      </c>
      <c r="AD14" s="12" t="n">
        <v>83</v>
      </c>
      <c r="AE14" s="12" t="n">
        <v>123</v>
      </c>
      <c r="AF14" s="12" t="n">
        <v>99</v>
      </c>
    </row>
    <row r="15">
      <c r="A15" s="20" t="n"/>
      <c r="B15" s="13" t="inlineStr">
        <is>
          <t>Fighting discrimination and protecting minorities</t>
        </is>
      </c>
      <c r="C15" s="14" t="n">
        <v>0.11</v>
      </c>
      <c r="D15" s="14" t="n">
        <v>0.12</v>
      </c>
      <c r="E15" s="14" t="n">
        <v>0.07000000000000001</v>
      </c>
      <c r="F15" s="14" t="n">
        <v>0.06</v>
      </c>
      <c r="G15" s="14" t="n">
        <v>0.07000000000000001</v>
      </c>
      <c r="H15" s="14" t="n">
        <v>0.09</v>
      </c>
      <c r="I15" s="14" t="n">
        <v>0.09</v>
      </c>
      <c r="J15" s="14" t="n">
        <v>0.08</v>
      </c>
      <c r="K15" s="14" t="n">
        <v>0.08</v>
      </c>
      <c r="L15" s="14" t="n">
        <v>0.09</v>
      </c>
      <c r="M15" s="14" t="n">
        <v>0.14</v>
      </c>
      <c r="N15" s="14" t="n">
        <v>0.1</v>
      </c>
      <c r="O15" s="14" t="n">
        <v>0.14</v>
      </c>
      <c r="P15" s="14" t="n">
        <v>0.1</v>
      </c>
      <c r="Q15" s="14" t="n">
        <v>0.13</v>
      </c>
      <c r="R15" s="14" t="n">
        <v>0.08</v>
      </c>
      <c r="S15" s="14" t="n">
        <v>0.07000000000000001</v>
      </c>
      <c r="T15" s="14" t="n">
        <v>0.07000000000000001</v>
      </c>
      <c r="U15" s="14" t="n">
        <v>0.13</v>
      </c>
      <c r="V15" s="14" t="n">
        <v>0.12</v>
      </c>
      <c r="W15" s="14" t="n">
        <v>0.13</v>
      </c>
      <c r="X15" s="14" t="n">
        <v>0.1</v>
      </c>
      <c r="Y15" s="14" t="n">
        <v>0.13</v>
      </c>
      <c r="Z15" s="14" t="n">
        <v>0.09</v>
      </c>
      <c r="AA15" s="14" t="n">
        <v>0.13</v>
      </c>
      <c r="AB15" s="14" t="n">
        <v>0.09</v>
      </c>
      <c r="AC15" s="14" t="n">
        <v>0.07000000000000001</v>
      </c>
      <c r="AD15" s="14" t="n">
        <v>0.08</v>
      </c>
      <c r="AE15" s="14" t="n">
        <v>0.12</v>
      </c>
      <c r="AF15" s="14" t="n">
        <v>0.1</v>
      </c>
    </row>
    <row r="16">
      <c r="A16" s="20" t="n"/>
      <c r="B16" s="11" t="inlineStr">
        <is>
          <t>La tolérance et le respect de la diversité au sein de la société</t>
        </is>
      </c>
      <c r="C16" s="12" t="n">
        <v>3702</v>
      </c>
      <c r="D16" s="12" t="n">
        <v>147</v>
      </c>
      <c r="E16" s="12" t="n">
        <v>149</v>
      </c>
      <c r="F16" s="12" t="n">
        <v>90</v>
      </c>
      <c r="G16" s="12" t="n">
        <v>144</v>
      </c>
      <c r="H16" s="12" t="n">
        <v>159</v>
      </c>
      <c r="I16" s="12" t="n">
        <v>191</v>
      </c>
      <c r="J16" s="12" t="n">
        <v>32</v>
      </c>
      <c r="K16" s="12" t="n">
        <v>111</v>
      </c>
      <c r="L16" s="12" t="n">
        <v>103</v>
      </c>
      <c r="M16" s="12" t="n">
        <v>111</v>
      </c>
      <c r="N16" s="12" t="n">
        <v>182</v>
      </c>
      <c r="O16" s="12" t="n">
        <v>167</v>
      </c>
      <c r="P16" s="12" t="n">
        <v>165</v>
      </c>
      <c r="Q16" s="12" t="n">
        <v>136</v>
      </c>
      <c r="R16" s="12" t="n">
        <v>20</v>
      </c>
      <c r="S16" s="12" t="n">
        <v>83</v>
      </c>
      <c r="T16" s="12" t="n">
        <v>145</v>
      </c>
      <c r="U16" s="12" t="n">
        <v>77</v>
      </c>
      <c r="V16" s="12" t="n">
        <v>127</v>
      </c>
      <c r="W16" s="12" t="n">
        <v>86</v>
      </c>
      <c r="X16" s="12" t="n">
        <v>185</v>
      </c>
      <c r="Y16" s="12" t="n">
        <v>148</v>
      </c>
      <c r="Z16" s="12" t="n">
        <v>114</v>
      </c>
      <c r="AA16" s="12" t="n">
        <v>101</v>
      </c>
      <c r="AB16" s="12" t="n">
        <v>118</v>
      </c>
      <c r="AC16" s="12" t="n">
        <v>204</v>
      </c>
      <c r="AD16" s="12" t="n">
        <v>134</v>
      </c>
      <c r="AE16" s="12" t="n">
        <v>152</v>
      </c>
      <c r="AF16" s="12" t="n">
        <v>176</v>
      </c>
    </row>
    <row r="17">
      <c r="A17" s="20" t="n"/>
      <c r="B17" s="13" t="inlineStr">
        <is>
          <t>Tolerance and respect for diversity in society</t>
        </is>
      </c>
      <c r="C17" s="14" t="n">
        <v>0.14</v>
      </c>
      <c r="D17" s="14" t="n">
        <v>0.14</v>
      </c>
      <c r="E17" s="14" t="n">
        <v>0.15</v>
      </c>
      <c r="F17" s="14" t="n">
        <v>0.09</v>
      </c>
      <c r="G17" s="14" t="n">
        <v>0.14</v>
      </c>
      <c r="H17" s="14" t="n">
        <v>0.13</v>
      </c>
      <c r="I17" s="14" t="n">
        <v>0.13</v>
      </c>
      <c r="J17" s="14" t="n">
        <v>0.11</v>
      </c>
      <c r="K17" s="14" t="n">
        <v>0.11</v>
      </c>
      <c r="L17" s="14" t="n">
        <v>0.1</v>
      </c>
      <c r="M17" s="14" t="n">
        <v>0.11</v>
      </c>
      <c r="N17" s="14" t="n">
        <v>0.18</v>
      </c>
      <c r="O17" s="14" t="n">
        <v>0.16</v>
      </c>
      <c r="P17" s="14" t="n">
        <v>0.16</v>
      </c>
      <c r="Q17" s="14" t="n">
        <v>0.13</v>
      </c>
      <c r="R17" s="14" t="n">
        <v>0.04</v>
      </c>
      <c r="S17" s="14" t="n">
        <v>0.08</v>
      </c>
      <c r="T17" s="14" t="n">
        <v>0.14</v>
      </c>
      <c r="U17" s="14" t="n">
        <v>0.15</v>
      </c>
      <c r="V17" s="14" t="n">
        <v>0.12</v>
      </c>
      <c r="W17" s="14" t="n">
        <v>0.17</v>
      </c>
      <c r="X17" s="14" t="n">
        <v>0.18</v>
      </c>
      <c r="Y17" s="14" t="n">
        <v>0.15</v>
      </c>
      <c r="Z17" s="14" t="n">
        <v>0.11</v>
      </c>
      <c r="AA17" s="14" t="n">
        <v>0.1</v>
      </c>
      <c r="AB17" s="14" t="n">
        <v>0.11</v>
      </c>
      <c r="AC17" s="14" t="n">
        <v>0.2</v>
      </c>
      <c r="AD17" s="14" t="n">
        <v>0.13</v>
      </c>
      <c r="AE17" s="14" t="n">
        <v>0.15</v>
      </c>
      <c r="AF17" s="14" t="n">
        <v>0.17</v>
      </c>
    </row>
    <row r="18">
      <c r="A18" s="20" t="n"/>
      <c r="B18" s="11" t="inlineStr">
        <is>
          <t>La solidarité entre États membres de l'UE et entre ses régions</t>
        </is>
      </c>
      <c r="C18" s="12" t="n">
        <v>4821</v>
      </c>
      <c r="D18" s="12" t="n">
        <v>197</v>
      </c>
      <c r="E18" s="12" t="n">
        <v>197</v>
      </c>
      <c r="F18" s="12" t="n">
        <v>192</v>
      </c>
      <c r="G18" s="12" t="n">
        <v>177</v>
      </c>
      <c r="H18" s="12" t="n">
        <v>194</v>
      </c>
      <c r="I18" s="12" t="n">
        <v>247</v>
      </c>
      <c r="J18" s="12" t="n">
        <v>52</v>
      </c>
      <c r="K18" s="12" t="n">
        <v>120</v>
      </c>
      <c r="L18" s="12" t="n">
        <v>164</v>
      </c>
      <c r="M18" s="12" t="n">
        <v>251</v>
      </c>
      <c r="N18" s="12" t="n">
        <v>176</v>
      </c>
      <c r="O18" s="12" t="n">
        <v>148</v>
      </c>
      <c r="P18" s="12" t="n">
        <v>249</v>
      </c>
      <c r="Q18" s="12" t="n">
        <v>244</v>
      </c>
      <c r="R18" s="12" t="n">
        <v>83</v>
      </c>
      <c r="S18" s="12" t="n">
        <v>139</v>
      </c>
      <c r="T18" s="12" t="n">
        <v>174</v>
      </c>
      <c r="U18" s="12" t="n">
        <v>83</v>
      </c>
      <c r="V18" s="12" t="n">
        <v>150</v>
      </c>
      <c r="W18" s="12" t="n">
        <v>69</v>
      </c>
      <c r="X18" s="12" t="n">
        <v>178</v>
      </c>
      <c r="Y18" s="12" t="n">
        <v>167</v>
      </c>
      <c r="Z18" s="12" t="n">
        <v>238</v>
      </c>
      <c r="AA18" s="12" t="n">
        <v>171</v>
      </c>
      <c r="AB18" s="12" t="n">
        <v>194</v>
      </c>
      <c r="AC18" s="12" t="n">
        <v>176</v>
      </c>
      <c r="AD18" s="12" t="n">
        <v>241</v>
      </c>
      <c r="AE18" s="12" t="n">
        <v>119</v>
      </c>
      <c r="AF18" s="12" t="n">
        <v>120</v>
      </c>
    </row>
    <row r="19">
      <c r="A19" s="20" t="n"/>
      <c r="B19" s="13" t="inlineStr">
        <is>
          <t>Solidarity between EU Member States and between its regions</t>
        </is>
      </c>
      <c r="C19" s="14" t="n">
        <v>0.18</v>
      </c>
      <c r="D19" s="14" t="n">
        <v>0.19</v>
      </c>
      <c r="E19" s="14" t="n">
        <v>0.19</v>
      </c>
      <c r="F19" s="14" t="n">
        <v>0.18</v>
      </c>
      <c r="G19" s="14" t="n">
        <v>0.18</v>
      </c>
      <c r="H19" s="14" t="n">
        <v>0.16</v>
      </c>
      <c r="I19" s="14" t="n">
        <v>0.16</v>
      </c>
      <c r="J19" s="14" t="n">
        <v>0.18</v>
      </c>
      <c r="K19" s="14" t="n">
        <v>0.12</v>
      </c>
      <c r="L19" s="14" t="n">
        <v>0.16</v>
      </c>
      <c r="M19" s="14" t="n">
        <v>0.25</v>
      </c>
      <c r="N19" s="14" t="n">
        <v>0.17</v>
      </c>
      <c r="O19" s="14" t="n">
        <v>0.15</v>
      </c>
      <c r="P19" s="14" t="n">
        <v>0.25</v>
      </c>
      <c r="Q19" s="14" t="n">
        <v>0.24</v>
      </c>
      <c r="R19" s="14" t="n">
        <v>0.17</v>
      </c>
      <c r="S19" s="14" t="n">
        <v>0.14</v>
      </c>
      <c r="T19" s="14" t="n">
        <v>0.17</v>
      </c>
      <c r="U19" s="14" t="n">
        <v>0.16</v>
      </c>
      <c r="V19" s="14" t="n">
        <v>0.15</v>
      </c>
      <c r="W19" s="14" t="n">
        <v>0.14</v>
      </c>
      <c r="X19" s="14" t="n">
        <v>0.17</v>
      </c>
      <c r="Y19" s="14" t="n">
        <v>0.17</v>
      </c>
      <c r="Z19" s="14" t="n">
        <v>0.23</v>
      </c>
      <c r="AA19" s="14" t="n">
        <v>0.17</v>
      </c>
      <c r="AB19" s="14" t="n">
        <v>0.19</v>
      </c>
      <c r="AC19" s="14" t="n">
        <v>0.17</v>
      </c>
      <c r="AD19" s="14" t="n">
        <v>0.24</v>
      </c>
      <c r="AE19" s="14" t="n">
        <v>0.12</v>
      </c>
      <c r="AF19" s="14" t="n">
        <v>0.12</v>
      </c>
    </row>
    <row r="20">
      <c r="A20" s="20" t="n"/>
      <c r="B20" s="11" t="inlineStr">
        <is>
          <t>La solidarité entre l’UE et les pays en développement dans le monde</t>
        </is>
      </c>
      <c r="C20" s="12" t="n">
        <v>2658</v>
      </c>
      <c r="D20" s="12" t="n">
        <v>108</v>
      </c>
      <c r="E20" s="12" t="n">
        <v>66</v>
      </c>
      <c r="F20" s="12" t="n">
        <v>88</v>
      </c>
      <c r="G20" s="12" t="n">
        <v>77</v>
      </c>
      <c r="H20" s="12" t="n">
        <v>87</v>
      </c>
      <c r="I20" s="12" t="n">
        <v>112</v>
      </c>
      <c r="J20" s="12" t="n">
        <v>26</v>
      </c>
      <c r="K20" s="12" t="n">
        <v>53</v>
      </c>
      <c r="L20" s="12" t="n">
        <v>102</v>
      </c>
      <c r="M20" s="12" t="n">
        <v>195</v>
      </c>
      <c r="N20" s="12" t="n">
        <v>111</v>
      </c>
      <c r="O20" s="12" t="n">
        <v>100</v>
      </c>
      <c r="P20" s="12" t="n">
        <v>141</v>
      </c>
      <c r="Q20" s="12" t="n">
        <v>120</v>
      </c>
      <c r="R20" s="12" t="n">
        <v>61</v>
      </c>
      <c r="S20" s="12" t="n">
        <v>55</v>
      </c>
      <c r="T20" s="12" t="n">
        <v>88</v>
      </c>
      <c r="U20" s="12" t="n">
        <v>63</v>
      </c>
      <c r="V20" s="12" t="n">
        <v>132</v>
      </c>
      <c r="W20" s="12" t="n">
        <v>46</v>
      </c>
      <c r="X20" s="12" t="n">
        <v>69</v>
      </c>
      <c r="Y20" s="12" t="n">
        <v>87</v>
      </c>
      <c r="Z20" s="12" t="n">
        <v>140</v>
      </c>
      <c r="AA20" s="12" t="n">
        <v>108</v>
      </c>
      <c r="AB20" s="12" t="n">
        <v>127</v>
      </c>
      <c r="AC20" s="12" t="n">
        <v>127</v>
      </c>
      <c r="AD20" s="12" t="n">
        <v>69</v>
      </c>
      <c r="AE20" s="12" t="n">
        <v>52</v>
      </c>
      <c r="AF20" s="12" t="n">
        <v>48</v>
      </c>
    </row>
    <row r="21">
      <c r="A21" s="20" t="n"/>
      <c r="B21" s="13" t="inlineStr">
        <is>
          <t>Solidarity between the EU and developing countries in the world</t>
        </is>
      </c>
      <c r="C21" s="14" t="n">
        <v>0.1</v>
      </c>
      <c r="D21" s="14" t="n">
        <v>0.11</v>
      </c>
      <c r="E21" s="14" t="n">
        <v>0.07000000000000001</v>
      </c>
      <c r="F21" s="14" t="n">
        <v>0.08</v>
      </c>
      <c r="G21" s="14" t="n">
        <v>0.08</v>
      </c>
      <c r="H21" s="14" t="n">
        <v>0.07000000000000001</v>
      </c>
      <c r="I21" s="14" t="n">
        <v>0.07000000000000001</v>
      </c>
      <c r="J21" s="14" t="n">
        <v>0.09</v>
      </c>
      <c r="K21" s="14" t="n">
        <v>0.05</v>
      </c>
      <c r="L21" s="14" t="n">
        <v>0.1</v>
      </c>
      <c r="M21" s="14" t="n">
        <v>0.19</v>
      </c>
      <c r="N21" s="14" t="n">
        <v>0.11</v>
      </c>
      <c r="O21" s="14" t="n">
        <v>0.1</v>
      </c>
      <c r="P21" s="14" t="n">
        <v>0.14</v>
      </c>
      <c r="Q21" s="14" t="n">
        <v>0.12</v>
      </c>
      <c r="R21" s="14" t="n">
        <v>0.12</v>
      </c>
      <c r="S21" s="14" t="n">
        <v>0.06</v>
      </c>
      <c r="T21" s="14" t="n">
        <v>0.09</v>
      </c>
      <c r="U21" s="14" t="n">
        <v>0.12</v>
      </c>
      <c r="V21" s="14" t="n">
        <v>0.13</v>
      </c>
      <c r="W21" s="14" t="n">
        <v>0.09</v>
      </c>
      <c r="X21" s="14" t="n">
        <v>0.07000000000000001</v>
      </c>
      <c r="Y21" s="14" t="n">
        <v>0.09</v>
      </c>
      <c r="Z21" s="14" t="n">
        <v>0.14</v>
      </c>
      <c r="AA21" s="14" t="n">
        <v>0.1</v>
      </c>
      <c r="AB21" s="14" t="n">
        <v>0.12</v>
      </c>
      <c r="AC21" s="14" t="n">
        <v>0.13</v>
      </c>
      <c r="AD21" s="14" t="n">
        <v>0.07000000000000001</v>
      </c>
      <c r="AE21" s="14" t="n">
        <v>0.05</v>
      </c>
      <c r="AF21" s="14" t="n">
        <v>0.05</v>
      </c>
    </row>
    <row r="22">
      <c r="A22" s="20" t="n"/>
      <c r="B22" s="11" t="inlineStr">
        <is>
          <t>La protection des droits de l'homme dans l'UE et dans le monde</t>
        </is>
      </c>
      <c r="C22" s="12" t="n">
        <v>5778</v>
      </c>
      <c r="D22" s="12" t="n">
        <v>237</v>
      </c>
      <c r="E22" s="12" t="n">
        <v>207</v>
      </c>
      <c r="F22" s="12" t="n">
        <v>234</v>
      </c>
      <c r="G22" s="12" t="n">
        <v>294</v>
      </c>
      <c r="H22" s="12" t="n">
        <v>236</v>
      </c>
      <c r="I22" s="12" t="n">
        <v>304</v>
      </c>
      <c r="J22" s="12" t="n">
        <v>68</v>
      </c>
      <c r="K22" s="12" t="n">
        <v>201</v>
      </c>
      <c r="L22" s="12" t="n">
        <v>239</v>
      </c>
      <c r="M22" s="12" t="n">
        <v>250</v>
      </c>
      <c r="N22" s="12" t="n">
        <v>241</v>
      </c>
      <c r="O22" s="12" t="n">
        <v>193</v>
      </c>
      <c r="P22" s="12" t="n">
        <v>205</v>
      </c>
      <c r="Q22" s="12" t="n">
        <v>201</v>
      </c>
      <c r="R22" s="12" t="n">
        <v>146</v>
      </c>
      <c r="S22" s="12" t="n">
        <v>301</v>
      </c>
      <c r="T22" s="12" t="n">
        <v>279</v>
      </c>
      <c r="U22" s="12" t="n">
        <v>124</v>
      </c>
      <c r="V22" s="12" t="n">
        <v>236</v>
      </c>
      <c r="W22" s="12" t="n">
        <v>111</v>
      </c>
      <c r="X22" s="12" t="n">
        <v>277</v>
      </c>
      <c r="Y22" s="12" t="n">
        <v>273</v>
      </c>
      <c r="Z22" s="12" t="n">
        <v>164</v>
      </c>
      <c r="AA22" s="12" t="n">
        <v>305</v>
      </c>
      <c r="AB22" s="12" t="n">
        <v>233</v>
      </c>
      <c r="AC22" s="12" t="n">
        <v>249</v>
      </c>
      <c r="AD22" s="12" t="n">
        <v>262</v>
      </c>
      <c r="AE22" s="12" t="n">
        <v>240</v>
      </c>
      <c r="AF22" s="12" t="n">
        <v>404</v>
      </c>
    </row>
    <row r="23">
      <c r="A23" s="20" t="n"/>
      <c r="B23" s="13" t="inlineStr">
        <is>
          <t>The protection of human rights in the EU and worldwide</t>
        </is>
      </c>
      <c r="C23" s="14" t="n">
        <v>0.22</v>
      </c>
      <c r="D23" s="14" t="n">
        <v>0.23</v>
      </c>
      <c r="E23" s="14" t="n">
        <v>0.2</v>
      </c>
      <c r="F23" s="14" t="n">
        <v>0.22</v>
      </c>
      <c r="G23" s="14" t="n">
        <v>0.29</v>
      </c>
      <c r="H23" s="14" t="n">
        <v>0.19</v>
      </c>
      <c r="I23" s="14" t="n">
        <v>0.2</v>
      </c>
      <c r="J23" s="14" t="n">
        <v>0.23</v>
      </c>
      <c r="K23" s="14" t="n">
        <v>0.2</v>
      </c>
      <c r="L23" s="14" t="n">
        <v>0.24</v>
      </c>
      <c r="M23" s="14" t="n">
        <v>0.25</v>
      </c>
      <c r="N23" s="14" t="n">
        <v>0.24</v>
      </c>
      <c r="O23" s="14" t="n">
        <v>0.19</v>
      </c>
      <c r="P23" s="14" t="n">
        <v>0.2</v>
      </c>
      <c r="Q23" s="14" t="n">
        <v>0.19</v>
      </c>
      <c r="R23" s="14" t="n">
        <v>0.29</v>
      </c>
      <c r="S23" s="14" t="n">
        <v>0.3</v>
      </c>
      <c r="T23" s="14" t="n">
        <v>0.27</v>
      </c>
      <c r="U23" s="14" t="n">
        <v>0.24</v>
      </c>
      <c r="V23" s="14" t="n">
        <v>0.23</v>
      </c>
      <c r="W23" s="14" t="n">
        <v>0.22</v>
      </c>
      <c r="X23" s="14" t="n">
        <v>0.27</v>
      </c>
      <c r="Y23" s="14" t="n">
        <v>0.27</v>
      </c>
      <c r="Z23" s="14" t="n">
        <v>0.16</v>
      </c>
      <c r="AA23" s="14" t="n">
        <v>0.3</v>
      </c>
      <c r="AB23" s="14" t="n">
        <v>0.22</v>
      </c>
      <c r="AC23" s="14" t="n">
        <v>0.25</v>
      </c>
      <c r="AD23" s="14" t="n">
        <v>0.26</v>
      </c>
      <c r="AE23" s="14" t="n">
        <v>0.24</v>
      </c>
      <c r="AF23" s="14" t="n">
        <v>0.39</v>
      </c>
    </row>
    <row r="24">
      <c r="A24" s="20" t="n"/>
      <c r="B24" s="11" t="inlineStr">
        <is>
          <t>La liberté de religion et de croyance</t>
        </is>
      </c>
      <c r="C24" s="12" t="n">
        <v>1533</v>
      </c>
      <c r="D24" s="12" t="n">
        <v>66</v>
      </c>
      <c r="E24" s="12" t="n">
        <v>66</v>
      </c>
      <c r="F24" s="12" t="n">
        <v>26</v>
      </c>
      <c r="G24" s="12" t="n">
        <v>47</v>
      </c>
      <c r="H24" s="12" t="n">
        <v>38</v>
      </c>
      <c r="I24" s="12" t="n">
        <v>46</v>
      </c>
      <c r="J24" s="12" t="n">
        <v>8</v>
      </c>
      <c r="K24" s="12" t="n">
        <v>119</v>
      </c>
      <c r="L24" s="12" t="n">
        <v>77</v>
      </c>
      <c r="M24" s="12" t="n">
        <v>63</v>
      </c>
      <c r="N24" s="12" t="n">
        <v>51</v>
      </c>
      <c r="O24" s="12" t="n">
        <v>63</v>
      </c>
      <c r="P24" s="12" t="n">
        <v>104</v>
      </c>
      <c r="Q24" s="12" t="n">
        <v>62</v>
      </c>
      <c r="R24" s="12" t="n">
        <v>42</v>
      </c>
      <c r="S24" s="12" t="n">
        <v>44</v>
      </c>
      <c r="T24" s="12" t="n">
        <v>35</v>
      </c>
      <c r="U24" s="12" t="n">
        <v>36</v>
      </c>
      <c r="V24" s="12" t="n">
        <v>64</v>
      </c>
      <c r="W24" s="12" t="n">
        <v>70</v>
      </c>
      <c r="X24" s="12" t="n">
        <v>62</v>
      </c>
      <c r="Y24" s="12" t="n">
        <v>78</v>
      </c>
      <c r="Z24" s="12" t="n">
        <v>85</v>
      </c>
      <c r="AA24" s="12" t="n">
        <v>36</v>
      </c>
      <c r="AB24" s="12" t="n">
        <v>138</v>
      </c>
      <c r="AC24" s="12" t="n">
        <v>50</v>
      </c>
      <c r="AD24" s="12" t="n">
        <v>70</v>
      </c>
      <c r="AE24" s="12" t="n">
        <v>55</v>
      </c>
      <c r="AF24" s="12" t="n">
        <v>43</v>
      </c>
    </row>
    <row r="25">
      <c r="A25" s="20" t="n"/>
      <c r="B25" s="13" t="inlineStr">
        <is>
          <t>Freedom of religion and belief</t>
        </is>
      </c>
      <c r="C25" s="14" t="n">
        <v>0.06</v>
      </c>
      <c r="D25" s="14" t="n">
        <v>0.06</v>
      </c>
      <c r="E25" s="14" t="n">
        <v>0.06</v>
      </c>
      <c r="F25" s="14" t="n">
        <v>0.02</v>
      </c>
      <c r="G25" s="14" t="n">
        <v>0.05</v>
      </c>
      <c r="H25" s="14" t="n">
        <v>0.03</v>
      </c>
      <c r="I25" s="14" t="n">
        <v>0.03</v>
      </c>
      <c r="J25" s="14" t="n">
        <v>0.03</v>
      </c>
      <c r="K25" s="14" t="n">
        <v>0.12</v>
      </c>
      <c r="L25" s="14" t="n">
        <v>0.08</v>
      </c>
      <c r="M25" s="14" t="n">
        <v>0.06</v>
      </c>
      <c r="N25" s="14" t="n">
        <v>0.05</v>
      </c>
      <c r="O25" s="14" t="n">
        <v>0.06</v>
      </c>
      <c r="P25" s="14" t="n">
        <v>0.1</v>
      </c>
      <c r="Q25" s="14" t="n">
        <v>0.06</v>
      </c>
      <c r="R25" s="14" t="n">
        <v>0.08</v>
      </c>
      <c r="S25" s="14" t="n">
        <v>0.04</v>
      </c>
      <c r="T25" s="14" t="n">
        <v>0.03</v>
      </c>
      <c r="U25" s="14" t="n">
        <v>0.07000000000000001</v>
      </c>
      <c r="V25" s="14" t="n">
        <v>0.06</v>
      </c>
      <c r="W25" s="14" t="n">
        <v>0.14</v>
      </c>
      <c r="X25" s="14" t="n">
        <v>0.06</v>
      </c>
      <c r="Y25" s="14" t="n">
        <v>0.08</v>
      </c>
      <c r="Z25" s="14" t="n">
        <v>0.08</v>
      </c>
      <c r="AA25" s="14" t="n">
        <v>0.03</v>
      </c>
      <c r="AB25" s="14" t="n">
        <v>0.13</v>
      </c>
      <c r="AC25" s="14" t="n">
        <v>0.05</v>
      </c>
      <c r="AD25" s="14" t="n">
        <v>0.07000000000000001</v>
      </c>
      <c r="AE25" s="14" t="n">
        <v>0.05</v>
      </c>
      <c r="AF25" s="14" t="n">
        <v>0.04</v>
      </c>
    </row>
    <row r="26">
      <c r="A26" s="20" t="n"/>
      <c r="B26" s="11" t="inlineStr">
        <is>
          <t>La libre circulation</t>
        </is>
      </c>
      <c r="C26" s="12" t="n">
        <v>3961</v>
      </c>
      <c r="D26" s="12" t="n">
        <v>120</v>
      </c>
      <c r="E26" s="12" t="n">
        <v>310</v>
      </c>
      <c r="F26" s="12" t="n">
        <v>239</v>
      </c>
      <c r="G26" s="12" t="n">
        <v>112</v>
      </c>
      <c r="H26" s="12" t="n">
        <v>118</v>
      </c>
      <c r="I26" s="12" t="n">
        <v>148</v>
      </c>
      <c r="J26" s="12" t="n">
        <v>30</v>
      </c>
      <c r="K26" s="12" t="n">
        <v>265</v>
      </c>
      <c r="L26" s="12" t="n">
        <v>218</v>
      </c>
      <c r="M26" s="12" t="n">
        <v>76</v>
      </c>
      <c r="N26" s="12" t="n">
        <v>125</v>
      </c>
      <c r="O26" s="12" t="n">
        <v>115</v>
      </c>
      <c r="P26" s="12" t="n">
        <v>241</v>
      </c>
      <c r="Q26" s="12" t="n">
        <v>201</v>
      </c>
      <c r="R26" s="12" t="n">
        <v>46</v>
      </c>
      <c r="S26" s="12" t="n">
        <v>149</v>
      </c>
      <c r="T26" s="12" t="n">
        <v>221</v>
      </c>
      <c r="U26" s="12" t="n">
        <v>86</v>
      </c>
      <c r="V26" s="12" t="n">
        <v>215</v>
      </c>
      <c r="W26" s="12" t="n">
        <v>71</v>
      </c>
      <c r="X26" s="12" t="n">
        <v>77</v>
      </c>
      <c r="Y26" s="12" t="n">
        <v>121</v>
      </c>
      <c r="Z26" s="12" t="n">
        <v>285</v>
      </c>
      <c r="AA26" s="12" t="n">
        <v>68</v>
      </c>
      <c r="AB26" s="12" t="n">
        <v>234</v>
      </c>
      <c r="AC26" s="12" t="n">
        <v>162</v>
      </c>
      <c r="AD26" s="12" t="n">
        <v>206</v>
      </c>
      <c r="AE26" s="12" t="n">
        <v>146</v>
      </c>
      <c r="AF26" s="12" t="n">
        <v>100</v>
      </c>
    </row>
    <row r="27">
      <c r="A27" s="20" t="n"/>
      <c r="B27" s="13" t="inlineStr">
        <is>
          <t>Freedom of movement</t>
        </is>
      </c>
      <c r="C27" s="14" t="n">
        <v>0.15</v>
      </c>
      <c r="D27" s="14" t="n">
        <v>0.12</v>
      </c>
      <c r="E27" s="14" t="n">
        <v>0.31</v>
      </c>
      <c r="F27" s="14" t="n">
        <v>0.23</v>
      </c>
      <c r="G27" s="14" t="n">
        <v>0.11</v>
      </c>
      <c r="H27" s="14" t="n">
        <v>0.1</v>
      </c>
      <c r="I27" s="14" t="n">
        <v>0.1</v>
      </c>
      <c r="J27" s="14" t="n">
        <v>0.1</v>
      </c>
      <c r="K27" s="14" t="n">
        <v>0.26</v>
      </c>
      <c r="L27" s="14" t="n">
        <v>0.22</v>
      </c>
      <c r="M27" s="14" t="n">
        <v>0.08</v>
      </c>
      <c r="N27" s="14" t="n">
        <v>0.12</v>
      </c>
      <c r="O27" s="14" t="n">
        <v>0.11</v>
      </c>
      <c r="P27" s="14" t="n">
        <v>0.24</v>
      </c>
      <c r="Q27" s="14" t="n">
        <v>0.2</v>
      </c>
      <c r="R27" s="14" t="n">
        <v>0.09</v>
      </c>
      <c r="S27" s="14" t="n">
        <v>0.15</v>
      </c>
      <c r="T27" s="14" t="n">
        <v>0.22</v>
      </c>
      <c r="U27" s="14" t="n">
        <v>0.17</v>
      </c>
      <c r="V27" s="14" t="n">
        <v>0.21</v>
      </c>
      <c r="W27" s="14" t="n">
        <v>0.14</v>
      </c>
      <c r="X27" s="14" t="n">
        <v>0.08</v>
      </c>
      <c r="Y27" s="14" t="n">
        <v>0.12</v>
      </c>
      <c r="Z27" s="14" t="n">
        <v>0.28</v>
      </c>
      <c r="AA27" s="14" t="n">
        <v>0.07000000000000001</v>
      </c>
      <c r="AB27" s="14" t="n">
        <v>0.22</v>
      </c>
      <c r="AC27" s="14" t="n">
        <v>0.16</v>
      </c>
      <c r="AD27" s="14" t="n">
        <v>0.21</v>
      </c>
      <c r="AE27" s="14" t="n">
        <v>0.14</v>
      </c>
      <c r="AF27" s="14" t="n">
        <v>0.1</v>
      </c>
    </row>
    <row r="28">
      <c r="A28" s="20" t="n"/>
      <c r="B28" s="11" t="inlineStr">
        <is>
          <t>La liberté d'expression et de pensée</t>
        </is>
      </c>
      <c r="C28" s="12" t="n">
        <v>5750</v>
      </c>
      <c r="D28" s="12" t="n">
        <v>217</v>
      </c>
      <c r="E28" s="12" t="n">
        <v>147</v>
      </c>
      <c r="F28" s="12" t="n">
        <v>286</v>
      </c>
      <c r="G28" s="12" t="n">
        <v>269</v>
      </c>
      <c r="H28" s="12" t="n">
        <v>303</v>
      </c>
      <c r="I28" s="12" t="n">
        <v>396</v>
      </c>
      <c r="J28" s="12" t="n">
        <v>93</v>
      </c>
      <c r="K28" s="12" t="n">
        <v>222</v>
      </c>
      <c r="L28" s="12" t="n">
        <v>219</v>
      </c>
      <c r="M28" s="12" t="n">
        <v>141</v>
      </c>
      <c r="N28" s="12" t="n">
        <v>176</v>
      </c>
      <c r="O28" s="12" t="n">
        <v>230</v>
      </c>
      <c r="P28" s="12" t="n">
        <v>215</v>
      </c>
      <c r="Q28" s="12" t="n">
        <v>215</v>
      </c>
      <c r="R28" s="12" t="n">
        <v>108</v>
      </c>
      <c r="S28" s="12" t="n">
        <v>286</v>
      </c>
      <c r="T28" s="12" t="n">
        <v>284</v>
      </c>
      <c r="U28" s="12" t="n">
        <v>114</v>
      </c>
      <c r="V28" s="12" t="n">
        <v>189</v>
      </c>
      <c r="W28" s="12" t="n">
        <v>79</v>
      </c>
      <c r="X28" s="12" t="n">
        <v>247</v>
      </c>
      <c r="Y28" s="12" t="n">
        <v>298</v>
      </c>
      <c r="Z28" s="12" t="n">
        <v>151</v>
      </c>
      <c r="AA28" s="12" t="n">
        <v>112</v>
      </c>
      <c r="AB28" s="12" t="n">
        <v>225</v>
      </c>
      <c r="AC28" s="12" t="n">
        <v>213</v>
      </c>
      <c r="AD28" s="12" t="n">
        <v>208</v>
      </c>
      <c r="AE28" s="12" t="n">
        <v>217</v>
      </c>
      <c r="AF28" s="12" t="n">
        <v>378</v>
      </c>
    </row>
    <row r="29">
      <c r="A29" s="20" t="n"/>
      <c r="B29" s="13" t="inlineStr">
        <is>
          <t>Freedom of speech and thought</t>
        </is>
      </c>
      <c r="C29" s="14" t="n">
        <v>0.22</v>
      </c>
      <c r="D29" s="14" t="n">
        <v>0.21</v>
      </c>
      <c r="E29" s="14" t="n">
        <v>0.14</v>
      </c>
      <c r="F29" s="14" t="n">
        <v>0.27</v>
      </c>
      <c r="G29" s="14" t="n">
        <v>0.27</v>
      </c>
      <c r="H29" s="14" t="n">
        <v>0.25</v>
      </c>
      <c r="I29" s="14" t="n">
        <v>0.26</v>
      </c>
      <c r="J29" s="14" t="n">
        <v>0.32</v>
      </c>
      <c r="K29" s="14" t="n">
        <v>0.22</v>
      </c>
      <c r="L29" s="14" t="n">
        <v>0.22</v>
      </c>
      <c r="M29" s="14" t="n">
        <v>0.14</v>
      </c>
      <c r="N29" s="14" t="n">
        <v>0.18</v>
      </c>
      <c r="O29" s="14" t="n">
        <v>0.23</v>
      </c>
      <c r="P29" s="14" t="n">
        <v>0.21</v>
      </c>
      <c r="Q29" s="14" t="n">
        <v>0.21</v>
      </c>
      <c r="R29" s="14" t="n">
        <v>0.22</v>
      </c>
      <c r="S29" s="14" t="n">
        <v>0.28</v>
      </c>
      <c r="T29" s="14" t="n">
        <v>0.28</v>
      </c>
      <c r="U29" s="14" t="n">
        <v>0.23</v>
      </c>
      <c r="V29" s="14" t="n">
        <v>0.18</v>
      </c>
      <c r="W29" s="14" t="n">
        <v>0.16</v>
      </c>
      <c r="X29" s="14" t="n">
        <v>0.24</v>
      </c>
      <c r="Y29" s="14" t="n">
        <v>0.3</v>
      </c>
      <c r="Z29" s="14" t="n">
        <v>0.15</v>
      </c>
      <c r="AA29" s="14" t="n">
        <v>0.11</v>
      </c>
      <c r="AB29" s="14" t="n">
        <v>0.22</v>
      </c>
      <c r="AC29" s="14" t="n">
        <v>0.21</v>
      </c>
      <c r="AD29" s="14" t="n">
        <v>0.21</v>
      </c>
      <c r="AE29" s="14" t="n">
        <v>0.21</v>
      </c>
      <c r="AF29" s="14" t="n">
        <v>0.36</v>
      </c>
    </row>
    <row r="30">
      <c r="A30" s="20" t="n"/>
      <c r="B30" s="11" t="inlineStr">
        <is>
          <t>La dignité humaine, y compris l'interdiction de la peine de mort, de la torture et de l'esclavage</t>
        </is>
      </c>
      <c r="C30" s="12" t="n">
        <v>3751</v>
      </c>
      <c r="D30" s="12" t="n">
        <v>160</v>
      </c>
      <c r="E30" s="12" t="n">
        <v>117</v>
      </c>
      <c r="F30" s="12" t="n">
        <v>113</v>
      </c>
      <c r="G30" s="12" t="n">
        <v>151</v>
      </c>
      <c r="H30" s="12" t="n">
        <v>154</v>
      </c>
      <c r="I30" s="12" t="n">
        <v>194</v>
      </c>
      <c r="J30" s="12" t="n">
        <v>40</v>
      </c>
      <c r="K30" s="12" t="n">
        <v>98</v>
      </c>
      <c r="L30" s="12" t="n">
        <v>133</v>
      </c>
      <c r="M30" s="12" t="n">
        <v>229</v>
      </c>
      <c r="N30" s="12" t="n">
        <v>150</v>
      </c>
      <c r="O30" s="12" t="n">
        <v>143</v>
      </c>
      <c r="P30" s="12" t="n">
        <v>196</v>
      </c>
      <c r="Q30" s="12" t="n">
        <v>161</v>
      </c>
      <c r="R30" s="12" t="n">
        <v>111</v>
      </c>
      <c r="S30" s="12" t="n">
        <v>81</v>
      </c>
      <c r="T30" s="12" t="n">
        <v>80</v>
      </c>
      <c r="U30" s="12" t="n">
        <v>60</v>
      </c>
      <c r="V30" s="12" t="n">
        <v>120</v>
      </c>
      <c r="W30" s="12" t="n">
        <v>40</v>
      </c>
      <c r="X30" s="12" t="n">
        <v>146</v>
      </c>
      <c r="Y30" s="12" t="n">
        <v>131</v>
      </c>
      <c r="Z30" s="12" t="n">
        <v>139</v>
      </c>
      <c r="AA30" s="12" t="n">
        <v>148</v>
      </c>
      <c r="AB30" s="12" t="n">
        <v>104</v>
      </c>
      <c r="AC30" s="12" t="n">
        <v>140</v>
      </c>
      <c r="AD30" s="12" t="n">
        <v>183</v>
      </c>
      <c r="AE30" s="12" t="n">
        <v>179</v>
      </c>
      <c r="AF30" s="12" t="n">
        <v>195</v>
      </c>
    </row>
    <row r="31">
      <c r="A31" s="20" t="n"/>
      <c r="B31" s="13" t="inlineStr">
        <is>
          <t>Human dignity, including the prohibition of the death penalty, torture or slavery</t>
        </is>
      </c>
      <c r="C31" s="14" t="n">
        <v>0.14</v>
      </c>
      <c r="D31" s="14" t="n">
        <v>0.16</v>
      </c>
      <c r="E31" s="14" t="n">
        <v>0.12</v>
      </c>
      <c r="F31" s="14" t="n">
        <v>0.11</v>
      </c>
      <c r="G31" s="14" t="n">
        <v>0.15</v>
      </c>
      <c r="H31" s="14" t="n">
        <v>0.13</v>
      </c>
      <c r="I31" s="14" t="n">
        <v>0.13</v>
      </c>
      <c r="J31" s="14" t="n">
        <v>0.14</v>
      </c>
      <c r="K31" s="14" t="n">
        <v>0.1</v>
      </c>
      <c r="L31" s="14" t="n">
        <v>0.13</v>
      </c>
      <c r="M31" s="14" t="n">
        <v>0.23</v>
      </c>
      <c r="N31" s="14" t="n">
        <v>0.15</v>
      </c>
      <c r="O31" s="14" t="n">
        <v>0.14</v>
      </c>
      <c r="P31" s="14" t="n">
        <v>0.19</v>
      </c>
      <c r="Q31" s="14" t="n">
        <v>0.16</v>
      </c>
      <c r="R31" s="14" t="n">
        <v>0.22</v>
      </c>
      <c r="S31" s="14" t="n">
        <v>0.08</v>
      </c>
      <c r="T31" s="14" t="n">
        <v>0.08</v>
      </c>
      <c r="U31" s="14" t="n">
        <v>0.12</v>
      </c>
      <c r="V31" s="14" t="n">
        <v>0.12</v>
      </c>
      <c r="W31" s="14" t="n">
        <v>0.08</v>
      </c>
      <c r="X31" s="14" t="n">
        <v>0.14</v>
      </c>
      <c r="Y31" s="14" t="n">
        <v>0.13</v>
      </c>
      <c r="Z31" s="14" t="n">
        <v>0.14</v>
      </c>
      <c r="AA31" s="14" t="n">
        <v>0.14</v>
      </c>
      <c r="AB31" s="14" t="n">
        <v>0.1</v>
      </c>
      <c r="AC31" s="14" t="n">
        <v>0.14</v>
      </c>
      <c r="AD31" s="14" t="n">
        <v>0.18</v>
      </c>
      <c r="AE31" s="14" t="n">
        <v>0.18</v>
      </c>
      <c r="AF31" s="14" t="n">
        <v>0.19</v>
      </c>
    </row>
    <row r="32">
      <c r="A32" s="20" t="n"/>
      <c r="B32" s="11" t="inlineStr">
        <is>
          <t>La démocratie</t>
        </is>
      </c>
      <c r="C32" s="12" t="n">
        <v>8431</v>
      </c>
      <c r="D32" s="12" t="n">
        <v>330</v>
      </c>
      <c r="E32" s="12" t="n">
        <v>221</v>
      </c>
      <c r="F32" s="12" t="n">
        <v>249</v>
      </c>
      <c r="G32" s="12" t="n">
        <v>444</v>
      </c>
      <c r="H32" s="12" t="n">
        <v>605</v>
      </c>
      <c r="I32" s="12" t="n">
        <v>710</v>
      </c>
      <c r="J32" s="12" t="n">
        <v>105</v>
      </c>
      <c r="K32" s="12" t="n">
        <v>172</v>
      </c>
      <c r="L32" s="12" t="n">
        <v>287</v>
      </c>
      <c r="M32" s="12" t="n">
        <v>301</v>
      </c>
      <c r="N32" s="12" t="n">
        <v>284</v>
      </c>
      <c r="O32" s="12" t="n">
        <v>280</v>
      </c>
      <c r="P32" s="12" t="n">
        <v>164</v>
      </c>
      <c r="Q32" s="12" t="n">
        <v>307</v>
      </c>
      <c r="R32" s="12" t="n">
        <v>162</v>
      </c>
      <c r="S32" s="12" t="n">
        <v>229</v>
      </c>
      <c r="T32" s="12" t="n">
        <v>186</v>
      </c>
      <c r="U32" s="12" t="n">
        <v>178</v>
      </c>
      <c r="V32" s="12" t="n">
        <v>359</v>
      </c>
      <c r="W32" s="12" t="n">
        <v>130</v>
      </c>
      <c r="X32" s="12" t="n">
        <v>351</v>
      </c>
      <c r="Y32" s="12" t="n">
        <v>291</v>
      </c>
      <c r="Z32" s="12" t="n">
        <v>184</v>
      </c>
      <c r="AA32" s="12" t="n">
        <v>335</v>
      </c>
      <c r="AB32" s="12" t="n">
        <v>257</v>
      </c>
      <c r="AC32" s="12" t="n">
        <v>218</v>
      </c>
      <c r="AD32" s="12" t="n">
        <v>217</v>
      </c>
      <c r="AE32" s="12" t="n">
        <v>406</v>
      </c>
      <c r="AF32" s="12" t="n">
        <v>525</v>
      </c>
    </row>
    <row r="33">
      <c r="A33" s="20" t="n"/>
      <c r="B33" s="13" t="inlineStr">
        <is>
          <t>Democracy</t>
        </is>
      </c>
      <c r="C33" s="14" t="n">
        <v>0.32</v>
      </c>
      <c r="D33" s="14" t="n">
        <v>0.32</v>
      </c>
      <c r="E33" s="14" t="n">
        <v>0.22</v>
      </c>
      <c r="F33" s="14" t="n">
        <v>0.24</v>
      </c>
      <c r="G33" s="14" t="n">
        <v>0.44</v>
      </c>
      <c r="H33" s="14" t="n">
        <v>0.5</v>
      </c>
      <c r="I33" s="14" t="n">
        <v>0.47</v>
      </c>
      <c r="J33" s="14" t="n">
        <v>0.36</v>
      </c>
      <c r="K33" s="14" t="n">
        <v>0.17</v>
      </c>
      <c r="L33" s="14" t="n">
        <v>0.28</v>
      </c>
      <c r="M33" s="14" t="n">
        <v>0.3</v>
      </c>
      <c r="N33" s="14" t="n">
        <v>0.28</v>
      </c>
      <c r="O33" s="14" t="n">
        <v>0.28</v>
      </c>
      <c r="P33" s="14" t="n">
        <v>0.16</v>
      </c>
      <c r="Q33" s="14" t="n">
        <v>0.3</v>
      </c>
      <c r="R33" s="14" t="n">
        <v>0.32</v>
      </c>
      <c r="S33" s="14" t="n">
        <v>0.23</v>
      </c>
      <c r="T33" s="14" t="n">
        <v>0.18</v>
      </c>
      <c r="U33" s="14" t="n">
        <v>0.35</v>
      </c>
      <c r="V33" s="14" t="n">
        <v>0.35</v>
      </c>
      <c r="W33" s="14" t="n">
        <v>0.26</v>
      </c>
      <c r="X33" s="14" t="n">
        <v>0.34</v>
      </c>
      <c r="Y33" s="14" t="n">
        <v>0.29</v>
      </c>
      <c r="Z33" s="14" t="n">
        <v>0.18</v>
      </c>
      <c r="AA33" s="14" t="n">
        <v>0.32</v>
      </c>
      <c r="AB33" s="14" t="n">
        <v>0.25</v>
      </c>
      <c r="AC33" s="14" t="n">
        <v>0.22</v>
      </c>
      <c r="AD33" s="14" t="n">
        <v>0.22</v>
      </c>
      <c r="AE33" s="14" t="n">
        <v>0.4</v>
      </c>
      <c r="AF33" s="14" t="n">
        <v>0.51</v>
      </c>
    </row>
    <row r="34">
      <c r="A34" s="20" t="n"/>
      <c r="B34" s="11" t="inlineStr">
        <is>
          <t>L'État de droit</t>
        </is>
      </c>
      <c r="C34" s="12" t="n">
        <v>5481</v>
      </c>
      <c r="D34" s="12" t="n">
        <v>186</v>
      </c>
      <c r="E34" s="12" t="n">
        <v>268</v>
      </c>
      <c r="F34" s="12" t="n">
        <v>149</v>
      </c>
      <c r="G34" s="12" t="n">
        <v>245</v>
      </c>
      <c r="H34" s="12" t="n">
        <v>327</v>
      </c>
      <c r="I34" s="12" t="n">
        <v>400</v>
      </c>
      <c r="J34" s="12" t="n">
        <v>73</v>
      </c>
      <c r="K34" s="12" t="n">
        <v>180</v>
      </c>
      <c r="L34" s="12" t="n">
        <v>219</v>
      </c>
      <c r="M34" s="12" t="n">
        <v>362</v>
      </c>
      <c r="N34" s="12" t="n">
        <v>208</v>
      </c>
      <c r="O34" s="12" t="n">
        <v>158</v>
      </c>
      <c r="P34" s="12" t="n">
        <v>224</v>
      </c>
      <c r="Q34" s="12" t="n">
        <v>161</v>
      </c>
      <c r="R34" s="12" t="n">
        <v>186</v>
      </c>
      <c r="S34" s="12" t="n">
        <v>217</v>
      </c>
      <c r="T34" s="12" t="n">
        <v>126</v>
      </c>
      <c r="U34" s="12" t="n">
        <v>88</v>
      </c>
      <c r="V34" s="12" t="n">
        <v>209</v>
      </c>
      <c r="W34" s="12" t="n">
        <v>161</v>
      </c>
      <c r="X34" s="12" t="n">
        <v>283</v>
      </c>
      <c r="Y34" s="12" t="n">
        <v>209</v>
      </c>
      <c r="Z34" s="12" t="n">
        <v>188</v>
      </c>
      <c r="AA34" s="12" t="n">
        <v>155</v>
      </c>
      <c r="AB34" s="12" t="n">
        <v>197</v>
      </c>
      <c r="AC34" s="12" t="n">
        <v>224</v>
      </c>
      <c r="AD34" s="12" t="n">
        <v>263</v>
      </c>
      <c r="AE34" s="12" t="n">
        <v>334</v>
      </c>
      <c r="AF34" s="12" t="n">
        <v>234</v>
      </c>
    </row>
    <row r="35">
      <c r="A35" s="20" t="n"/>
      <c r="B35" s="13" t="inlineStr">
        <is>
          <t>The rule of law</t>
        </is>
      </c>
      <c r="C35" s="14" t="n">
        <v>0.21</v>
      </c>
      <c r="D35" s="14" t="n">
        <v>0.18</v>
      </c>
      <c r="E35" s="14" t="n">
        <v>0.26</v>
      </c>
      <c r="F35" s="14" t="n">
        <v>0.14</v>
      </c>
      <c r="G35" s="14" t="n">
        <v>0.24</v>
      </c>
      <c r="H35" s="14" t="n">
        <v>0.27</v>
      </c>
      <c r="I35" s="14" t="n">
        <v>0.27</v>
      </c>
      <c r="J35" s="14" t="n">
        <v>0.25</v>
      </c>
      <c r="K35" s="14" t="n">
        <v>0.18</v>
      </c>
      <c r="L35" s="14" t="n">
        <v>0.22</v>
      </c>
      <c r="M35" s="14" t="n">
        <v>0.36</v>
      </c>
      <c r="N35" s="14" t="n">
        <v>0.21</v>
      </c>
      <c r="O35" s="14" t="n">
        <v>0.16</v>
      </c>
      <c r="P35" s="14" t="n">
        <v>0.22</v>
      </c>
      <c r="Q35" s="14" t="n">
        <v>0.16</v>
      </c>
      <c r="R35" s="14" t="n">
        <v>0.37</v>
      </c>
      <c r="S35" s="14" t="n">
        <v>0.22</v>
      </c>
      <c r="T35" s="14" t="n">
        <v>0.12</v>
      </c>
      <c r="U35" s="14" t="n">
        <v>0.17</v>
      </c>
      <c r="V35" s="14" t="n">
        <v>0.2</v>
      </c>
      <c r="W35" s="14" t="n">
        <v>0.32</v>
      </c>
      <c r="X35" s="14" t="n">
        <v>0.28</v>
      </c>
      <c r="Y35" s="14" t="n">
        <v>0.21</v>
      </c>
      <c r="Z35" s="14" t="n">
        <v>0.18</v>
      </c>
      <c r="AA35" s="14" t="n">
        <v>0.15</v>
      </c>
      <c r="AB35" s="14" t="n">
        <v>0.19</v>
      </c>
      <c r="AC35" s="14" t="n">
        <v>0.22</v>
      </c>
      <c r="AD35" s="14" t="n">
        <v>0.26</v>
      </c>
      <c r="AE35" s="14" t="n">
        <v>0.33</v>
      </c>
      <c r="AF35" s="14" t="n">
        <v>0.23</v>
      </c>
    </row>
    <row r="36">
      <c r="A36" s="20" t="n"/>
      <c r="B36" s="11" t="inlineStr">
        <is>
          <t>Le respect des identités, cultures et traditions nationales dans les États membres de l’UE</t>
        </is>
      </c>
      <c r="C36" s="12" t="n">
        <v>3922</v>
      </c>
      <c r="D36" s="12" t="n">
        <v>140</v>
      </c>
      <c r="E36" s="12" t="n">
        <v>273</v>
      </c>
      <c r="F36" s="12" t="n">
        <v>211</v>
      </c>
      <c r="G36" s="12" t="n">
        <v>194</v>
      </c>
      <c r="H36" s="12" t="n">
        <v>100</v>
      </c>
      <c r="I36" s="12" t="n">
        <v>129</v>
      </c>
      <c r="J36" s="12" t="n">
        <v>28</v>
      </c>
      <c r="K36" s="12" t="n">
        <v>269</v>
      </c>
      <c r="L36" s="12" t="n">
        <v>114</v>
      </c>
      <c r="M36" s="12" t="n">
        <v>162</v>
      </c>
      <c r="N36" s="12" t="n">
        <v>175</v>
      </c>
      <c r="O36" s="12" t="n">
        <v>150</v>
      </c>
      <c r="P36" s="12" t="n">
        <v>182</v>
      </c>
      <c r="Q36" s="12" t="n">
        <v>152</v>
      </c>
      <c r="R36" s="12" t="n">
        <v>66</v>
      </c>
      <c r="S36" s="12" t="n">
        <v>169</v>
      </c>
      <c r="T36" s="12" t="n">
        <v>162</v>
      </c>
      <c r="U36" s="12" t="n">
        <v>79</v>
      </c>
      <c r="V36" s="12" t="n">
        <v>182</v>
      </c>
      <c r="W36" s="12" t="n">
        <v>76</v>
      </c>
      <c r="X36" s="12" t="n">
        <v>142</v>
      </c>
      <c r="Y36" s="12" t="n">
        <v>178</v>
      </c>
      <c r="Z36" s="12" t="n">
        <v>179</v>
      </c>
      <c r="AA36" s="12" t="n">
        <v>225</v>
      </c>
      <c r="AB36" s="12" t="n">
        <v>198</v>
      </c>
      <c r="AC36" s="12" t="n">
        <v>154</v>
      </c>
      <c r="AD36" s="12" t="n">
        <v>197</v>
      </c>
      <c r="AE36" s="12" t="n">
        <v>115</v>
      </c>
      <c r="AF36" s="12" t="n">
        <v>89</v>
      </c>
    </row>
    <row r="37">
      <c r="A37" s="20" t="n"/>
      <c r="B37" s="13" t="inlineStr">
        <is>
          <t>Respect for national identities, cultures and traditions in the EU Member States</t>
        </is>
      </c>
      <c r="C37" s="14" t="n">
        <v>0.15</v>
      </c>
      <c r="D37" s="14" t="n">
        <v>0.14</v>
      </c>
      <c r="E37" s="14" t="n">
        <v>0.27</v>
      </c>
      <c r="F37" s="14" t="n">
        <v>0.2</v>
      </c>
      <c r="G37" s="14" t="n">
        <v>0.19</v>
      </c>
      <c r="H37" s="14" t="n">
        <v>0.08</v>
      </c>
      <c r="I37" s="14" t="n">
        <v>0.09</v>
      </c>
      <c r="J37" s="14" t="n">
        <v>0.1</v>
      </c>
      <c r="K37" s="14" t="n">
        <v>0.27</v>
      </c>
      <c r="L37" s="14" t="n">
        <v>0.11</v>
      </c>
      <c r="M37" s="14" t="n">
        <v>0.16</v>
      </c>
      <c r="N37" s="14" t="n">
        <v>0.17</v>
      </c>
      <c r="O37" s="14" t="n">
        <v>0.15</v>
      </c>
      <c r="P37" s="14" t="n">
        <v>0.18</v>
      </c>
      <c r="Q37" s="14" t="n">
        <v>0.15</v>
      </c>
      <c r="R37" s="14" t="n">
        <v>0.13</v>
      </c>
      <c r="S37" s="14" t="n">
        <v>0.17</v>
      </c>
      <c r="T37" s="14" t="n">
        <v>0.16</v>
      </c>
      <c r="U37" s="14" t="n">
        <v>0.16</v>
      </c>
      <c r="V37" s="14" t="n">
        <v>0.18</v>
      </c>
      <c r="W37" s="14" t="n">
        <v>0.15</v>
      </c>
      <c r="X37" s="14" t="n">
        <v>0.14</v>
      </c>
      <c r="Y37" s="14" t="n">
        <v>0.18</v>
      </c>
      <c r="Z37" s="14" t="n">
        <v>0.18</v>
      </c>
      <c r="AA37" s="14" t="n">
        <v>0.22</v>
      </c>
      <c r="AB37" s="14" t="n">
        <v>0.19</v>
      </c>
      <c r="AC37" s="14" t="n">
        <v>0.15</v>
      </c>
      <c r="AD37" s="14" t="n">
        <v>0.2</v>
      </c>
      <c r="AE37" s="14" t="n">
        <v>0.11</v>
      </c>
      <c r="AF37" s="14" t="n">
        <v>0.09</v>
      </c>
    </row>
    <row r="38">
      <c r="A38" s="20" t="n"/>
      <c r="B38" s="11" t="inlineStr">
        <is>
          <t>Le droit de demander l'asile en cas de persécution</t>
        </is>
      </c>
      <c r="C38" s="12" t="n">
        <v>1427</v>
      </c>
      <c r="D38" s="12" t="n">
        <v>45</v>
      </c>
      <c r="E38" s="12" t="n">
        <v>37</v>
      </c>
      <c r="F38" s="12" t="n">
        <v>28</v>
      </c>
      <c r="G38" s="12" t="n">
        <v>34</v>
      </c>
      <c r="H38" s="12" t="n">
        <v>70</v>
      </c>
      <c r="I38" s="12" t="n">
        <v>81</v>
      </c>
      <c r="J38" s="12" t="n">
        <v>11</v>
      </c>
      <c r="K38" s="12" t="n">
        <v>39</v>
      </c>
      <c r="L38" s="12" t="n">
        <v>66</v>
      </c>
      <c r="M38" s="12" t="n">
        <v>55</v>
      </c>
      <c r="N38" s="12" t="n">
        <v>53</v>
      </c>
      <c r="O38" s="12" t="n">
        <v>42</v>
      </c>
      <c r="P38" s="12" t="n">
        <v>40</v>
      </c>
      <c r="Q38" s="12" t="n">
        <v>79</v>
      </c>
      <c r="R38" s="12" t="n">
        <v>10</v>
      </c>
      <c r="S38" s="12" t="n">
        <v>32</v>
      </c>
      <c r="T38" s="12" t="n">
        <v>25</v>
      </c>
      <c r="U38" s="12" t="n">
        <v>7</v>
      </c>
      <c r="V38" s="12" t="n">
        <v>101</v>
      </c>
      <c r="W38" s="12" t="n">
        <v>28</v>
      </c>
      <c r="X38" s="12" t="n">
        <v>36</v>
      </c>
      <c r="Y38" s="12" t="n">
        <v>62</v>
      </c>
      <c r="Z38" s="12" t="n">
        <v>79</v>
      </c>
      <c r="AA38" s="12" t="n">
        <v>30</v>
      </c>
      <c r="AB38" s="12" t="n">
        <v>69</v>
      </c>
      <c r="AC38" s="12" t="n">
        <v>28</v>
      </c>
      <c r="AD38" s="12" t="n">
        <v>26</v>
      </c>
      <c r="AE38" s="12" t="n">
        <v>12</v>
      </c>
      <c r="AF38" s="12" t="n">
        <v>44</v>
      </c>
    </row>
    <row r="39">
      <c r="A39" s="20" t="n"/>
      <c r="B39" s="13" t="inlineStr">
        <is>
          <t>The right to seek asylum from persecution</t>
        </is>
      </c>
      <c r="C39" s="14" t="n">
        <v>0.05</v>
      </c>
      <c r="D39" s="14" t="n">
        <v>0.04</v>
      </c>
      <c r="E39" s="14" t="n">
        <v>0.04</v>
      </c>
      <c r="F39" s="14" t="n">
        <v>0.03</v>
      </c>
      <c r="G39" s="14" t="n">
        <v>0.03</v>
      </c>
      <c r="H39" s="14" t="n">
        <v>0.06</v>
      </c>
      <c r="I39" s="14" t="n">
        <v>0.05</v>
      </c>
      <c r="J39" s="14" t="n">
        <v>0.04</v>
      </c>
      <c r="K39" s="14" t="n">
        <v>0.04</v>
      </c>
      <c r="L39" s="14" t="n">
        <v>0.07000000000000001</v>
      </c>
      <c r="M39" s="14" t="n">
        <v>0.05</v>
      </c>
      <c r="N39" s="14" t="n">
        <v>0.05</v>
      </c>
      <c r="O39" s="14" t="n">
        <v>0.04</v>
      </c>
      <c r="P39" s="14" t="n">
        <v>0.04</v>
      </c>
      <c r="Q39" s="14" t="n">
        <v>0.08</v>
      </c>
      <c r="R39" s="14" t="n">
        <v>0.02</v>
      </c>
      <c r="S39" s="14" t="n">
        <v>0.03</v>
      </c>
      <c r="T39" s="14" t="n">
        <v>0.02</v>
      </c>
      <c r="U39" s="14" t="n">
        <v>0.01</v>
      </c>
      <c r="V39" s="14" t="n">
        <v>0.1</v>
      </c>
      <c r="W39" s="14" t="n">
        <v>0.06</v>
      </c>
      <c r="X39" s="14" t="n">
        <v>0.03</v>
      </c>
      <c r="Y39" s="14" t="n">
        <v>0.06</v>
      </c>
      <c r="Z39" s="14" t="n">
        <v>0.08</v>
      </c>
      <c r="AA39" s="14" t="n">
        <v>0.03</v>
      </c>
      <c r="AB39" s="14" t="n">
        <v>0.07000000000000001</v>
      </c>
      <c r="AC39" s="14" t="n">
        <v>0.03</v>
      </c>
      <c r="AD39" s="14" t="n">
        <v>0.03</v>
      </c>
      <c r="AE39" s="14" t="n">
        <v>0.01</v>
      </c>
      <c r="AF39" s="14" t="n">
        <v>0.04</v>
      </c>
    </row>
    <row r="40">
      <c r="A40" s="20" t="n"/>
      <c r="B40" s="11" t="inlineStr">
        <is>
          <t>La paix</t>
        </is>
      </c>
      <c r="C40" s="12" t="n">
        <v>13456</v>
      </c>
      <c r="D40" s="12" t="n">
        <v>467</v>
      </c>
      <c r="E40" s="12" t="n">
        <v>603</v>
      </c>
      <c r="F40" s="12" t="n">
        <v>600</v>
      </c>
      <c r="G40" s="12" t="n">
        <v>465</v>
      </c>
      <c r="H40" s="12" t="n">
        <v>662</v>
      </c>
      <c r="I40" s="12" t="n">
        <v>848</v>
      </c>
      <c r="J40" s="12" t="n">
        <v>186</v>
      </c>
      <c r="K40" s="12" t="n">
        <v>616</v>
      </c>
      <c r="L40" s="12" t="n">
        <v>493</v>
      </c>
      <c r="M40" s="12" t="n">
        <v>540</v>
      </c>
      <c r="N40" s="12" t="n">
        <v>367</v>
      </c>
      <c r="O40" s="12" t="n">
        <v>552</v>
      </c>
      <c r="P40" s="12" t="n">
        <v>544</v>
      </c>
      <c r="Q40" s="12" t="n">
        <v>573</v>
      </c>
      <c r="R40" s="12" t="n">
        <v>271</v>
      </c>
      <c r="S40" s="12" t="n">
        <v>564</v>
      </c>
      <c r="T40" s="12" t="n">
        <v>657</v>
      </c>
      <c r="U40" s="12" t="n">
        <v>273</v>
      </c>
      <c r="V40" s="12" t="n">
        <v>535</v>
      </c>
      <c r="W40" s="12" t="n">
        <v>250</v>
      </c>
      <c r="X40" s="12" t="n">
        <v>485</v>
      </c>
      <c r="Y40" s="12" t="n">
        <v>515</v>
      </c>
      <c r="Z40" s="12" t="n">
        <v>471</v>
      </c>
      <c r="AA40" s="12" t="n">
        <v>598</v>
      </c>
      <c r="AB40" s="12" t="n">
        <v>448</v>
      </c>
      <c r="AC40" s="12" t="n">
        <v>663</v>
      </c>
      <c r="AD40" s="12" t="n">
        <v>531</v>
      </c>
      <c r="AE40" s="12" t="n">
        <v>514</v>
      </c>
      <c r="AF40" s="12" t="n">
        <v>400</v>
      </c>
    </row>
    <row r="41">
      <c r="A41" s="20" t="n"/>
      <c r="B41" s="13" t="inlineStr">
        <is>
          <t>Peace</t>
        </is>
      </c>
      <c r="C41" s="14" t="n">
        <v>0.51</v>
      </c>
      <c r="D41" s="14" t="n">
        <v>0.46</v>
      </c>
      <c r="E41" s="14" t="n">
        <v>0.59</v>
      </c>
      <c r="F41" s="14" t="n">
        <v>0.5700000000000001</v>
      </c>
      <c r="G41" s="14" t="n">
        <v>0.46</v>
      </c>
      <c r="H41" s="14" t="n">
        <v>0.55</v>
      </c>
      <c r="I41" s="14" t="n">
        <v>0.5600000000000001</v>
      </c>
      <c r="J41" s="14" t="n">
        <v>0.63</v>
      </c>
      <c r="K41" s="14" t="n">
        <v>0.61</v>
      </c>
      <c r="L41" s="14" t="n">
        <v>0.49</v>
      </c>
      <c r="M41" s="14" t="n">
        <v>0.54</v>
      </c>
      <c r="N41" s="14" t="n">
        <v>0.36</v>
      </c>
      <c r="O41" s="14" t="n">
        <v>0.54</v>
      </c>
      <c r="P41" s="14" t="n">
        <v>0.54</v>
      </c>
      <c r="Q41" s="14" t="n">
        <v>0.5600000000000001</v>
      </c>
      <c r="R41" s="14" t="n">
        <v>0.54</v>
      </c>
      <c r="S41" s="14" t="n">
        <v>0.5600000000000001</v>
      </c>
      <c r="T41" s="14" t="n">
        <v>0.65</v>
      </c>
      <c r="U41" s="14" t="n">
        <v>0.54</v>
      </c>
      <c r="V41" s="14" t="n">
        <v>0.52</v>
      </c>
      <c r="W41" s="14" t="n">
        <v>0.49</v>
      </c>
      <c r="X41" s="14" t="n">
        <v>0.47</v>
      </c>
      <c r="Y41" s="14" t="n">
        <v>0.51</v>
      </c>
      <c r="Z41" s="14" t="n">
        <v>0.46</v>
      </c>
      <c r="AA41" s="14" t="n">
        <v>0.58</v>
      </c>
      <c r="AB41" s="14" t="n">
        <v>0.43</v>
      </c>
      <c r="AC41" s="14" t="n">
        <v>0.66</v>
      </c>
      <c r="AD41" s="14" t="n">
        <v>0.53</v>
      </c>
      <c r="AE41" s="14" t="n">
        <v>0.51</v>
      </c>
      <c r="AF41" s="14" t="n">
        <v>0.39</v>
      </c>
    </row>
    <row r="42">
      <c r="A42" s="20" t="n"/>
      <c r="B42" s="11" t="inlineStr">
        <is>
          <t>Autre (SPONTANÉ)</t>
        </is>
      </c>
      <c r="C42" s="12" t="n">
        <v>156</v>
      </c>
      <c r="D42" s="12" t="n">
        <v>1</v>
      </c>
      <c r="E42" s="12" t="n">
        <v>5</v>
      </c>
      <c r="F42" s="12" t="n">
        <v>2</v>
      </c>
      <c r="G42" s="12" t="n">
        <v>2</v>
      </c>
      <c r="H42" s="12" t="n">
        <v>13</v>
      </c>
      <c r="I42" s="12" t="n">
        <v>14</v>
      </c>
      <c r="J42" s="12" t="n">
        <v>1</v>
      </c>
      <c r="K42" s="12" t="n">
        <v>12</v>
      </c>
      <c r="L42" s="12" t="n">
        <v>2</v>
      </c>
      <c r="M42" s="12" t="n">
        <v>4</v>
      </c>
      <c r="N42" s="12" t="n">
        <v>10</v>
      </c>
      <c r="O42" s="12" t="n">
        <v>6</v>
      </c>
      <c r="P42" s="12" t="n">
        <v>0</v>
      </c>
      <c r="Q42" s="12" t="n">
        <v>5</v>
      </c>
      <c r="R42" s="12" t="n">
        <v>0</v>
      </c>
      <c r="S42" s="12" t="n">
        <v>3</v>
      </c>
      <c r="T42" s="12" t="n">
        <v>9</v>
      </c>
      <c r="U42" s="12" t="n">
        <v>1</v>
      </c>
      <c r="V42" s="12" t="n">
        <v>0</v>
      </c>
      <c r="W42" s="12" t="n">
        <v>2</v>
      </c>
      <c r="X42" s="12" t="n">
        <v>6</v>
      </c>
      <c r="Y42" s="12" t="n">
        <v>30</v>
      </c>
      <c r="Z42" s="12" t="n">
        <v>1</v>
      </c>
      <c r="AA42" s="12" t="n">
        <v>3</v>
      </c>
      <c r="AB42" s="12" t="n">
        <v>0</v>
      </c>
      <c r="AC42" s="12" t="n">
        <v>1</v>
      </c>
      <c r="AD42" s="12" t="n">
        <v>1</v>
      </c>
      <c r="AE42" s="12" t="n">
        <v>3</v>
      </c>
      <c r="AF42" s="12" t="n">
        <v>3</v>
      </c>
    </row>
    <row r="43">
      <c r="A43" s="20" t="n"/>
      <c r="B43" s="13" t="inlineStr">
        <is>
          <t>Other (SPONTANEOUS)</t>
        </is>
      </c>
      <c r="C43" s="14" t="n">
        <v>0.01</v>
      </c>
      <c r="D43" s="15" t="inlineStr">
        <is>
          <t>-</t>
        </is>
      </c>
      <c r="E43" s="14" t="n">
        <v>0.01</v>
      </c>
      <c r="F43" s="15" t="inlineStr">
        <is>
          <t>-</t>
        </is>
      </c>
      <c r="G43" s="15" t="inlineStr">
        <is>
          <t>-</t>
        </is>
      </c>
      <c r="H43" s="14" t="n">
        <v>0.01</v>
      </c>
      <c r="I43" s="14" t="n">
        <v>0.01</v>
      </c>
      <c r="J43" s="15" t="inlineStr">
        <is>
          <t>-</t>
        </is>
      </c>
      <c r="K43" s="14" t="n">
        <v>0.01</v>
      </c>
      <c r="L43" s="15" t="inlineStr">
        <is>
          <t>-</t>
        </is>
      </c>
      <c r="M43" s="15" t="inlineStr">
        <is>
          <t>-</t>
        </is>
      </c>
      <c r="N43" s="14" t="n">
        <v>0.01</v>
      </c>
      <c r="O43" s="14" t="n">
        <v>0.01</v>
      </c>
      <c r="P43" s="15" t="inlineStr">
        <is>
          <t>-</t>
        </is>
      </c>
      <c r="Q43" s="14" t="n">
        <v>0.01</v>
      </c>
      <c r="R43" s="15" t="inlineStr">
        <is>
          <t>-</t>
        </is>
      </c>
      <c r="S43" s="15" t="inlineStr">
        <is>
          <t>-</t>
        </is>
      </c>
      <c r="T43" s="14" t="n">
        <v>0.01</v>
      </c>
      <c r="U43" s="15" t="inlineStr">
        <is>
          <t>-</t>
        </is>
      </c>
      <c r="V43" s="15" t="inlineStr">
        <is>
          <t>-</t>
        </is>
      </c>
      <c r="W43" s="15" t="inlineStr">
        <is>
          <t>-</t>
        </is>
      </c>
      <c r="X43" s="14" t="n">
        <v>0.01</v>
      </c>
      <c r="Y43" s="14" t="n">
        <v>0.03</v>
      </c>
      <c r="Z43" s="15" t="inlineStr">
        <is>
          <t>-</t>
        </is>
      </c>
      <c r="AA43" s="15" t="inlineStr">
        <is>
          <t>-</t>
        </is>
      </c>
      <c r="AB43" s="15" t="inlineStr">
        <is>
          <t>-</t>
        </is>
      </c>
      <c r="AC43" s="15" t="inlineStr">
        <is>
          <t>-</t>
        </is>
      </c>
      <c r="AD43" s="15" t="inlineStr">
        <is>
          <t>-</t>
        </is>
      </c>
      <c r="AE43" s="15" t="inlineStr">
        <is>
          <t>-</t>
        </is>
      </c>
      <c r="AF43" s="15" t="inlineStr">
        <is>
          <t>-</t>
        </is>
      </c>
    </row>
    <row r="44">
      <c r="A44" s="20" t="n"/>
      <c r="B44" s="11" t="inlineStr">
        <is>
          <t>Aucun (SPONTANÉ)</t>
        </is>
      </c>
      <c r="C44" s="12" t="n">
        <v>176</v>
      </c>
      <c r="D44" s="12" t="n">
        <v>2</v>
      </c>
      <c r="E44" s="12" t="n">
        <v>10</v>
      </c>
      <c r="F44" s="12" t="n">
        <v>9</v>
      </c>
      <c r="G44" s="12" t="n">
        <v>0</v>
      </c>
      <c r="H44" s="12" t="n">
        <v>14</v>
      </c>
      <c r="I44" s="12" t="n">
        <v>14</v>
      </c>
      <c r="J44" s="12" t="n">
        <v>0</v>
      </c>
      <c r="K44" s="12" t="n">
        <v>9</v>
      </c>
      <c r="L44" s="12" t="n">
        <v>1</v>
      </c>
      <c r="M44" s="12" t="n">
        <v>1</v>
      </c>
      <c r="N44" s="12" t="n">
        <v>12</v>
      </c>
      <c r="O44" s="12" t="n">
        <v>10</v>
      </c>
      <c r="P44" s="12" t="n">
        <v>0</v>
      </c>
      <c r="Q44" s="12" t="n">
        <v>2</v>
      </c>
      <c r="R44" s="12" t="n">
        <v>0</v>
      </c>
      <c r="S44" s="12" t="n">
        <v>4</v>
      </c>
      <c r="T44" s="12" t="n">
        <v>7</v>
      </c>
      <c r="U44" s="12" t="n">
        <v>1</v>
      </c>
      <c r="V44" s="12" t="n">
        <v>1</v>
      </c>
      <c r="W44" s="12" t="n">
        <v>0</v>
      </c>
      <c r="X44" s="12" t="n">
        <v>15</v>
      </c>
      <c r="Y44" s="12" t="n">
        <v>6</v>
      </c>
      <c r="Z44" s="12" t="n">
        <v>4</v>
      </c>
      <c r="AA44" s="12" t="n">
        <v>2</v>
      </c>
      <c r="AB44" s="12" t="n">
        <v>5</v>
      </c>
      <c r="AC44" s="12" t="n">
        <v>1</v>
      </c>
      <c r="AD44" s="12" t="n">
        <v>1</v>
      </c>
      <c r="AE44" s="12" t="n">
        <v>4</v>
      </c>
      <c r="AF44" s="12" t="n">
        <v>1</v>
      </c>
    </row>
    <row r="45">
      <c r="A45" s="20" t="n"/>
      <c r="B45" s="13" t="inlineStr">
        <is>
          <t>None (SPONTANEOUS)</t>
        </is>
      </c>
      <c r="C45" s="14" t="n">
        <v>0.01</v>
      </c>
      <c r="D45" s="15" t="inlineStr">
        <is>
          <t>-</t>
        </is>
      </c>
      <c r="E45" s="14" t="n">
        <v>0.01</v>
      </c>
      <c r="F45" s="14" t="n">
        <v>0.01</v>
      </c>
      <c r="G45" s="15" t="inlineStr">
        <is>
          <t>-</t>
        </is>
      </c>
      <c r="H45" s="14" t="n">
        <v>0.01</v>
      </c>
      <c r="I45" s="14" t="n">
        <v>0.01</v>
      </c>
      <c r="J45" s="15" t="inlineStr">
        <is>
          <t>-</t>
        </is>
      </c>
      <c r="K45" s="14" t="n">
        <v>0.01</v>
      </c>
      <c r="L45" s="15" t="inlineStr">
        <is>
          <t>-</t>
        </is>
      </c>
      <c r="M45" s="15" t="inlineStr">
        <is>
          <t>-</t>
        </is>
      </c>
      <c r="N45" s="14" t="n">
        <v>0.01</v>
      </c>
      <c r="O45" s="14" t="n">
        <v>0.01</v>
      </c>
      <c r="P45" s="15" t="inlineStr">
        <is>
          <t>-</t>
        </is>
      </c>
      <c r="Q45" s="15" t="inlineStr">
        <is>
          <t>-</t>
        </is>
      </c>
      <c r="R45" s="15" t="inlineStr">
        <is>
          <t>-</t>
        </is>
      </c>
      <c r="S45" s="15" t="inlineStr">
        <is>
          <t>-</t>
        </is>
      </c>
      <c r="T45" s="14" t="n">
        <v>0.01</v>
      </c>
      <c r="U45" s="15" t="inlineStr">
        <is>
          <t>-</t>
        </is>
      </c>
      <c r="V45" s="15" t="inlineStr">
        <is>
          <t>-</t>
        </is>
      </c>
      <c r="W45" s="15" t="inlineStr">
        <is>
          <t>-</t>
        </is>
      </c>
      <c r="X45" s="14" t="n">
        <v>0.01</v>
      </c>
      <c r="Y45" s="14" t="n">
        <v>0.01</v>
      </c>
      <c r="Z45" s="15" t="inlineStr">
        <is>
          <t>-</t>
        </is>
      </c>
      <c r="AA45" s="15" t="inlineStr">
        <is>
          <t>-</t>
        </is>
      </c>
      <c r="AB45" s="15" t="inlineStr">
        <is>
          <t>-</t>
        </is>
      </c>
      <c r="AC45" s="15" t="inlineStr">
        <is>
          <t>-</t>
        </is>
      </c>
      <c r="AD45" s="15" t="inlineStr">
        <is>
          <t>-</t>
        </is>
      </c>
      <c r="AE45" s="15" t="inlineStr">
        <is>
          <t>-</t>
        </is>
      </c>
      <c r="AF45" s="15" t="inlineStr">
        <is>
          <t>-</t>
        </is>
      </c>
    </row>
    <row r="46">
      <c r="A46" s="20" t="n"/>
      <c r="B46" s="11" t="inlineStr">
        <is>
          <t>Ne sait pas</t>
        </is>
      </c>
      <c r="C46" s="12" t="n">
        <v>251</v>
      </c>
      <c r="D46" s="12" t="n">
        <v>0</v>
      </c>
      <c r="E46" s="12" t="n">
        <v>21</v>
      </c>
      <c r="F46" s="12" t="n">
        <v>47</v>
      </c>
      <c r="G46" s="12" t="n">
        <v>7</v>
      </c>
      <c r="H46" s="12" t="n">
        <v>6</v>
      </c>
      <c r="I46" s="12" t="n">
        <v>6</v>
      </c>
      <c r="J46" s="12" t="n">
        <v>0</v>
      </c>
      <c r="K46" s="12" t="n">
        <v>15</v>
      </c>
      <c r="L46" s="12" t="n">
        <v>15</v>
      </c>
      <c r="M46" s="12" t="n">
        <v>1</v>
      </c>
      <c r="N46" s="12" t="n">
        <v>20</v>
      </c>
      <c r="O46" s="12" t="n">
        <v>13</v>
      </c>
      <c r="P46" s="12" t="n">
        <v>2</v>
      </c>
      <c r="Q46" s="12" t="n">
        <v>1</v>
      </c>
      <c r="R46" s="12" t="n">
        <v>2</v>
      </c>
      <c r="S46" s="12" t="n">
        <v>13</v>
      </c>
      <c r="T46" s="12" t="n">
        <v>14</v>
      </c>
      <c r="U46" s="12" t="n">
        <v>1</v>
      </c>
      <c r="V46" s="12" t="n">
        <v>2</v>
      </c>
      <c r="W46" s="12" t="n">
        <v>6</v>
      </c>
      <c r="X46" s="12" t="n">
        <v>3</v>
      </c>
      <c r="Y46" s="12" t="n">
        <v>3</v>
      </c>
      <c r="Z46" s="12" t="n">
        <v>15</v>
      </c>
      <c r="AA46" s="12" t="n">
        <v>10</v>
      </c>
      <c r="AB46" s="12" t="n">
        <v>23</v>
      </c>
      <c r="AC46" s="12" t="n">
        <v>1</v>
      </c>
      <c r="AD46" s="12" t="n">
        <v>0</v>
      </c>
      <c r="AE46" s="12" t="n">
        <v>4</v>
      </c>
      <c r="AF46" s="12" t="n">
        <v>0</v>
      </c>
    </row>
    <row r="47">
      <c r="A47" s="23" t="n"/>
      <c r="B47" s="13" t="inlineStr">
        <is>
          <t>Don't know</t>
        </is>
      </c>
      <c r="C47" s="14" t="n">
        <v>0.01</v>
      </c>
      <c r="D47" s="15" t="inlineStr">
        <is>
          <t>-</t>
        </is>
      </c>
      <c r="E47" s="14" t="n">
        <v>0.02</v>
      </c>
      <c r="F47" s="14" t="n">
        <v>0.04</v>
      </c>
      <c r="G47" s="14" t="n">
        <v>0.01</v>
      </c>
      <c r="H47" s="14" t="n">
        <v>0.01</v>
      </c>
      <c r="I47" s="15" t="inlineStr">
        <is>
          <t>-</t>
        </is>
      </c>
      <c r="J47" s="15" t="inlineStr">
        <is>
          <t>-</t>
        </is>
      </c>
      <c r="K47" s="14" t="n">
        <v>0.01</v>
      </c>
      <c r="L47" s="14" t="n">
        <v>0.02</v>
      </c>
      <c r="M47" s="15" t="inlineStr">
        <is>
          <t>-</t>
        </is>
      </c>
      <c r="N47" s="14" t="n">
        <v>0.02</v>
      </c>
      <c r="O47" s="14" t="n">
        <v>0.01</v>
      </c>
      <c r="P47" s="15" t="inlineStr">
        <is>
          <t>-</t>
        </is>
      </c>
      <c r="Q47" s="15" t="inlineStr">
        <is>
          <t>-</t>
        </is>
      </c>
      <c r="R47" s="15" t="inlineStr">
        <is>
          <t>-</t>
        </is>
      </c>
      <c r="S47" s="14" t="n">
        <v>0.01</v>
      </c>
      <c r="T47" s="14" t="n">
        <v>0.01</v>
      </c>
      <c r="U47" s="15" t="inlineStr">
        <is>
          <t>-</t>
        </is>
      </c>
      <c r="V47" s="15" t="inlineStr">
        <is>
          <t>-</t>
        </is>
      </c>
      <c r="W47" s="14" t="n">
        <v>0.01</v>
      </c>
      <c r="X47" s="15" t="inlineStr">
        <is>
          <t>-</t>
        </is>
      </c>
      <c r="Y47" s="15" t="inlineStr">
        <is>
          <t>-</t>
        </is>
      </c>
      <c r="Z47" s="14" t="n">
        <v>0.01</v>
      </c>
      <c r="AA47" s="14" t="n">
        <v>0.01</v>
      </c>
      <c r="AB47" s="14" t="n">
        <v>0.02</v>
      </c>
      <c r="AC47" s="15" t="inlineStr">
        <is>
          <t>-</t>
        </is>
      </c>
      <c r="AD47" s="15" t="inlineStr">
        <is>
          <t>-</t>
        </is>
      </c>
      <c r="AE47" s="15" t="inlineStr">
        <is>
          <t>-</t>
        </is>
      </c>
      <c r="AF47" s="15" t="inlineStr">
        <is>
          <t>-</t>
        </is>
      </c>
    </row>
  </sheetData>
  <mergeCells count="9">
    <mergeCell ref="B4:F4"/>
    <mergeCell ref="A10:A47"/>
    <mergeCell ref="H3:L3"/>
    <mergeCell ref="C8:AF8"/>
    <mergeCell ref="B3:F3"/>
    <mergeCell ref="B5:F5"/>
    <mergeCell ref="H5:L5"/>
    <mergeCell ref="B10:B11"/>
    <mergeCell ref="H4:L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24" customHeight="1" s="18">
      <c r="B3" s="21" t="inlineStr">
        <is>
          <t>QASD. Êtes-vous tout à fait d’accord, plutôt d’accord, plutôt pas d’accord ou pas du tout d’accord avec la proposition suivante ?</t>
        </is>
      </c>
      <c r="H3" s="21" t="inlineStr">
        <is>
          <t>QASD. Please tell me whether you totally agree, tend to agree, tend to disagree or totally disagree with the following statement:</t>
        </is>
      </c>
    </row>
    <row r="4" ht="27" customHeight="1" s="18">
      <c r="B4" s="21" t="inlineStr">
        <is>
          <t>L'Union européenne est un lieu de stabilité dans un monde troublé</t>
        </is>
      </c>
      <c r="H4" s="21" t="inlineStr">
        <is>
          <t>The European Union is a place of stability in a troubled world</t>
        </is>
      </c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HYPERLINK("#Content!A24","&lt;&lt;Back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Tout à fait d'accord</t>
        </is>
      </c>
      <c r="C12" s="12" t="n">
        <v>5057</v>
      </c>
      <c r="D12" s="12" t="n">
        <v>132</v>
      </c>
      <c r="E12" s="12" t="n">
        <v>287</v>
      </c>
      <c r="F12" s="12" t="n">
        <v>136</v>
      </c>
      <c r="G12" s="12" t="n">
        <v>303</v>
      </c>
      <c r="H12" s="12" t="n">
        <v>164</v>
      </c>
      <c r="I12" s="12" t="n">
        <v>196</v>
      </c>
      <c r="J12" s="12" t="n">
        <v>32</v>
      </c>
      <c r="K12" s="12" t="n">
        <v>108</v>
      </c>
      <c r="L12" s="12" t="n">
        <v>314</v>
      </c>
      <c r="M12" s="12" t="n">
        <v>278</v>
      </c>
      <c r="N12" s="12" t="n">
        <v>232</v>
      </c>
      <c r="O12" s="12" t="n">
        <v>190</v>
      </c>
      <c r="P12" s="12" t="n">
        <v>234</v>
      </c>
      <c r="Q12" s="12" t="n">
        <v>217</v>
      </c>
      <c r="R12" s="12" t="n">
        <v>94</v>
      </c>
      <c r="S12" s="12" t="n">
        <v>170</v>
      </c>
      <c r="T12" s="12" t="n">
        <v>233</v>
      </c>
      <c r="U12" s="12" t="n">
        <v>129</v>
      </c>
      <c r="V12" s="12" t="n">
        <v>222</v>
      </c>
      <c r="W12" s="12" t="n">
        <v>95</v>
      </c>
      <c r="X12" s="12" t="n">
        <v>105</v>
      </c>
      <c r="Y12" s="12" t="n">
        <v>295</v>
      </c>
      <c r="Z12" s="12" t="n">
        <v>186</v>
      </c>
      <c r="AA12" s="12" t="n">
        <v>229</v>
      </c>
      <c r="AB12" s="12" t="n">
        <v>261</v>
      </c>
      <c r="AC12" s="12" t="n">
        <v>156</v>
      </c>
      <c r="AD12" s="12" t="n">
        <v>182</v>
      </c>
      <c r="AE12" s="12" t="n">
        <v>176</v>
      </c>
      <c r="AF12" s="12" t="n">
        <v>228</v>
      </c>
    </row>
    <row r="13">
      <c r="A13" s="20" t="n"/>
      <c r="B13" s="13" t="inlineStr">
        <is>
          <t>Totally agree</t>
        </is>
      </c>
      <c r="C13" s="14" t="n">
        <v>0.19</v>
      </c>
      <c r="D13" s="14" t="n">
        <v>0.13</v>
      </c>
      <c r="E13" s="14" t="n">
        <v>0.28</v>
      </c>
      <c r="F13" s="14" t="n">
        <v>0.13</v>
      </c>
      <c r="G13" s="14" t="n">
        <v>0.3</v>
      </c>
      <c r="H13" s="14" t="n">
        <v>0.14</v>
      </c>
      <c r="I13" s="14" t="n">
        <v>0.13</v>
      </c>
      <c r="J13" s="14" t="n">
        <v>0.11</v>
      </c>
      <c r="K13" s="14" t="n">
        <v>0.11</v>
      </c>
      <c r="L13" s="14" t="n">
        <v>0.31</v>
      </c>
      <c r="M13" s="14" t="n">
        <v>0.28</v>
      </c>
      <c r="N13" s="14" t="n">
        <v>0.23</v>
      </c>
      <c r="O13" s="14" t="n">
        <v>0.19</v>
      </c>
      <c r="P13" s="14" t="n">
        <v>0.23</v>
      </c>
      <c r="Q13" s="14" t="n">
        <v>0.21</v>
      </c>
      <c r="R13" s="14" t="n">
        <v>0.19</v>
      </c>
      <c r="S13" s="14" t="n">
        <v>0.17</v>
      </c>
      <c r="T13" s="14" t="n">
        <v>0.23</v>
      </c>
      <c r="U13" s="14" t="n">
        <v>0.25</v>
      </c>
      <c r="V13" s="14" t="n">
        <v>0.22</v>
      </c>
      <c r="W13" s="14" t="n">
        <v>0.19</v>
      </c>
      <c r="X13" s="14" t="n">
        <v>0.1</v>
      </c>
      <c r="Y13" s="14" t="n">
        <v>0.29</v>
      </c>
      <c r="Z13" s="14" t="n">
        <v>0.18</v>
      </c>
      <c r="AA13" s="14" t="n">
        <v>0.22</v>
      </c>
      <c r="AB13" s="14" t="n">
        <v>0.25</v>
      </c>
      <c r="AC13" s="14" t="n">
        <v>0.15</v>
      </c>
      <c r="AD13" s="14" t="n">
        <v>0.18</v>
      </c>
      <c r="AE13" s="14" t="n">
        <v>0.17</v>
      </c>
      <c r="AF13" s="14" t="n">
        <v>0.22</v>
      </c>
    </row>
    <row r="14">
      <c r="A14" s="20" t="n"/>
      <c r="B14" s="11" t="inlineStr">
        <is>
          <t>Plutôt d'accord</t>
        </is>
      </c>
      <c r="C14" s="12" t="n">
        <v>14902</v>
      </c>
      <c r="D14" s="12" t="n">
        <v>639</v>
      </c>
      <c r="E14" s="12" t="n">
        <v>440</v>
      </c>
      <c r="F14" s="12" t="n">
        <v>546</v>
      </c>
      <c r="G14" s="12" t="n">
        <v>584</v>
      </c>
      <c r="H14" s="12" t="n">
        <v>721</v>
      </c>
      <c r="I14" s="12" t="n">
        <v>860</v>
      </c>
      <c r="J14" s="12" t="n">
        <v>139</v>
      </c>
      <c r="K14" s="12" t="n">
        <v>490</v>
      </c>
      <c r="L14" s="12" t="n">
        <v>499</v>
      </c>
      <c r="M14" s="12" t="n">
        <v>430</v>
      </c>
      <c r="N14" s="12" t="n">
        <v>515</v>
      </c>
      <c r="O14" s="12" t="n">
        <v>575</v>
      </c>
      <c r="P14" s="12" t="n">
        <v>579</v>
      </c>
      <c r="Q14" s="12" t="n">
        <v>615</v>
      </c>
      <c r="R14" s="12" t="n">
        <v>254</v>
      </c>
      <c r="S14" s="12" t="n">
        <v>526</v>
      </c>
      <c r="T14" s="12" t="n">
        <v>547</v>
      </c>
      <c r="U14" s="12" t="n">
        <v>293</v>
      </c>
      <c r="V14" s="12" t="n">
        <v>594</v>
      </c>
      <c r="W14" s="12" t="n">
        <v>272</v>
      </c>
      <c r="X14" s="12" t="n">
        <v>609</v>
      </c>
      <c r="Y14" s="12" t="n">
        <v>472</v>
      </c>
      <c r="Z14" s="12" t="n">
        <v>598</v>
      </c>
      <c r="AA14" s="12" t="n">
        <v>744</v>
      </c>
      <c r="AB14" s="12" t="n">
        <v>509</v>
      </c>
      <c r="AC14" s="12" t="n">
        <v>551</v>
      </c>
      <c r="AD14" s="12" t="n">
        <v>571</v>
      </c>
      <c r="AE14" s="12" t="n">
        <v>632</v>
      </c>
      <c r="AF14" s="12" t="n">
        <v>696</v>
      </c>
    </row>
    <row r="15">
      <c r="A15" s="20" t="n"/>
      <c r="B15" s="13" t="inlineStr">
        <is>
          <t>Tend to agree</t>
        </is>
      </c>
      <c r="C15" s="14" t="n">
        <v>0.5600000000000001</v>
      </c>
      <c r="D15" s="14" t="n">
        <v>0.63</v>
      </c>
      <c r="E15" s="14" t="n">
        <v>0.44</v>
      </c>
      <c r="F15" s="14" t="n">
        <v>0.52</v>
      </c>
      <c r="G15" s="14" t="n">
        <v>0.58</v>
      </c>
      <c r="H15" s="14" t="n">
        <v>0.59</v>
      </c>
      <c r="I15" s="14" t="n">
        <v>0.5700000000000001</v>
      </c>
      <c r="J15" s="14" t="n">
        <v>0.48</v>
      </c>
      <c r="K15" s="14" t="n">
        <v>0.49</v>
      </c>
      <c r="L15" s="14" t="n">
        <v>0.5</v>
      </c>
      <c r="M15" s="14" t="n">
        <v>0.43</v>
      </c>
      <c r="N15" s="14" t="n">
        <v>0.51</v>
      </c>
      <c r="O15" s="14" t="n">
        <v>0.5600000000000001</v>
      </c>
      <c r="P15" s="14" t="n">
        <v>0.58</v>
      </c>
      <c r="Q15" s="14" t="n">
        <v>0.6</v>
      </c>
      <c r="R15" s="14" t="n">
        <v>0.5</v>
      </c>
      <c r="S15" s="14" t="n">
        <v>0.52</v>
      </c>
      <c r="T15" s="14" t="n">
        <v>0.54</v>
      </c>
      <c r="U15" s="14" t="n">
        <v>0.58</v>
      </c>
      <c r="V15" s="14" t="n">
        <v>0.58</v>
      </c>
      <c r="W15" s="14" t="n">
        <v>0.54</v>
      </c>
      <c r="X15" s="14" t="n">
        <v>0.6</v>
      </c>
      <c r="Y15" s="14" t="n">
        <v>0.47</v>
      </c>
      <c r="Z15" s="14" t="n">
        <v>0.59</v>
      </c>
      <c r="AA15" s="14" t="n">
        <v>0.72</v>
      </c>
      <c r="AB15" s="14" t="n">
        <v>0.49</v>
      </c>
      <c r="AC15" s="14" t="n">
        <v>0.55</v>
      </c>
      <c r="AD15" s="14" t="n">
        <v>0.5700000000000001</v>
      </c>
      <c r="AE15" s="14" t="n">
        <v>0.62</v>
      </c>
      <c r="AF15" s="14" t="n">
        <v>0.67</v>
      </c>
    </row>
    <row r="16">
      <c r="A16" s="20" t="n"/>
      <c r="B16" s="11" t="inlineStr">
        <is>
          <t>Plutôt pas d'accord</t>
        </is>
      </c>
      <c r="C16" s="12" t="n">
        <v>4500</v>
      </c>
      <c r="D16" s="12" t="n">
        <v>195</v>
      </c>
      <c r="E16" s="12" t="n">
        <v>165</v>
      </c>
      <c r="F16" s="12" t="n">
        <v>274</v>
      </c>
      <c r="G16" s="12" t="n">
        <v>90</v>
      </c>
      <c r="H16" s="12" t="n">
        <v>226</v>
      </c>
      <c r="I16" s="12" t="n">
        <v>311</v>
      </c>
      <c r="J16" s="12" t="n">
        <v>85</v>
      </c>
      <c r="K16" s="12" t="n">
        <v>273</v>
      </c>
      <c r="L16" s="12" t="n">
        <v>143</v>
      </c>
      <c r="M16" s="12" t="n">
        <v>161</v>
      </c>
      <c r="N16" s="12" t="n">
        <v>174</v>
      </c>
      <c r="O16" s="12" t="n">
        <v>162</v>
      </c>
      <c r="P16" s="12" t="n">
        <v>120</v>
      </c>
      <c r="Q16" s="12" t="n">
        <v>144</v>
      </c>
      <c r="R16" s="12" t="n">
        <v>101</v>
      </c>
      <c r="S16" s="12" t="n">
        <v>236</v>
      </c>
      <c r="T16" s="12" t="n">
        <v>176</v>
      </c>
      <c r="U16" s="12" t="n">
        <v>60</v>
      </c>
      <c r="V16" s="12" t="n">
        <v>145</v>
      </c>
      <c r="W16" s="12" t="n">
        <v>84</v>
      </c>
      <c r="X16" s="12" t="n">
        <v>247</v>
      </c>
      <c r="Y16" s="12" t="n">
        <v>165</v>
      </c>
      <c r="Z16" s="12" t="n">
        <v>165</v>
      </c>
      <c r="AA16" s="12" t="n">
        <v>42</v>
      </c>
      <c r="AB16" s="12" t="n">
        <v>195</v>
      </c>
      <c r="AC16" s="12" t="n">
        <v>243</v>
      </c>
      <c r="AD16" s="12" t="n">
        <v>201</v>
      </c>
      <c r="AE16" s="12" t="n">
        <v>171</v>
      </c>
      <c r="AF16" s="12" t="n">
        <v>86</v>
      </c>
    </row>
    <row r="17">
      <c r="A17" s="20" t="n"/>
      <c r="B17" s="13" t="inlineStr">
        <is>
          <t>Tend to disagree</t>
        </is>
      </c>
      <c r="C17" s="14" t="n">
        <v>0.17</v>
      </c>
      <c r="D17" s="14" t="n">
        <v>0.19</v>
      </c>
      <c r="E17" s="14" t="n">
        <v>0.16</v>
      </c>
      <c r="F17" s="14" t="n">
        <v>0.26</v>
      </c>
      <c r="G17" s="14" t="n">
        <v>0.09</v>
      </c>
      <c r="H17" s="14" t="n">
        <v>0.19</v>
      </c>
      <c r="I17" s="14" t="n">
        <v>0.21</v>
      </c>
      <c r="J17" s="14" t="n">
        <v>0.29</v>
      </c>
      <c r="K17" s="14" t="n">
        <v>0.27</v>
      </c>
      <c r="L17" s="14" t="n">
        <v>0.14</v>
      </c>
      <c r="M17" s="14" t="n">
        <v>0.16</v>
      </c>
      <c r="N17" s="14" t="n">
        <v>0.18</v>
      </c>
      <c r="O17" s="14" t="n">
        <v>0.16</v>
      </c>
      <c r="P17" s="14" t="n">
        <v>0.12</v>
      </c>
      <c r="Q17" s="14" t="n">
        <v>0.14</v>
      </c>
      <c r="R17" s="14" t="n">
        <v>0.2</v>
      </c>
      <c r="S17" s="14" t="n">
        <v>0.23</v>
      </c>
      <c r="T17" s="14" t="n">
        <v>0.17</v>
      </c>
      <c r="U17" s="14" t="n">
        <v>0.12</v>
      </c>
      <c r="V17" s="14" t="n">
        <v>0.14</v>
      </c>
      <c r="W17" s="14" t="n">
        <v>0.16</v>
      </c>
      <c r="X17" s="14" t="n">
        <v>0.24</v>
      </c>
      <c r="Y17" s="14" t="n">
        <v>0.16</v>
      </c>
      <c r="Z17" s="14" t="n">
        <v>0.16</v>
      </c>
      <c r="AA17" s="14" t="n">
        <v>0.04</v>
      </c>
      <c r="AB17" s="14" t="n">
        <v>0.18</v>
      </c>
      <c r="AC17" s="14" t="n">
        <v>0.24</v>
      </c>
      <c r="AD17" s="14" t="n">
        <v>0.2</v>
      </c>
      <c r="AE17" s="14" t="n">
        <v>0.17</v>
      </c>
      <c r="AF17" s="14" t="n">
        <v>0.08</v>
      </c>
    </row>
    <row r="18">
      <c r="A18" s="20" t="n"/>
      <c r="B18" s="11" t="inlineStr">
        <is>
          <t>Pas du tout d'accord</t>
        </is>
      </c>
      <c r="C18" s="12" t="n">
        <v>1316</v>
      </c>
      <c r="D18" s="12" t="n">
        <v>42</v>
      </c>
      <c r="E18" s="12" t="n">
        <v>79</v>
      </c>
      <c r="F18" s="12" t="n">
        <v>70</v>
      </c>
      <c r="G18" s="12" t="n">
        <v>15</v>
      </c>
      <c r="H18" s="12" t="n">
        <v>64</v>
      </c>
      <c r="I18" s="12" t="n">
        <v>97</v>
      </c>
      <c r="J18" s="12" t="n">
        <v>33</v>
      </c>
      <c r="K18" s="12" t="n">
        <v>77</v>
      </c>
      <c r="L18" s="12" t="n">
        <v>20</v>
      </c>
      <c r="M18" s="12" t="n">
        <v>124</v>
      </c>
      <c r="N18" s="12" t="n">
        <v>61</v>
      </c>
      <c r="O18" s="12" t="n">
        <v>61</v>
      </c>
      <c r="P18" s="12" t="n">
        <v>65</v>
      </c>
      <c r="Q18" s="12" t="n">
        <v>25</v>
      </c>
      <c r="R18" s="12" t="n">
        <v>34</v>
      </c>
      <c r="S18" s="12" t="n">
        <v>55</v>
      </c>
      <c r="T18" s="12" t="n">
        <v>34</v>
      </c>
      <c r="U18" s="12" t="n">
        <v>17</v>
      </c>
      <c r="V18" s="12" t="n">
        <v>54</v>
      </c>
      <c r="W18" s="12" t="n">
        <v>36</v>
      </c>
      <c r="X18" s="12" t="n">
        <v>54</v>
      </c>
      <c r="Y18" s="12" t="n">
        <v>66</v>
      </c>
      <c r="Z18" s="12" t="n">
        <v>30</v>
      </c>
      <c r="AA18" s="12" t="n">
        <v>3</v>
      </c>
      <c r="AB18" s="12" t="n">
        <v>51</v>
      </c>
      <c r="AC18" s="12" t="n">
        <v>41</v>
      </c>
      <c r="AD18" s="12" t="n">
        <v>42</v>
      </c>
      <c r="AE18" s="12" t="n">
        <v>19</v>
      </c>
      <c r="AF18" s="12" t="n">
        <v>18</v>
      </c>
    </row>
    <row r="19">
      <c r="A19" s="20" t="n"/>
      <c r="B19" s="13" t="inlineStr">
        <is>
          <t>Totally disagree</t>
        </is>
      </c>
      <c r="C19" s="14" t="n">
        <v>0.05</v>
      </c>
      <c r="D19" s="14" t="n">
        <v>0.04</v>
      </c>
      <c r="E19" s="14" t="n">
        <v>0.08</v>
      </c>
      <c r="F19" s="14" t="n">
        <v>0.07000000000000001</v>
      </c>
      <c r="G19" s="14" t="n">
        <v>0.02</v>
      </c>
      <c r="H19" s="14" t="n">
        <v>0.05</v>
      </c>
      <c r="I19" s="14" t="n">
        <v>0.06</v>
      </c>
      <c r="J19" s="14" t="n">
        <v>0.11</v>
      </c>
      <c r="K19" s="14" t="n">
        <v>0.07000000000000001</v>
      </c>
      <c r="L19" s="14" t="n">
        <v>0.02</v>
      </c>
      <c r="M19" s="14" t="n">
        <v>0.12</v>
      </c>
      <c r="N19" s="14" t="n">
        <v>0.06</v>
      </c>
      <c r="O19" s="14" t="n">
        <v>0.06</v>
      </c>
      <c r="P19" s="14" t="n">
        <v>0.06</v>
      </c>
      <c r="Q19" s="14" t="n">
        <v>0.02</v>
      </c>
      <c r="R19" s="14" t="n">
        <v>0.07000000000000001</v>
      </c>
      <c r="S19" s="14" t="n">
        <v>0.06</v>
      </c>
      <c r="T19" s="14" t="n">
        <v>0.03</v>
      </c>
      <c r="U19" s="14" t="n">
        <v>0.03</v>
      </c>
      <c r="V19" s="14" t="n">
        <v>0.05</v>
      </c>
      <c r="W19" s="14" t="n">
        <v>0.07000000000000001</v>
      </c>
      <c r="X19" s="14" t="n">
        <v>0.05</v>
      </c>
      <c r="Y19" s="14" t="n">
        <v>0.07000000000000001</v>
      </c>
      <c r="Z19" s="14" t="n">
        <v>0.03</v>
      </c>
      <c r="AA19" s="14" t="n">
        <v>0.01</v>
      </c>
      <c r="AB19" s="14" t="n">
        <v>0.05</v>
      </c>
      <c r="AC19" s="14" t="n">
        <v>0.04</v>
      </c>
      <c r="AD19" s="14" t="n">
        <v>0.04</v>
      </c>
      <c r="AE19" s="14" t="n">
        <v>0.02</v>
      </c>
      <c r="AF19" s="14" t="n">
        <v>0.02</v>
      </c>
    </row>
    <row r="20">
      <c r="A20" s="20" t="n"/>
      <c r="B20" s="11" t="inlineStr">
        <is>
          <t>Ne sait pas</t>
        </is>
      </c>
      <c r="C20" s="12" t="n">
        <v>646</v>
      </c>
      <c r="D20" s="12" t="n">
        <v>14</v>
      </c>
      <c r="E20" s="12" t="n">
        <v>42</v>
      </c>
      <c r="F20" s="12" t="n">
        <v>23</v>
      </c>
      <c r="G20" s="12" t="n">
        <v>14</v>
      </c>
      <c r="H20" s="12" t="n">
        <v>39</v>
      </c>
      <c r="I20" s="12" t="n">
        <v>43</v>
      </c>
      <c r="J20" s="12" t="n">
        <v>4</v>
      </c>
      <c r="K20" s="12" t="n">
        <v>59</v>
      </c>
      <c r="L20" s="12" t="n">
        <v>34</v>
      </c>
      <c r="M20" s="12" t="n">
        <v>14</v>
      </c>
      <c r="N20" s="12" t="n">
        <v>23</v>
      </c>
      <c r="O20" s="12" t="n">
        <v>28</v>
      </c>
      <c r="P20" s="12" t="n">
        <v>9</v>
      </c>
      <c r="Q20" s="12" t="n">
        <v>27</v>
      </c>
      <c r="R20" s="12" t="n">
        <v>21</v>
      </c>
      <c r="S20" s="12" t="n">
        <v>18</v>
      </c>
      <c r="T20" s="12" t="n">
        <v>27</v>
      </c>
      <c r="U20" s="12" t="n">
        <v>10</v>
      </c>
      <c r="V20" s="12" t="n">
        <v>5</v>
      </c>
      <c r="W20" s="12" t="n">
        <v>19</v>
      </c>
      <c r="X20" s="12" t="n">
        <v>8</v>
      </c>
      <c r="Y20" s="12" t="n">
        <v>5</v>
      </c>
      <c r="Z20" s="12" t="n">
        <v>41</v>
      </c>
      <c r="AA20" s="12" t="n">
        <v>13</v>
      </c>
      <c r="AB20" s="12" t="n">
        <v>29</v>
      </c>
      <c r="AC20" s="12" t="n">
        <v>16</v>
      </c>
      <c r="AD20" s="12" t="n">
        <v>5</v>
      </c>
      <c r="AE20" s="12" t="n">
        <v>17</v>
      </c>
      <c r="AF20" s="12" t="n">
        <v>8</v>
      </c>
    </row>
    <row r="21">
      <c r="A21" s="23" t="n"/>
      <c r="B21" s="13" t="inlineStr">
        <is>
          <t>Don't know</t>
        </is>
      </c>
      <c r="C21" s="14" t="n">
        <v>0.03</v>
      </c>
      <c r="D21" s="14" t="n">
        <v>0.01</v>
      </c>
      <c r="E21" s="14" t="n">
        <v>0.04</v>
      </c>
      <c r="F21" s="14" t="n">
        <v>0.02</v>
      </c>
      <c r="G21" s="14" t="n">
        <v>0.01</v>
      </c>
      <c r="H21" s="14" t="n">
        <v>0.03</v>
      </c>
      <c r="I21" s="14" t="n">
        <v>0.03</v>
      </c>
      <c r="J21" s="14" t="n">
        <v>0.01</v>
      </c>
      <c r="K21" s="14" t="n">
        <v>0.06</v>
      </c>
      <c r="L21" s="14" t="n">
        <v>0.03</v>
      </c>
      <c r="M21" s="14" t="n">
        <v>0.01</v>
      </c>
      <c r="N21" s="14" t="n">
        <v>0.02</v>
      </c>
      <c r="O21" s="14" t="n">
        <v>0.03</v>
      </c>
      <c r="P21" s="14" t="n">
        <v>0.01</v>
      </c>
      <c r="Q21" s="14" t="n">
        <v>0.03</v>
      </c>
      <c r="R21" s="14" t="n">
        <v>0.04</v>
      </c>
      <c r="S21" s="14" t="n">
        <v>0.02</v>
      </c>
      <c r="T21" s="14" t="n">
        <v>0.03</v>
      </c>
      <c r="U21" s="14" t="n">
        <v>0.02</v>
      </c>
      <c r="V21" s="14" t="n">
        <v>0.01</v>
      </c>
      <c r="W21" s="14" t="n">
        <v>0.04</v>
      </c>
      <c r="X21" s="14" t="n">
        <v>0.01</v>
      </c>
      <c r="Y21" s="14" t="n">
        <v>0.01</v>
      </c>
      <c r="Z21" s="14" t="n">
        <v>0.04</v>
      </c>
      <c r="AA21" s="14" t="n">
        <v>0.01</v>
      </c>
      <c r="AB21" s="14" t="n">
        <v>0.03</v>
      </c>
      <c r="AC21" s="14" t="n">
        <v>0.02</v>
      </c>
      <c r="AD21" s="14" t="n">
        <v>0.01</v>
      </c>
      <c r="AE21" s="14" t="n">
        <v>0.02</v>
      </c>
      <c r="AF21" s="14" t="n">
        <v>0.01</v>
      </c>
    </row>
    <row r="22">
      <c r="A22" s="19" t="n"/>
      <c r="B22" s="11" t="inlineStr">
        <is>
          <t>Total 'D'accord'</t>
        </is>
      </c>
      <c r="C22" s="12" t="n">
        <v>19959</v>
      </c>
      <c r="D22" s="12" t="n">
        <v>771</v>
      </c>
      <c r="E22" s="12" t="n">
        <v>727</v>
      </c>
      <c r="F22" s="12" t="n">
        <v>682</v>
      </c>
      <c r="G22" s="12" t="n">
        <v>887</v>
      </c>
      <c r="H22" s="12" t="n">
        <v>885</v>
      </c>
      <c r="I22" s="12" t="n">
        <v>1056</v>
      </c>
      <c r="J22" s="12" t="n">
        <v>171</v>
      </c>
      <c r="K22" s="12" t="n">
        <v>598</v>
      </c>
      <c r="L22" s="12" t="n">
        <v>813</v>
      </c>
      <c r="M22" s="12" t="n">
        <v>708</v>
      </c>
      <c r="N22" s="12" t="n">
        <v>747</v>
      </c>
      <c r="O22" s="12" t="n">
        <v>765</v>
      </c>
      <c r="P22" s="12" t="n">
        <v>813</v>
      </c>
      <c r="Q22" s="12" t="n">
        <v>832</v>
      </c>
      <c r="R22" s="12" t="n">
        <v>348</v>
      </c>
      <c r="S22" s="12" t="n">
        <v>696</v>
      </c>
      <c r="T22" s="12" t="n">
        <v>780</v>
      </c>
      <c r="U22" s="12" t="n">
        <v>422</v>
      </c>
      <c r="V22" s="12" t="n">
        <v>816</v>
      </c>
      <c r="W22" s="12" t="n">
        <v>367</v>
      </c>
      <c r="X22" s="12" t="n">
        <v>714</v>
      </c>
      <c r="Y22" s="12" t="n">
        <v>767</v>
      </c>
      <c r="Z22" s="12" t="n">
        <v>784</v>
      </c>
      <c r="AA22" s="12" t="n">
        <v>973</v>
      </c>
      <c r="AB22" s="12" t="n">
        <v>770</v>
      </c>
      <c r="AC22" s="12" t="n">
        <v>707</v>
      </c>
      <c r="AD22" s="12" t="n">
        <v>753</v>
      </c>
      <c r="AE22" s="12" t="n">
        <v>808</v>
      </c>
      <c r="AF22" s="12" t="n">
        <v>924</v>
      </c>
    </row>
    <row r="23">
      <c r="A23" s="20" t="n"/>
      <c r="B23" s="13" t="inlineStr">
        <is>
          <t>Total 'Agree'</t>
        </is>
      </c>
      <c r="C23" s="14" t="n">
        <v>0.75</v>
      </c>
      <c r="D23" s="14" t="n">
        <v>0.76</v>
      </c>
      <c r="E23" s="14" t="n">
        <v>0.72</v>
      </c>
      <c r="F23" s="14" t="n">
        <v>0.65</v>
      </c>
      <c r="G23" s="14" t="n">
        <v>0.88</v>
      </c>
      <c r="H23" s="14" t="n">
        <v>0.73</v>
      </c>
      <c r="I23" s="14" t="n">
        <v>0.7000000000000001</v>
      </c>
      <c r="J23" s="14" t="n">
        <v>0.59</v>
      </c>
      <c r="K23" s="14" t="n">
        <v>0.6</v>
      </c>
      <c r="L23" s="14" t="n">
        <v>0.8100000000000001</v>
      </c>
      <c r="M23" s="14" t="n">
        <v>0.71</v>
      </c>
      <c r="N23" s="14" t="n">
        <v>0.74</v>
      </c>
      <c r="O23" s="14" t="n">
        <v>0.75</v>
      </c>
      <c r="P23" s="14" t="n">
        <v>0.8100000000000001</v>
      </c>
      <c r="Q23" s="14" t="n">
        <v>0.8100000000000001</v>
      </c>
      <c r="R23" s="14" t="n">
        <v>0.6900000000000001</v>
      </c>
      <c r="S23" s="14" t="n">
        <v>0.6900000000000001</v>
      </c>
      <c r="T23" s="14" t="n">
        <v>0.77</v>
      </c>
      <c r="U23" s="14" t="n">
        <v>0.8300000000000001</v>
      </c>
      <c r="V23" s="14" t="n">
        <v>0.8</v>
      </c>
      <c r="W23" s="14" t="n">
        <v>0.73</v>
      </c>
      <c r="X23" s="14" t="n">
        <v>0.7000000000000001</v>
      </c>
      <c r="Y23" s="14" t="n">
        <v>0.76</v>
      </c>
      <c r="Z23" s="14" t="n">
        <v>0.77</v>
      </c>
      <c r="AA23" s="14" t="n">
        <v>0.9400000000000001</v>
      </c>
      <c r="AB23" s="14" t="n">
        <v>0.74</v>
      </c>
      <c r="AC23" s="14" t="n">
        <v>0.7000000000000001</v>
      </c>
      <c r="AD23" s="14" t="n">
        <v>0.75</v>
      </c>
      <c r="AE23" s="14" t="n">
        <v>0.79</v>
      </c>
      <c r="AF23" s="14" t="n">
        <v>0.89</v>
      </c>
    </row>
    <row r="24">
      <c r="A24" s="20" t="n"/>
      <c r="B24" s="11" t="inlineStr">
        <is>
          <t>Total 'Pas d'accord'</t>
        </is>
      </c>
      <c r="C24" s="12" t="n">
        <v>5816</v>
      </c>
      <c r="D24" s="12" t="n">
        <v>237</v>
      </c>
      <c r="E24" s="12" t="n">
        <v>244</v>
      </c>
      <c r="F24" s="12" t="n">
        <v>344</v>
      </c>
      <c r="G24" s="12" t="n">
        <v>105</v>
      </c>
      <c r="H24" s="12" t="n">
        <v>290</v>
      </c>
      <c r="I24" s="12" t="n">
        <v>408</v>
      </c>
      <c r="J24" s="12" t="n">
        <v>118</v>
      </c>
      <c r="K24" s="12" t="n">
        <v>350</v>
      </c>
      <c r="L24" s="12" t="n">
        <v>163</v>
      </c>
      <c r="M24" s="12" t="n">
        <v>285</v>
      </c>
      <c r="N24" s="12" t="n">
        <v>235</v>
      </c>
      <c r="O24" s="12" t="n">
        <v>223</v>
      </c>
      <c r="P24" s="12" t="n">
        <v>185</v>
      </c>
      <c r="Q24" s="12" t="n">
        <v>169</v>
      </c>
      <c r="R24" s="12" t="n">
        <v>135</v>
      </c>
      <c r="S24" s="12" t="n">
        <v>291</v>
      </c>
      <c r="T24" s="12" t="n">
        <v>210</v>
      </c>
      <c r="U24" s="12" t="n">
        <v>77</v>
      </c>
      <c r="V24" s="12" t="n">
        <v>199</v>
      </c>
      <c r="W24" s="12" t="n">
        <v>120</v>
      </c>
      <c r="X24" s="12" t="n">
        <v>301</v>
      </c>
      <c r="Y24" s="12" t="n">
        <v>231</v>
      </c>
      <c r="Z24" s="12" t="n">
        <v>195</v>
      </c>
      <c r="AA24" s="12" t="n">
        <v>45</v>
      </c>
      <c r="AB24" s="12" t="n">
        <v>246</v>
      </c>
      <c r="AC24" s="12" t="n">
        <v>284</v>
      </c>
      <c r="AD24" s="12" t="n">
        <v>243</v>
      </c>
      <c r="AE24" s="12" t="n">
        <v>190</v>
      </c>
      <c r="AF24" s="12" t="n">
        <v>104</v>
      </c>
    </row>
    <row r="25">
      <c r="A25" s="23" t="n"/>
      <c r="B25" s="13" t="inlineStr">
        <is>
          <t>Total 'Disagree'</t>
        </is>
      </c>
      <c r="C25" s="14" t="n">
        <v>0.22</v>
      </c>
      <c r="D25" s="14" t="n">
        <v>0.23</v>
      </c>
      <c r="E25" s="14" t="n">
        <v>0.24</v>
      </c>
      <c r="F25" s="14" t="n">
        <v>0.33</v>
      </c>
      <c r="G25" s="14" t="n">
        <v>0.11</v>
      </c>
      <c r="H25" s="14" t="n">
        <v>0.24</v>
      </c>
      <c r="I25" s="14" t="n">
        <v>0.27</v>
      </c>
      <c r="J25" s="14" t="n">
        <v>0.4</v>
      </c>
      <c r="K25" s="14" t="n">
        <v>0.34</v>
      </c>
      <c r="L25" s="14" t="n">
        <v>0.16</v>
      </c>
      <c r="M25" s="14" t="n">
        <v>0.28</v>
      </c>
      <c r="N25" s="14" t="n">
        <v>0.24</v>
      </c>
      <c r="O25" s="14" t="n">
        <v>0.22</v>
      </c>
      <c r="P25" s="14" t="n">
        <v>0.18</v>
      </c>
      <c r="Q25" s="14" t="n">
        <v>0.16</v>
      </c>
      <c r="R25" s="14" t="n">
        <v>0.27</v>
      </c>
      <c r="S25" s="14" t="n">
        <v>0.29</v>
      </c>
      <c r="T25" s="14" t="n">
        <v>0.2</v>
      </c>
      <c r="U25" s="14" t="n">
        <v>0.15</v>
      </c>
      <c r="V25" s="14" t="n">
        <v>0.19</v>
      </c>
      <c r="W25" s="14" t="n">
        <v>0.23</v>
      </c>
      <c r="X25" s="14" t="n">
        <v>0.29</v>
      </c>
      <c r="Y25" s="14" t="n">
        <v>0.23</v>
      </c>
      <c r="Z25" s="14" t="n">
        <v>0.19</v>
      </c>
      <c r="AA25" s="14" t="n">
        <v>0.05</v>
      </c>
      <c r="AB25" s="14" t="n">
        <v>0.23</v>
      </c>
      <c r="AC25" s="14" t="n">
        <v>0.28</v>
      </c>
      <c r="AD25" s="14" t="n">
        <v>0.24</v>
      </c>
      <c r="AE25" s="14" t="n">
        <v>0.19</v>
      </c>
      <c r="AF25" s="14" t="n">
        <v>0.1</v>
      </c>
    </row>
  </sheetData>
  <mergeCells count="10">
    <mergeCell ref="B4:F4"/>
    <mergeCell ref="H3:L3"/>
    <mergeCell ref="A10:A21"/>
    <mergeCell ref="C8:AF8"/>
    <mergeCell ref="B3:F3"/>
    <mergeCell ref="B5:F5"/>
    <mergeCell ref="H5:L5"/>
    <mergeCell ref="B10:B11"/>
    <mergeCell ref="H4:L4"/>
    <mergeCell ref="A22:A2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F19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12" customHeight="1" s="18">
      <c r="B3" s="21" t="inlineStr">
        <is>
          <t>QA9. Diriez-vous que :</t>
        </is>
      </c>
      <c r="H3" s="21" t="inlineStr">
        <is>
          <t>QA9. Would you say that:</t>
        </is>
      </c>
    </row>
    <row r="4" ht="27" customHeight="1" s="18">
      <c r="B4" s="21" t="inlineStr">
        <is>
          <t>À l’avenir, le rôle de l’Union européenne en matière de protection des citoyens européens contre les crises mondiales et les risques de sécurité devrait...</t>
        </is>
      </c>
      <c r="H4" s="21" t="inlineStr">
        <is>
          <t>In the future, the role of the European Union to protect European citizens against global crises and security risks should…</t>
        </is>
      </c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HYPERLINK("#Content!A25","&lt;&lt;Back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...devenir plus important</t>
        </is>
      </c>
      <c r="C12" s="12" t="n">
        <v>17863</v>
      </c>
      <c r="D12" s="12" t="n">
        <v>765</v>
      </c>
      <c r="E12" s="12" t="n">
        <v>538</v>
      </c>
      <c r="F12" s="12" t="n">
        <v>484</v>
      </c>
      <c r="G12" s="12" t="n">
        <v>765</v>
      </c>
      <c r="H12" s="12" t="n">
        <v>798</v>
      </c>
      <c r="I12" s="12" t="n">
        <v>968</v>
      </c>
      <c r="J12" s="12" t="n">
        <v>170</v>
      </c>
      <c r="K12" s="12" t="n">
        <v>581</v>
      </c>
      <c r="L12" s="12" t="n">
        <v>788</v>
      </c>
      <c r="M12" s="12" t="n">
        <v>817</v>
      </c>
      <c r="N12" s="12" t="n">
        <v>808</v>
      </c>
      <c r="O12" s="12" t="n">
        <v>712</v>
      </c>
      <c r="P12" s="12" t="n">
        <v>673</v>
      </c>
      <c r="Q12" s="12" t="n">
        <v>735</v>
      </c>
      <c r="R12" s="12" t="n">
        <v>466</v>
      </c>
      <c r="S12" s="12" t="n">
        <v>804</v>
      </c>
      <c r="T12" s="12" t="n">
        <v>793</v>
      </c>
      <c r="U12" s="12" t="n">
        <v>402</v>
      </c>
      <c r="V12" s="12" t="n">
        <v>597</v>
      </c>
      <c r="W12" s="12" t="n">
        <v>423</v>
      </c>
      <c r="X12" s="12" t="n">
        <v>787</v>
      </c>
      <c r="Y12" s="12" t="n">
        <v>454</v>
      </c>
      <c r="Z12" s="12" t="n">
        <v>446</v>
      </c>
      <c r="AA12" s="12" t="n">
        <v>923</v>
      </c>
      <c r="AB12" s="12" t="n">
        <v>567</v>
      </c>
      <c r="AC12" s="12" t="n">
        <v>818</v>
      </c>
      <c r="AD12" s="12" t="n">
        <v>632</v>
      </c>
      <c r="AE12" s="12" t="n">
        <v>753</v>
      </c>
      <c r="AF12" s="12" t="n">
        <v>848</v>
      </c>
    </row>
    <row r="13">
      <c r="A13" s="20" t="n"/>
      <c r="B13" s="13" t="inlineStr">
        <is>
          <t>…become more important</t>
        </is>
      </c>
      <c r="C13" s="14" t="n">
        <v>0.68</v>
      </c>
      <c r="D13" s="14" t="n">
        <v>0.75</v>
      </c>
      <c r="E13" s="14" t="n">
        <v>0.53</v>
      </c>
      <c r="F13" s="14" t="n">
        <v>0.46</v>
      </c>
      <c r="G13" s="14" t="n">
        <v>0.76</v>
      </c>
      <c r="H13" s="14" t="n">
        <v>0.66</v>
      </c>
      <c r="I13" s="14" t="n">
        <v>0.64</v>
      </c>
      <c r="J13" s="14" t="n">
        <v>0.58</v>
      </c>
      <c r="K13" s="14" t="n">
        <v>0.58</v>
      </c>
      <c r="L13" s="14" t="n">
        <v>0.78</v>
      </c>
      <c r="M13" s="14" t="n">
        <v>0.8100000000000001</v>
      </c>
      <c r="N13" s="14" t="n">
        <v>0.8</v>
      </c>
      <c r="O13" s="14" t="n">
        <v>0.7000000000000001</v>
      </c>
      <c r="P13" s="14" t="n">
        <v>0.67</v>
      </c>
      <c r="Q13" s="14" t="n">
        <v>0.71</v>
      </c>
      <c r="R13" s="14" t="n">
        <v>0.92</v>
      </c>
      <c r="S13" s="14" t="n">
        <v>0.8</v>
      </c>
      <c r="T13" s="14" t="n">
        <v>0.78</v>
      </c>
      <c r="U13" s="14" t="n">
        <v>0.79</v>
      </c>
      <c r="V13" s="14" t="n">
        <v>0.59</v>
      </c>
      <c r="W13" s="14" t="n">
        <v>0.84</v>
      </c>
      <c r="X13" s="14" t="n">
        <v>0.77</v>
      </c>
      <c r="Y13" s="14" t="n">
        <v>0.45</v>
      </c>
      <c r="Z13" s="14" t="n">
        <v>0.44</v>
      </c>
      <c r="AA13" s="14" t="n">
        <v>0.9</v>
      </c>
      <c r="AB13" s="14" t="n">
        <v>0.54</v>
      </c>
      <c r="AC13" s="14" t="n">
        <v>0.8100000000000001</v>
      </c>
      <c r="AD13" s="14" t="n">
        <v>0.63</v>
      </c>
      <c r="AE13" s="14" t="n">
        <v>0.74</v>
      </c>
      <c r="AF13" s="14" t="n">
        <v>0.8200000000000001</v>
      </c>
    </row>
    <row r="14">
      <c r="A14" s="20" t="n"/>
      <c r="B14" s="11" t="inlineStr">
        <is>
          <t>...devenir moins important</t>
        </is>
      </c>
      <c r="C14" s="12" t="n">
        <v>2863</v>
      </c>
      <c r="D14" s="12" t="n">
        <v>92</v>
      </c>
      <c r="E14" s="12" t="n">
        <v>154</v>
      </c>
      <c r="F14" s="12" t="n">
        <v>228</v>
      </c>
      <c r="G14" s="12" t="n">
        <v>34</v>
      </c>
      <c r="H14" s="12" t="n">
        <v>125</v>
      </c>
      <c r="I14" s="12" t="n">
        <v>164</v>
      </c>
      <c r="J14" s="12" t="n">
        <v>39</v>
      </c>
      <c r="K14" s="12" t="n">
        <v>116</v>
      </c>
      <c r="L14" s="12" t="n">
        <v>54</v>
      </c>
      <c r="M14" s="12" t="n">
        <v>102</v>
      </c>
      <c r="N14" s="12" t="n">
        <v>60</v>
      </c>
      <c r="O14" s="12" t="n">
        <v>81</v>
      </c>
      <c r="P14" s="12" t="n">
        <v>164</v>
      </c>
      <c r="Q14" s="12" t="n">
        <v>120</v>
      </c>
      <c r="R14" s="12" t="n">
        <v>9</v>
      </c>
      <c r="S14" s="12" t="n">
        <v>89</v>
      </c>
      <c r="T14" s="12" t="n">
        <v>59</v>
      </c>
      <c r="U14" s="12" t="n">
        <v>45</v>
      </c>
      <c r="V14" s="12" t="n">
        <v>157</v>
      </c>
      <c r="W14" s="12" t="n">
        <v>16</v>
      </c>
      <c r="X14" s="12" t="n">
        <v>84</v>
      </c>
      <c r="Y14" s="12" t="n">
        <v>249</v>
      </c>
      <c r="Z14" s="12" t="n">
        <v>146</v>
      </c>
      <c r="AA14" s="12" t="n">
        <v>34</v>
      </c>
      <c r="AB14" s="12" t="n">
        <v>268</v>
      </c>
      <c r="AC14" s="12" t="n">
        <v>52</v>
      </c>
      <c r="AD14" s="12" t="n">
        <v>163</v>
      </c>
      <c r="AE14" s="12" t="n">
        <v>34</v>
      </c>
      <c r="AF14" s="12" t="n">
        <v>31</v>
      </c>
    </row>
    <row r="15">
      <c r="A15" s="20" t="n"/>
      <c r="B15" s="13" t="inlineStr">
        <is>
          <t>…become less important</t>
        </is>
      </c>
      <c r="C15" s="14" t="n">
        <v>0.11</v>
      </c>
      <c r="D15" s="14" t="n">
        <v>0.09</v>
      </c>
      <c r="E15" s="14" t="n">
        <v>0.15</v>
      </c>
      <c r="F15" s="14" t="n">
        <v>0.22</v>
      </c>
      <c r="G15" s="14" t="n">
        <v>0.03</v>
      </c>
      <c r="H15" s="14" t="n">
        <v>0.1</v>
      </c>
      <c r="I15" s="14" t="n">
        <v>0.11</v>
      </c>
      <c r="J15" s="14" t="n">
        <v>0.13</v>
      </c>
      <c r="K15" s="14" t="n">
        <v>0.11</v>
      </c>
      <c r="L15" s="14" t="n">
        <v>0.06</v>
      </c>
      <c r="M15" s="14" t="n">
        <v>0.1</v>
      </c>
      <c r="N15" s="14" t="n">
        <v>0.06</v>
      </c>
      <c r="O15" s="14" t="n">
        <v>0.08</v>
      </c>
      <c r="P15" s="14" t="n">
        <v>0.16</v>
      </c>
      <c r="Q15" s="14" t="n">
        <v>0.12</v>
      </c>
      <c r="R15" s="14" t="n">
        <v>0.02</v>
      </c>
      <c r="S15" s="14" t="n">
        <v>0.09</v>
      </c>
      <c r="T15" s="14" t="n">
        <v>0.06</v>
      </c>
      <c r="U15" s="14" t="n">
        <v>0.09</v>
      </c>
      <c r="V15" s="14" t="n">
        <v>0.15</v>
      </c>
      <c r="W15" s="14" t="n">
        <v>0.03</v>
      </c>
      <c r="X15" s="14" t="n">
        <v>0.08</v>
      </c>
      <c r="Y15" s="14" t="n">
        <v>0.25</v>
      </c>
      <c r="Z15" s="14" t="n">
        <v>0.14</v>
      </c>
      <c r="AA15" s="14" t="n">
        <v>0.03</v>
      </c>
      <c r="AB15" s="14" t="n">
        <v>0.26</v>
      </c>
      <c r="AC15" s="14" t="n">
        <v>0.05</v>
      </c>
      <c r="AD15" s="14" t="n">
        <v>0.16</v>
      </c>
      <c r="AE15" s="14" t="n">
        <v>0.03</v>
      </c>
      <c r="AF15" s="14" t="n">
        <v>0.03</v>
      </c>
    </row>
    <row r="16">
      <c r="A16" s="20" t="n"/>
      <c r="B16" s="11" t="inlineStr">
        <is>
          <t>...rester le même</t>
        </is>
      </c>
      <c r="C16" s="12" t="n">
        <v>5015</v>
      </c>
      <c r="D16" s="12" t="n">
        <v>158</v>
      </c>
      <c r="E16" s="12" t="n">
        <v>274</v>
      </c>
      <c r="F16" s="12" t="n">
        <v>309</v>
      </c>
      <c r="G16" s="12" t="n">
        <v>188</v>
      </c>
      <c r="H16" s="12" t="n">
        <v>265</v>
      </c>
      <c r="I16" s="12" t="n">
        <v>347</v>
      </c>
      <c r="J16" s="12" t="n">
        <v>82</v>
      </c>
      <c r="K16" s="12" t="n">
        <v>268</v>
      </c>
      <c r="L16" s="12" t="n">
        <v>144</v>
      </c>
      <c r="M16" s="12" t="n">
        <v>72</v>
      </c>
      <c r="N16" s="12" t="n">
        <v>115</v>
      </c>
      <c r="O16" s="12" t="n">
        <v>187</v>
      </c>
      <c r="P16" s="12" t="n">
        <v>147</v>
      </c>
      <c r="Q16" s="12" t="n">
        <v>136</v>
      </c>
      <c r="R16" s="12" t="n">
        <v>13</v>
      </c>
      <c r="S16" s="12" t="n">
        <v>85</v>
      </c>
      <c r="T16" s="12" t="n">
        <v>120</v>
      </c>
      <c r="U16" s="12" t="n">
        <v>50</v>
      </c>
      <c r="V16" s="12" t="n">
        <v>254</v>
      </c>
      <c r="W16" s="12" t="n">
        <v>56</v>
      </c>
      <c r="X16" s="12" t="n">
        <v>145</v>
      </c>
      <c r="Y16" s="12" t="n">
        <v>294</v>
      </c>
      <c r="Z16" s="12" t="n">
        <v>398</v>
      </c>
      <c r="AA16" s="12" t="n">
        <v>41</v>
      </c>
      <c r="AB16" s="12" t="n">
        <v>168</v>
      </c>
      <c r="AC16" s="12" t="n">
        <v>128</v>
      </c>
      <c r="AD16" s="12" t="n">
        <v>199</v>
      </c>
      <c r="AE16" s="12" t="n">
        <v>213</v>
      </c>
      <c r="AF16" s="12" t="n">
        <v>141</v>
      </c>
    </row>
    <row r="17">
      <c r="A17" s="20" t="n"/>
      <c r="B17" s="13" t="inlineStr">
        <is>
          <t>…stay the same</t>
        </is>
      </c>
      <c r="C17" s="14" t="n">
        <v>0.19</v>
      </c>
      <c r="D17" s="14" t="n">
        <v>0.15</v>
      </c>
      <c r="E17" s="14" t="n">
        <v>0.27</v>
      </c>
      <c r="F17" s="14" t="n">
        <v>0.29</v>
      </c>
      <c r="G17" s="14" t="n">
        <v>0.19</v>
      </c>
      <c r="H17" s="14" t="n">
        <v>0.22</v>
      </c>
      <c r="I17" s="14" t="n">
        <v>0.23</v>
      </c>
      <c r="J17" s="14" t="n">
        <v>0.28</v>
      </c>
      <c r="K17" s="14" t="n">
        <v>0.27</v>
      </c>
      <c r="L17" s="14" t="n">
        <v>0.14</v>
      </c>
      <c r="M17" s="14" t="n">
        <v>0.07000000000000001</v>
      </c>
      <c r="N17" s="14" t="n">
        <v>0.12</v>
      </c>
      <c r="O17" s="14" t="n">
        <v>0.18</v>
      </c>
      <c r="P17" s="14" t="n">
        <v>0.15</v>
      </c>
      <c r="Q17" s="14" t="n">
        <v>0.13</v>
      </c>
      <c r="R17" s="14" t="n">
        <v>0.03</v>
      </c>
      <c r="S17" s="14" t="n">
        <v>0.08</v>
      </c>
      <c r="T17" s="14" t="n">
        <v>0.12</v>
      </c>
      <c r="U17" s="14" t="n">
        <v>0.1</v>
      </c>
      <c r="V17" s="14" t="n">
        <v>0.25</v>
      </c>
      <c r="W17" s="14" t="n">
        <v>0.11</v>
      </c>
      <c r="X17" s="14" t="n">
        <v>0.14</v>
      </c>
      <c r="Y17" s="14" t="n">
        <v>0.29</v>
      </c>
      <c r="Z17" s="14" t="n">
        <v>0.39</v>
      </c>
      <c r="AA17" s="14" t="n">
        <v>0.04</v>
      </c>
      <c r="AB17" s="14" t="n">
        <v>0.16</v>
      </c>
      <c r="AC17" s="14" t="n">
        <v>0.13</v>
      </c>
      <c r="AD17" s="14" t="n">
        <v>0.2</v>
      </c>
      <c r="AE17" s="14" t="n">
        <v>0.21</v>
      </c>
      <c r="AF17" s="14" t="n">
        <v>0.13</v>
      </c>
    </row>
    <row r="18">
      <c r="A18" s="20" t="n"/>
      <c r="B18" s="11" t="inlineStr">
        <is>
          <t>Ne sait pas</t>
        </is>
      </c>
      <c r="C18" s="12" t="n">
        <v>679</v>
      </c>
      <c r="D18" s="12" t="n">
        <v>6</v>
      </c>
      <c r="E18" s="12" t="n">
        <v>49</v>
      </c>
      <c r="F18" s="12" t="n">
        <v>27</v>
      </c>
      <c r="G18" s="12" t="n">
        <v>20</v>
      </c>
      <c r="H18" s="12" t="n">
        <v>27</v>
      </c>
      <c r="I18" s="12" t="n">
        <v>28</v>
      </c>
      <c r="J18" s="12" t="n">
        <v>2</v>
      </c>
      <c r="K18" s="12" t="n">
        <v>41</v>
      </c>
      <c r="L18" s="12" t="n">
        <v>24</v>
      </c>
      <c r="M18" s="12" t="n">
        <v>16</v>
      </c>
      <c r="N18" s="12" t="n">
        <v>23</v>
      </c>
      <c r="O18" s="12" t="n">
        <v>36</v>
      </c>
      <c r="P18" s="12" t="n">
        <v>22</v>
      </c>
      <c r="Q18" s="12" t="n">
        <v>39</v>
      </c>
      <c r="R18" s="12" t="n">
        <v>17</v>
      </c>
      <c r="S18" s="12" t="n">
        <v>27</v>
      </c>
      <c r="T18" s="12" t="n">
        <v>44</v>
      </c>
      <c r="U18" s="12" t="n">
        <v>11</v>
      </c>
      <c r="V18" s="12" t="n">
        <v>12</v>
      </c>
      <c r="W18" s="12" t="n">
        <v>10</v>
      </c>
      <c r="X18" s="12" t="n">
        <v>7</v>
      </c>
      <c r="Y18" s="12" t="n">
        <v>6</v>
      </c>
      <c r="Z18" s="12" t="n">
        <v>30</v>
      </c>
      <c r="AA18" s="12" t="n">
        <v>34</v>
      </c>
      <c r="AB18" s="12" t="n">
        <v>41</v>
      </c>
      <c r="AC18" s="12" t="n">
        <v>9</v>
      </c>
      <c r="AD18" s="12" t="n">
        <v>7</v>
      </c>
      <c r="AE18" s="12" t="n">
        <v>16</v>
      </c>
      <c r="AF18" s="12" t="n">
        <v>17</v>
      </c>
    </row>
    <row r="19">
      <c r="A19" s="23" t="n"/>
      <c r="B19" s="13" t="inlineStr">
        <is>
          <t>Don't know</t>
        </is>
      </c>
      <c r="C19" s="14" t="n">
        <v>0.02</v>
      </c>
      <c r="D19" s="14" t="n">
        <v>0.01</v>
      </c>
      <c r="E19" s="14" t="n">
        <v>0.05</v>
      </c>
      <c r="F19" s="14" t="n">
        <v>0.03</v>
      </c>
      <c r="G19" s="14" t="n">
        <v>0.02</v>
      </c>
      <c r="H19" s="14" t="n">
        <v>0.02</v>
      </c>
      <c r="I19" s="14" t="n">
        <v>0.02</v>
      </c>
      <c r="J19" s="14" t="n">
        <v>0.01</v>
      </c>
      <c r="K19" s="14" t="n">
        <v>0.04</v>
      </c>
      <c r="L19" s="14" t="n">
        <v>0.02</v>
      </c>
      <c r="M19" s="14" t="n">
        <v>0.02</v>
      </c>
      <c r="N19" s="14" t="n">
        <v>0.02</v>
      </c>
      <c r="O19" s="14" t="n">
        <v>0.04</v>
      </c>
      <c r="P19" s="14" t="n">
        <v>0.02</v>
      </c>
      <c r="Q19" s="14" t="n">
        <v>0.04</v>
      </c>
      <c r="R19" s="14" t="n">
        <v>0.03</v>
      </c>
      <c r="S19" s="14" t="n">
        <v>0.03</v>
      </c>
      <c r="T19" s="14" t="n">
        <v>0.04</v>
      </c>
      <c r="U19" s="14" t="n">
        <v>0.02</v>
      </c>
      <c r="V19" s="14" t="n">
        <v>0.01</v>
      </c>
      <c r="W19" s="14" t="n">
        <v>0.02</v>
      </c>
      <c r="X19" s="14" t="n">
        <v>0.01</v>
      </c>
      <c r="Y19" s="14" t="n">
        <v>0.01</v>
      </c>
      <c r="Z19" s="14" t="n">
        <v>0.03</v>
      </c>
      <c r="AA19" s="14" t="n">
        <v>0.03</v>
      </c>
      <c r="AB19" s="14" t="n">
        <v>0.04</v>
      </c>
      <c r="AC19" s="14" t="n">
        <v>0.01</v>
      </c>
      <c r="AD19" s="14" t="n">
        <v>0.01</v>
      </c>
      <c r="AE19" s="14" t="n">
        <v>0.02</v>
      </c>
      <c r="AF19" s="14" t="n">
        <v>0.02</v>
      </c>
    </row>
  </sheetData>
  <mergeCells count="9">
    <mergeCell ref="B4:F4"/>
    <mergeCell ref="H3:L3"/>
    <mergeCell ref="C8:AF8"/>
    <mergeCell ref="B3:F3"/>
    <mergeCell ref="B5:F5"/>
    <mergeCell ref="A10:A19"/>
    <mergeCell ref="H5:L5"/>
    <mergeCell ref="B10:B11"/>
    <mergeCell ref="H4:L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24" customHeight="1" s="18">
      <c r="B3" s="21" t="inlineStr">
        <is>
          <t>QA10.1. Dans quelle mesure êtes-vous d’accord ou pas d’accord avec chacune des affirmations suivantes ?</t>
        </is>
      </c>
      <c r="H3" s="21" t="inlineStr">
        <is>
          <t>QA10.1. To what extent do you agree or disagree with each of the following statements?</t>
        </is>
      </c>
    </row>
    <row r="4" ht="27" customHeight="1" s="18">
      <c r="B4" s="21" t="inlineStr">
        <is>
          <t>Les États membres de l’UE devraient être plus unis pour faire face aux défis mondiaux actuels</t>
        </is>
      </c>
      <c r="H4" s="21" t="inlineStr">
        <is>
          <t>EU Member States should be more united to face current global challenges</t>
        </is>
      </c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HYPERLINK("#Content!A26","&lt;&lt;Back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Tout à fait d’accord</t>
        </is>
      </c>
      <c r="C12" s="12" t="n">
        <v>13712</v>
      </c>
      <c r="D12" s="12" t="n">
        <v>484</v>
      </c>
      <c r="E12" s="12" t="n">
        <v>435</v>
      </c>
      <c r="F12" s="12" t="n">
        <v>332</v>
      </c>
      <c r="G12" s="12" t="n">
        <v>818</v>
      </c>
      <c r="H12" s="12" t="n">
        <v>717</v>
      </c>
      <c r="I12" s="12" t="n">
        <v>854</v>
      </c>
      <c r="J12" s="12" t="n">
        <v>137</v>
      </c>
      <c r="K12" s="12" t="n">
        <v>376</v>
      </c>
      <c r="L12" s="12" t="n">
        <v>578</v>
      </c>
      <c r="M12" s="12" t="n">
        <v>641</v>
      </c>
      <c r="N12" s="12" t="n">
        <v>692</v>
      </c>
      <c r="O12" s="12" t="n">
        <v>584</v>
      </c>
      <c r="P12" s="12" t="n">
        <v>419</v>
      </c>
      <c r="Q12" s="12" t="n">
        <v>439</v>
      </c>
      <c r="R12" s="12" t="n">
        <v>405</v>
      </c>
      <c r="S12" s="12" t="n">
        <v>637</v>
      </c>
      <c r="T12" s="12" t="n">
        <v>590</v>
      </c>
      <c r="U12" s="12" t="n">
        <v>375</v>
      </c>
      <c r="V12" s="12" t="n">
        <v>363</v>
      </c>
      <c r="W12" s="12" t="n">
        <v>337</v>
      </c>
      <c r="X12" s="12" t="n">
        <v>557</v>
      </c>
      <c r="Y12" s="12" t="n">
        <v>455</v>
      </c>
      <c r="Z12" s="12" t="n">
        <v>309</v>
      </c>
      <c r="AA12" s="12" t="n">
        <v>508</v>
      </c>
      <c r="AB12" s="12" t="n">
        <v>399</v>
      </c>
      <c r="AC12" s="12" t="n">
        <v>600</v>
      </c>
      <c r="AD12" s="12" t="n">
        <v>456</v>
      </c>
      <c r="AE12" s="12" t="n">
        <v>574</v>
      </c>
      <c r="AF12" s="12" t="n">
        <v>700</v>
      </c>
    </row>
    <row r="13">
      <c r="A13" s="20" t="n"/>
      <c r="B13" s="13" t="inlineStr">
        <is>
          <t>Totally agree</t>
        </is>
      </c>
      <c r="C13" s="14" t="n">
        <v>0.52</v>
      </c>
      <c r="D13" s="14" t="n">
        <v>0.47</v>
      </c>
      <c r="E13" s="14" t="n">
        <v>0.43</v>
      </c>
      <c r="F13" s="14" t="n">
        <v>0.32</v>
      </c>
      <c r="G13" s="14" t="n">
        <v>0.8100000000000001</v>
      </c>
      <c r="H13" s="14" t="n">
        <v>0.59</v>
      </c>
      <c r="I13" s="14" t="n">
        <v>0.5700000000000001</v>
      </c>
      <c r="J13" s="14" t="n">
        <v>0.47</v>
      </c>
      <c r="K13" s="14" t="n">
        <v>0.37</v>
      </c>
      <c r="L13" s="14" t="n">
        <v>0.5700000000000001</v>
      </c>
      <c r="M13" s="14" t="n">
        <v>0.64</v>
      </c>
      <c r="N13" s="14" t="n">
        <v>0.6900000000000001</v>
      </c>
      <c r="O13" s="14" t="n">
        <v>0.58</v>
      </c>
      <c r="P13" s="14" t="n">
        <v>0.41</v>
      </c>
      <c r="Q13" s="14" t="n">
        <v>0.43</v>
      </c>
      <c r="R13" s="14" t="n">
        <v>0.8</v>
      </c>
      <c r="S13" s="14" t="n">
        <v>0.63</v>
      </c>
      <c r="T13" s="14" t="n">
        <v>0.58</v>
      </c>
      <c r="U13" s="14" t="n">
        <v>0.74</v>
      </c>
      <c r="V13" s="14" t="n">
        <v>0.36</v>
      </c>
      <c r="W13" s="14" t="n">
        <v>0.67</v>
      </c>
      <c r="X13" s="14" t="n">
        <v>0.54</v>
      </c>
      <c r="Y13" s="14" t="n">
        <v>0.46</v>
      </c>
      <c r="Z13" s="14" t="n">
        <v>0.3</v>
      </c>
      <c r="AA13" s="14" t="n">
        <v>0.49</v>
      </c>
      <c r="AB13" s="14" t="n">
        <v>0.38</v>
      </c>
      <c r="AC13" s="14" t="n">
        <v>0.6</v>
      </c>
      <c r="AD13" s="14" t="n">
        <v>0.46</v>
      </c>
      <c r="AE13" s="14" t="n">
        <v>0.5600000000000001</v>
      </c>
      <c r="AF13" s="14" t="n">
        <v>0.68</v>
      </c>
    </row>
    <row r="14">
      <c r="A14" s="20" t="n"/>
      <c r="B14" s="11" t="inlineStr">
        <is>
          <t>Plutôt d’accord</t>
        </is>
      </c>
      <c r="C14" s="12" t="n">
        <v>10152</v>
      </c>
      <c r="D14" s="12" t="n">
        <v>445</v>
      </c>
      <c r="E14" s="12" t="n">
        <v>417</v>
      </c>
      <c r="F14" s="12" t="n">
        <v>526</v>
      </c>
      <c r="G14" s="12" t="n">
        <v>164</v>
      </c>
      <c r="H14" s="12" t="n">
        <v>389</v>
      </c>
      <c r="I14" s="12" t="n">
        <v>504</v>
      </c>
      <c r="J14" s="12" t="n">
        <v>115</v>
      </c>
      <c r="K14" s="12" t="n">
        <v>482</v>
      </c>
      <c r="L14" s="12" t="n">
        <v>357</v>
      </c>
      <c r="M14" s="12" t="n">
        <v>284</v>
      </c>
      <c r="N14" s="12" t="n">
        <v>273</v>
      </c>
      <c r="O14" s="12" t="n">
        <v>338</v>
      </c>
      <c r="P14" s="12" t="n">
        <v>501</v>
      </c>
      <c r="Q14" s="12" t="n">
        <v>492</v>
      </c>
      <c r="R14" s="12" t="n">
        <v>73</v>
      </c>
      <c r="S14" s="12" t="n">
        <v>300</v>
      </c>
      <c r="T14" s="12" t="n">
        <v>356</v>
      </c>
      <c r="U14" s="12" t="n">
        <v>119</v>
      </c>
      <c r="V14" s="12" t="n">
        <v>548</v>
      </c>
      <c r="W14" s="12" t="n">
        <v>151</v>
      </c>
      <c r="X14" s="12" t="n">
        <v>378</v>
      </c>
      <c r="Y14" s="12" t="n">
        <v>402</v>
      </c>
      <c r="Z14" s="12" t="n">
        <v>566</v>
      </c>
      <c r="AA14" s="12" t="n">
        <v>493</v>
      </c>
      <c r="AB14" s="12" t="n">
        <v>426</v>
      </c>
      <c r="AC14" s="12" t="n">
        <v>343</v>
      </c>
      <c r="AD14" s="12" t="n">
        <v>439</v>
      </c>
      <c r="AE14" s="12" t="n">
        <v>358</v>
      </c>
      <c r="AF14" s="12" t="n">
        <v>293</v>
      </c>
    </row>
    <row r="15">
      <c r="A15" s="20" t="n"/>
      <c r="B15" s="13" t="inlineStr">
        <is>
          <t>Tend to agree</t>
        </is>
      </c>
      <c r="C15" s="14" t="n">
        <v>0.38</v>
      </c>
      <c r="D15" s="14" t="n">
        <v>0.44</v>
      </c>
      <c r="E15" s="14" t="n">
        <v>0.41</v>
      </c>
      <c r="F15" s="14" t="n">
        <v>0.5</v>
      </c>
      <c r="G15" s="14" t="n">
        <v>0.16</v>
      </c>
      <c r="H15" s="14" t="n">
        <v>0.32</v>
      </c>
      <c r="I15" s="14" t="n">
        <v>0.33</v>
      </c>
      <c r="J15" s="14" t="n">
        <v>0.39</v>
      </c>
      <c r="K15" s="14" t="n">
        <v>0.48</v>
      </c>
      <c r="L15" s="14" t="n">
        <v>0.36</v>
      </c>
      <c r="M15" s="14" t="n">
        <v>0.28</v>
      </c>
      <c r="N15" s="14" t="n">
        <v>0.27</v>
      </c>
      <c r="O15" s="14" t="n">
        <v>0.33</v>
      </c>
      <c r="P15" s="14" t="n">
        <v>0.5</v>
      </c>
      <c r="Q15" s="14" t="n">
        <v>0.48</v>
      </c>
      <c r="R15" s="14" t="n">
        <v>0.14</v>
      </c>
      <c r="S15" s="14" t="n">
        <v>0.3</v>
      </c>
      <c r="T15" s="14" t="n">
        <v>0.35</v>
      </c>
      <c r="U15" s="14" t="n">
        <v>0.23</v>
      </c>
      <c r="V15" s="14" t="n">
        <v>0.54</v>
      </c>
      <c r="W15" s="14" t="n">
        <v>0.3</v>
      </c>
      <c r="X15" s="14" t="n">
        <v>0.37</v>
      </c>
      <c r="Y15" s="14" t="n">
        <v>0.4</v>
      </c>
      <c r="Z15" s="14" t="n">
        <v>0.55</v>
      </c>
      <c r="AA15" s="14" t="n">
        <v>0.48</v>
      </c>
      <c r="AB15" s="14" t="n">
        <v>0.41</v>
      </c>
      <c r="AC15" s="14" t="n">
        <v>0.34</v>
      </c>
      <c r="AD15" s="14" t="n">
        <v>0.44</v>
      </c>
      <c r="AE15" s="14" t="n">
        <v>0.35</v>
      </c>
      <c r="AF15" s="14" t="n">
        <v>0.28</v>
      </c>
    </row>
    <row r="16">
      <c r="A16" s="20" t="n"/>
      <c r="B16" s="11" t="inlineStr">
        <is>
          <t>Plutôt pas d’accord</t>
        </is>
      </c>
      <c r="C16" s="12" t="n">
        <v>1569</v>
      </c>
      <c r="D16" s="12" t="n">
        <v>59</v>
      </c>
      <c r="E16" s="12" t="n">
        <v>81</v>
      </c>
      <c r="F16" s="12" t="n">
        <v>139</v>
      </c>
      <c r="G16" s="12" t="n">
        <v>11</v>
      </c>
      <c r="H16" s="12" t="n">
        <v>55</v>
      </c>
      <c r="I16" s="12" t="n">
        <v>83</v>
      </c>
      <c r="J16" s="12" t="n">
        <v>28</v>
      </c>
      <c r="K16" s="12" t="n">
        <v>77</v>
      </c>
      <c r="L16" s="12" t="n">
        <v>34</v>
      </c>
      <c r="M16" s="12" t="n">
        <v>36</v>
      </c>
      <c r="N16" s="12" t="n">
        <v>22</v>
      </c>
      <c r="O16" s="12" t="n">
        <v>41</v>
      </c>
      <c r="P16" s="12" t="n">
        <v>73</v>
      </c>
      <c r="Q16" s="12" t="n">
        <v>73</v>
      </c>
      <c r="R16" s="12" t="n">
        <v>9</v>
      </c>
      <c r="S16" s="12" t="n">
        <v>39</v>
      </c>
      <c r="T16" s="12" t="n">
        <v>33</v>
      </c>
      <c r="U16" s="12" t="n">
        <v>7</v>
      </c>
      <c r="V16" s="12" t="n">
        <v>86</v>
      </c>
      <c r="W16" s="12" t="n">
        <v>8</v>
      </c>
      <c r="X16" s="12" t="n">
        <v>49</v>
      </c>
      <c r="Y16" s="12" t="n">
        <v>100</v>
      </c>
      <c r="Z16" s="12" t="n">
        <v>107</v>
      </c>
      <c r="AA16" s="12" t="n">
        <v>6</v>
      </c>
      <c r="AB16" s="12" t="n">
        <v>147</v>
      </c>
      <c r="AC16" s="12" t="n">
        <v>51</v>
      </c>
      <c r="AD16" s="12" t="n">
        <v>84</v>
      </c>
      <c r="AE16" s="12" t="n">
        <v>56</v>
      </c>
      <c r="AF16" s="12" t="n">
        <v>24</v>
      </c>
    </row>
    <row r="17">
      <c r="A17" s="20" t="n"/>
      <c r="B17" s="13" t="inlineStr">
        <is>
          <t>Tend to disagree</t>
        </is>
      </c>
      <c r="C17" s="14" t="n">
        <v>0.06</v>
      </c>
      <c r="D17" s="14" t="n">
        <v>0.06</v>
      </c>
      <c r="E17" s="14" t="n">
        <v>0.08</v>
      </c>
      <c r="F17" s="14" t="n">
        <v>0.13</v>
      </c>
      <c r="G17" s="14" t="n">
        <v>0.01</v>
      </c>
      <c r="H17" s="14" t="n">
        <v>0.05</v>
      </c>
      <c r="I17" s="14" t="n">
        <v>0.05</v>
      </c>
      <c r="J17" s="14" t="n">
        <v>0.1</v>
      </c>
      <c r="K17" s="14" t="n">
        <v>0.08</v>
      </c>
      <c r="L17" s="14" t="n">
        <v>0.03</v>
      </c>
      <c r="M17" s="14" t="n">
        <v>0.03</v>
      </c>
      <c r="N17" s="14" t="n">
        <v>0.02</v>
      </c>
      <c r="O17" s="14" t="n">
        <v>0.04</v>
      </c>
      <c r="P17" s="14" t="n">
        <v>0.07000000000000001</v>
      </c>
      <c r="Q17" s="14" t="n">
        <v>0.07000000000000001</v>
      </c>
      <c r="R17" s="14" t="n">
        <v>0.02</v>
      </c>
      <c r="S17" s="14" t="n">
        <v>0.04</v>
      </c>
      <c r="T17" s="14" t="n">
        <v>0.03</v>
      </c>
      <c r="U17" s="14" t="n">
        <v>0.01</v>
      </c>
      <c r="V17" s="14" t="n">
        <v>0.08</v>
      </c>
      <c r="W17" s="14" t="n">
        <v>0.01</v>
      </c>
      <c r="X17" s="14" t="n">
        <v>0.05</v>
      </c>
      <c r="Y17" s="14" t="n">
        <v>0.1</v>
      </c>
      <c r="Z17" s="14" t="n">
        <v>0.11</v>
      </c>
      <c r="AA17" s="14" t="n">
        <v>0.01</v>
      </c>
      <c r="AB17" s="14" t="n">
        <v>0.14</v>
      </c>
      <c r="AC17" s="14" t="n">
        <v>0.05</v>
      </c>
      <c r="AD17" s="14" t="n">
        <v>0.08</v>
      </c>
      <c r="AE17" s="14" t="n">
        <v>0.06</v>
      </c>
      <c r="AF17" s="14" t="n">
        <v>0.02</v>
      </c>
    </row>
    <row r="18">
      <c r="A18" s="20" t="n"/>
      <c r="B18" s="11" t="inlineStr">
        <is>
          <t>Pas du tout d’accord</t>
        </is>
      </c>
      <c r="C18" s="12" t="n">
        <v>452</v>
      </c>
      <c r="D18" s="12" t="n">
        <v>19</v>
      </c>
      <c r="E18" s="12" t="n">
        <v>25</v>
      </c>
      <c r="F18" s="12" t="n">
        <v>31</v>
      </c>
      <c r="G18" s="12" t="n">
        <v>5</v>
      </c>
      <c r="H18" s="12" t="n">
        <v>14</v>
      </c>
      <c r="I18" s="12" t="n">
        <v>24</v>
      </c>
      <c r="J18" s="12" t="n">
        <v>10</v>
      </c>
      <c r="K18" s="12" t="n">
        <v>41</v>
      </c>
      <c r="L18" s="12" t="n">
        <v>14</v>
      </c>
      <c r="M18" s="12" t="n">
        <v>40</v>
      </c>
      <c r="N18" s="12" t="n">
        <v>6</v>
      </c>
      <c r="O18" s="12" t="n">
        <v>21</v>
      </c>
      <c r="P18" s="12" t="n">
        <v>8</v>
      </c>
      <c r="Q18" s="12" t="n">
        <v>14</v>
      </c>
      <c r="R18" s="12" t="n">
        <v>3</v>
      </c>
      <c r="S18" s="12" t="n">
        <v>17</v>
      </c>
      <c r="T18" s="12" t="n">
        <v>2</v>
      </c>
      <c r="U18" s="12" t="n">
        <v>4</v>
      </c>
      <c r="V18" s="12" t="n">
        <v>14</v>
      </c>
      <c r="W18" s="12" t="n">
        <v>5</v>
      </c>
      <c r="X18" s="12" t="n">
        <v>31</v>
      </c>
      <c r="Y18" s="12" t="n">
        <v>23</v>
      </c>
      <c r="Z18" s="12" t="n">
        <v>20</v>
      </c>
      <c r="AA18" s="12" t="n">
        <v>0</v>
      </c>
      <c r="AB18" s="12" t="n">
        <v>35</v>
      </c>
      <c r="AC18" s="12" t="n">
        <v>9</v>
      </c>
      <c r="AD18" s="12" t="n">
        <v>14</v>
      </c>
      <c r="AE18" s="12" t="n">
        <v>11</v>
      </c>
      <c r="AF18" s="12" t="n">
        <v>11</v>
      </c>
    </row>
    <row r="19">
      <c r="A19" s="20" t="n"/>
      <c r="B19" s="13" t="inlineStr">
        <is>
          <t>Totally disagree</t>
        </is>
      </c>
      <c r="C19" s="14" t="n">
        <v>0.02</v>
      </c>
      <c r="D19" s="14" t="n">
        <v>0.02</v>
      </c>
      <c r="E19" s="14" t="n">
        <v>0.02</v>
      </c>
      <c r="F19" s="14" t="n">
        <v>0.03</v>
      </c>
      <c r="G19" s="14" t="n">
        <v>0.01</v>
      </c>
      <c r="H19" s="14" t="n">
        <v>0.01</v>
      </c>
      <c r="I19" s="14" t="n">
        <v>0.02</v>
      </c>
      <c r="J19" s="14" t="n">
        <v>0.03</v>
      </c>
      <c r="K19" s="14" t="n">
        <v>0.04</v>
      </c>
      <c r="L19" s="14" t="n">
        <v>0.01</v>
      </c>
      <c r="M19" s="14" t="n">
        <v>0.04</v>
      </c>
      <c r="N19" s="14" t="n">
        <v>0.01</v>
      </c>
      <c r="O19" s="14" t="n">
        <v>0.02</v>
      </c>
      <c r="P19" s="14" t="n">
        <v>0.01</v>
      </c>
      <c r="Q19" s="14" t="n">
        <v>0.01</v>
      </c>
      <c r="R19" s="14" t="n">
        <v>0.01</v>
      </c>
      <c r="S19" s="14" t="n">
        <v>0.02</v>
      </c>
      <c r="T19" s="15" t="inlineStr">
        <is>
          <t>-</t>
        </is>
      </c>
      <c r="U19" s="14" t="n">
        <v>0.01</v>
      </c>
      <c r="V19" s="14" t="n">
        <v>0.01</v>
      </c>
      <c r="W19" s="14" t="n">
        <v>0.01</v>
      </c>
      <c r="X19" s="14" t="n">
        <v>0.03</v>
      </c>
      <c r="Y19" s="14" t="n">
        <v>0.02</v>
      </c>
      <c r="Z19" s="14" t="n">
        <v>0.02</v>
      </c>
      <c r="AA19" s="15" t="inlineStr">
        <is>
          <t>-</t>
        </is>
      </c>
      <c r="AB19" s="14" t="n">
        <v>0.03</v>
      </c>
      <c r="AC19" s="14" t="n">
        <v>0.01</v>
      </c>
      <c r="AD19" s="14" t="n">
        <v>0.01</v>
      </c>
      <c r="AE19" s="14" t="n">
        <v>0.01</v>
      </c>
      <c r="AF19" s="14" t="n">
        <v>0.01</v>
      </c>
    </row>
    <row r="20">
      <c r="A20" s="20" t="n"/>
      <c r="B20" s="11" t="inlineStr">
        <is>
          <t>Ne sait pas</t>
        </is>
      </c>
      <c r="C20" s="12" t="n">
        <v>537</v>
      </c>
      <c r="D20" s="12" t="n">
        <v>14</v>
      </c>
      <c r="E20" s="12" t="n">
        <v>56</v>
      </c>
      <c r="F20" s="12" t="n">
        <v>22</v>
      </c>
      <c r="G20" s="12" t="n">
        <v>8</v>
      </c>
      <c r="H20" s="12" t="n">
        <v>39</v>
      </c>
      <c r="I20" s="12" t="n">
        <v>41</v>
      </c>
      <c r="J20" s="12" t="n">
        <v>3</v>
      </c>
      <c r="K20" s="12" t="n">
        <v>31</v>
      </c>
      <c r="L20" s="12" t="n">
        <v>28</v>
      </c>
      <c r="M20" s="12" t="n">
        <v>6</v>
      </c>
      <c r="N20" s="12" t="n">
        <v>13</v>
      </c>
      <c r="O20" s="12" t="n">
        <v>32</v>
      </c>
      <c r="P20" s="12" t="n">
        <v>7</v>
      </c>
      <c r="Q20" s="12" t="n">
        <v>11</v>
      </c>
      <c r="R20" s="12" t="n">
        <v>14</v>
      </c>
      <c r="S20" s="12" t="n">
        <v>11</v>
      </c>
      <c r="T20" s="12" t="n">
        <v>35</v>
      </c>
      <c r="U20" s="12" t="n">
        <v>3</v>
      </c>
      <c r="V20" s="12" t="n">
        <v>10</v>
      </c>
      <c r="W20" s="12" t="n">
        <v>4</v>
      </c>
      <c r="X20" s="12" t="n">
        <v>8</v>
      </c>
      <c r="Y20" s="12" t="n">
        <v>23</v>
      </c>
      <c r="Z20" s="12" t="n">
        <v>18</v>
      </c>
      <c r="AA20" s="12" t="n">
        <v>24</v>
      </c>
      <c r="AB20" s="12" t="n">
        <v>38</v>
      </c>
      <c r="AC20" s="12" t="n">
        <v>5</v>
      </c>
      <c r="AD20" s="12" t="n">
        <v>9</v>
      </c>
      <c r="AE20" s="12" t="n">
        <v>18</v>
      </c>
      <c r="AF20" s="12" t="n">
        <v>8</v>
      </c>
    </row>
    <row r="21">
      <c r="A21" s="23" t="n"/>
      <c r="B21" s="13" t="inlineStr">
        <is>
          <t>Don't know</t>
        </is>
      </c>
      <c r="C21" s="14" t="n">
        <v>0.02</v>
      </c>
      <c r="D21" s="14" t="n">
        <v>0.01</v>
      </c>
      <c r="E21" s="14" t="n">
        <v>0.06</v>
      </c>
      <c r="F21" s="14" t="n">
        <v>0.02</v>
      </c>
      <c r="G21" s="14" t="n">
        <v>0.01</v>
      </c>
      <c r="H21" s="14" t="n">
        <v>0.03</v>
      </c>
      <c r="I21" s="14" t="n">
        <v>0.03</v>
      </c>
      <c r="J21" s="14" t="n">
        <v>0.01</v>
      </c>
      <c r="K21" s="14" t="n">
        <v>0.03</v>
      </c>
      <c r="L21" s="14" t="n">
        <v>0.03</v>
      </c>
      <c r="M21" s="14" t="n">
        <v>0.01</v>
      </c>
      <c r="N21" s="14" t="n">
        <v>0.01</v>
      </c>
      <c r="O21" s="14" t="n">
        <v>0.03</v>
      </c>
      <c r="P21" s="14" t="n">
        <v>0.01</v>
      </c>
      <c r="Q21" s="14" t="n">
        <v>0.01</v>
      </c>
      <c r="R21" s="14" t="n">
        <v>0.03</v>
      </c>
      <c r="S21" s="14" t="n">
        <v>0.01</v>
      </c>
      <c r="T21" s="14" t="n">
        <v>0.04</v>
      </c>
      <c r="U21" s="14" t="n">
        <v>0.01</v>
      </c>
      <c r="V21" s="14" t="n">
        <v>0.01</v>
      </c>
      <c r="W21" s="14" t="n">
        <v>0.01</v>
      </c>
      <c r="X21" s="14" t="n">
        <v>0.01</v>
      </c>
      <c r="Y21" s="14" t="n">
        <v>0.02</v>
      </c>
      <c r="Z21" s="14" t="n">
        <v>0.02</v>
      </c>
      <c r="AA21" s="14" t="n">
        <v>0.02</v>
      </c>
      <c r="AB21" s="14" t="n">
        <v>0.04</v>
      </c>
      <c r="AC21" s="15" t="inlineStr">
        <is>
          <t>-</t>
        </is>
      </c>
      <c r="AD21" s="14" t="n">
        <v>0.01</v>
      </c>
      <c r="AE21" s="14" t="n">
        <v>0.02</v>
      </c>
      <c r="AF21" s="14" t="n">
        <v>0.01</v>
      </c>
    </row>
    <row r="22">
      <c r="A22" s="19" t="n"/>
      <c r="B22" s="11" t="inlineStr">
        <is>
          <t>Total 'D'accord'</t>
        </is>
      </c>
      <c r="C22" s="12" t="n">
        <v>23864</v>
      </c>
      <c r="D22" s="12" t="n">
        <v>929</v>
      </c>
      <c r="E22" s="12" t="n">
        <v>852</v>
      </c>
      <c r="F22" s="12" t="n">
        <v>858</v>
      </c>
      <c r="G22" s="12" t="n">
        <v>982</v>
      </c>
      <c r="H22" s="12" t="n">
        <v>1106</v>
      </c>
      <c r="I22" s="12" t="n">
        <v>1358</v>
      </c>
      <c r="J22" s="12" t="n">
        <v>252</v>
      </c>
      <c r="K22" s="12" t="n">
        <v>858</v>
      </c>
      <c r="L22" s="12" t="n">
        <v>935</v>
      </c>
      <c r="M22" s="12" t="n">
        <v>925</v>
      </c>
      <c r="N22" s="12" t="n">
        <v>965</v>
      </c>
      <c r="O22" s="12" t="n">
        <v>922</v>
      </c>
      <c r="P22" s="12" t="n">
        <v>920</v>
      </c>
      <c r="Q22" s="12" t="n">
        <v>931</v>
      </c>
      <c r="R22" s="12" t="n">
        <v>478</v>
      </c>
      <c r="S22" s="12" t="n">
        <v>937</v>
      </c>
      <c r="T22" s="12" t="n">
        <v>946</v>
      </c>
      <c r="U22" s="12" t="n">
        <v>494</v>
      </c>
      <c r="V22" s="12" t="n">
        <v>911</v>
      </c>
      <c r="W22" s="12" t="n">
        <v>488</v>
      </c>
      <c r="X22" s="12" t="n">
        <v>935</v>
      </c>
      <c r="Y22" s="12" t="n">
        <v>857</v>
      </c>
      <c r="Z22" s="12" t="n">
        <v>875</v>
      </c>
      <c r="AA22" s="12" t="n">
        <v>1001</v>
      </c>
      <c r="AB22" s="12" t="n">
        <v>825</v>
      </c>
      <c r="AC22" s="12" t="n">
        <v>943</v>
      </c>
      <c r="AD22" s="12" t="n">
        <v>895</v>
      </c>
      <c r="AE22" s="12" t="n">
        <v>932</v>
      </c>
      <c r="AF22" s="12" t="n">
        <v>993</v>
      </c>
    </row>
    <row r="23">
      <c r="A23" s="20" t="n"/>
      <c r="B23" s="13" t="inlineStr">
        <is>
          <t>Total 'Agree'</t>
        </is>
      </c>
      <c r="C23" s="14" t="n">
        <v>0.9</v>
      </c>
      <c r="D23" s="14" t="n">
        <v>0.91</v>
      </c>
      <c r="E23" s="14" t="n">
        <v>0.84</v>
      </c>
      <c r="F23" s="14" t="n">
        <v>0.8200000000000001</v>
      </c>
      <c r="G23" s="14" t="n">
        <v>0.97</v>
      </c>
      <c r="H23" s="14" t="n">
        <v>0.91</v>
      </c>
      <c r="I23" s="14" t="n">
        <v>0.9</v>
      </c>
      <c r="J23" s="14" t="n">
        <v>0.86</v>
      </c>
      <c r="K23" s="14" t="n">
        <v>0.85</v>
      </c>
      <c r="L23" s="14" t="n">
        <v>0.93</v>
      </c>
      <c r="M23" s="14" t="n">
        <v>0.92</v>
      </c>
      <c r="N23" s="14" t="n">
        <v>0.96</v>
      </c>
      <c r="O23" s="14" t="n">
        <v>0.91</v>
      </c>
      <c r="P23" s="14" t="n">
        <v>0.91</v>
      </c>
      <c r="Q23" s="14" t="n">
        <v>0.91</v>
      </c>
      <c r="R23" s="14" t="n">
        <v>0.9400000000000001</v>
      </c>
      <c r="S23" s="14" t="n">
        <v>0.93</v>
      </c>
      <c r="T23" s="14" t="n">
        <v>0.93</v>
      </c>
      <c r="U23" s="14" t="n">
        <v>0.97</v>
      </c>
      <c r="V23" s="14" t="n">
        <v>0.9</v>
      </c>
      <c r="W23" s="14" t="n">
        <v>0.97</v>
      </c>
      <c r="X23" s="14" t="n">
        <v>0.91</v>
      </c>
      <c r="Y23" s="14" t="n">
        <v>0.86</v>
      </c>
      <c r="Z23" s="14" t="n">
        <v>0.85</v>
      </c>
      <c r="AA23" s="14" t="n">
        <v>0.97</v>
      </c>
      <c r="AB23" s="14" t="n">
        <v>0.79</v>
      </c>
      <c r="AC23" s="14" t="n">
        <v>0.9400000000000001</v>
      </c>
      <c r="AD23" s="14" t="n">
        <v>0.9</v>
      </c>
      <c r="AE23" s="14" t="n">
        <v>0.91</v>
      </c>
      <c r="AF23" s="14" t="n">
        <v>0.96</v>
      </c>
    </row>
    <row r="24">
      <c r="A24" s="20" t="n"/>
      <c r="B24" s="11" t="inlineStr">
        <is>
          <t>Total 'Pas d'accord'</t>
        </is>
      </c>
      <c r="C24" s="12" t="n">
        <v>2021</v>
      </c>
      <c r="D24" s="12" t="n">
        <v>78</v>
      </c>
      <c r="E24" s="12" t="n">
        <v>106</v>
      </c>
      <c r="F24" s="12" t="n">
        <v>170</v>
      </c>
      <c r="G24" s="12" t="n">
        <v>16</v>
      </c>
      <c r="H24" s="12" t="n">
        <v>69</v>
      </c>
      <c r="I24" s="12" t="n">
        <v>107</v>
      </c>
      <c r="J24" s="12" t="n">
        <v>38</v>
      </c>
      <c r="K24" s="12" t="n">
        <v>118</v>
      </c>
      <c r="L24" s="12" t="n">
        <v>48</v>
      </c>
      <c r="M24" s="12" t="n">
        <v>76</v>
      </c>
      <c r="N24" s="12" t="n">
        <v>28</v>
      </c>
      <c r="O24" s="12" t="n">
        <v>62</v>
      </c>
      <c r="P24" s="12" t="n">
        <v>81</v>
      </c>
      <c r="Q24" s="12" t="n">
        <v>87</v>
      </c>
      <c r="R24" s="12" t="n">
        <v>12</v>
      </c>
      <c r="S24" s="12" t="n">
        <v>56</v>
      </c>
      <c r="T24" s="12" t="n">
        <v>35</v>
      </c>
      <c r="U24" s="12" t="n">
        <v>11</v>
      </c>
      <c r="V24" s="12" t="n">
        <v>100</v>
      </c>
      <c r="W24" s="12" t="n">
        <v>13</v>
      </c>
      <c r="X24" s="12" t="n">
        <v>80</v>
      </c>
      <c r="Y24" s="12" t="n">
        <v>123</v>
      </c>
      <c r="Z24" s="12" t="n">
        <v>127</v>
      </c>
      <c r="AA24" s="12" t="n">
        <v>6</v>
      </c>
      <c r="AB24" s="12" t="n">
        <v>182</v>
      </c>
      <c r="AC24" s="12" t="n">
        <v>60</v>
      </c>
      <c r="AD24" s="12" t="n">
        <v>98</v>
      </c>
      <c r="AE24" s="12" t="n">
        <v>67</v>
      </c>
      <c r="AF24" s="12" t="n">
        <v>35</v>
      </c>
    </row>
    <row r="25">
      <c r="A25" s="23" t="n"/>
      <c r="B25" s="13" t="inlineStr">
        <is>
          <t>Total 'Disagree'</t>
        </is>
      </c>
      <c r="C25" s="14" t="n">
        <v>0.08</v>
      </c>
      <c r="D25" s="14" t="n">
        <v>0.08</v>
      </c>
      <c r="E25" s="14" t="n">
        <v>0.1</v>
      </c>
      <c r="F25" s="14" t="n">
        <v>0.16</v>
      </c>
      <c r="G25" s="14" t="n">
        <v>0.02</v>
      </c>
      <c r="H25" s="14" t="n">
        <v>0.06</v>
      </c>
      <c r="I25" s="14" t="n">
        <v>0.07000000000000001</v>
      </c>
      <c r="J25" s="14" t="n">
        <v>0.13</v>
      </c>
      <c r="K25" s="14" t="n">
        <v>0.12</v>
      </c>
      <c r="L25" s="14" t="n">
        <v>0.04</v>
      </c>
      <c r="M25" s="14" t="n">
        <v>0.07000000000000001</v>
      </c>
      <c r="N25" s="14" t="n">
        <v>0.03</v>
      </c>
      <c r="O25" s="14" t="n">
        <v>0.06</v>
      </c>
      <c r="P25" s="14" t="n">
        <v>0.08</v>
      </c>
      <c r="Q25" s="14" t="n">
        <v>0.08</v>
      </c>
      <c r="R25" s="14" t="n">
        <v>0.03</v>
      </c>
      <c r="S25" s="14" t="n">
        <v>0.06</v>
      </c>
      <c r="T25" s="14" t="n">
        <v>0.03</v>
      </c>
      <c r="U25" s="14" t="n">
        <v>0.02</v>
      </c>
      <c r="V25" s="14" t="n">
        <v>0.09</v>
      </c>
      <c r="W25" s="14" t="n">
        <v>0.02</v>
      </c>
      <c r="X25" s="14" t="n">
        <v>0.08</v>
      </c>
      <c r="Y25" s="14" t="n">
        <v>0.12</v>
      </c>
      <c r="Z25" s="14" t="n">
        <v>0.13</v>
      </c>
      <c r="AA25" s="14" t="n">
        <v>0.01</v>
      </c>
      <c r="AB25" s="14" t="n">
        <v>0.17</v>
      </c>
      <c r="AC25" s="14" t="n">
        <v>0.06</v>
      </c>
      <c r="AD25" s="14" t="n">
        <v>0.09</v>
      </c>
      <c r="AE25" s="14" t="n">
        <v>0.07000000000000001</v>
      </c>
      <c r="AF25" s="14" t="n">
        <v>0.03</v>
      </c>
    </row>
  </sheetData>
  <mergeCells count="10">
    <mergeCell ref="B4:F4"/>
    <mergeCell ref="H3:L3"/>
    <mergeCell ref="A10:A21"/>
    <mergeCell ref="C8:AF8"/>
    <mergeCell ref="B3:F3"/>
    <mergeCell ref="B5:F5"/>
    <mergeCell ref="H5:L5"/>
    <mergeCell ref="B10:B11"/>
    <mergeCell ref="H4:L4"/>
    <mergeCell ref="A22:A25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24" customHeight="1" s="18">
      <c r="B3" s="21" t="inlineStr">
        <is>
          <t>QA10.2. Dans quelle mesure êtes-vous d’accord ou pas d’accord avec chacune des affirmations suivantes ?</t>
        </is>
      </c>
      <c r="H3" s="21" t="inlineStr">
        <is>
          <t>QA10.2. To what extent do you agree or disagree with each of the following statements?</t>
        </is>
      </c>
    </row>
    <row r="4" ht="27" customHeight="1" s="18">
      <c r="B4" s="21" t="inlineStr">
        <is>
          <t>L’Union européenne a besoin de plus de moyens pour faire face aux défis mondiaux actuels</t>
        </is>
      </c>
      <c r="H4" s="21" t="inlineStr">
        <is>
          <t>The European Union needs more means to face current global challenges</t>
        </is>
      </c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HYPERLINK("#Content!A27","&lt;&lt;Back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Tout à fait d’accord</t>
        </is>
      </c>
      <c r="C12" s="12" t="n">
        <v>8065</v>
      </c>
      <c r="D12" s="12" t="n">
        <v>261</v>
      </c>
      <c r="E12" s="12" t="n">
        <v>293</v>
      </c>
      <c r="F12" s="12" t="n">
        <v>204</v>
      </c>
      <c r="G12" s="12" t="n">
        <v>306</v>
      </c>
      <c r="H12" s="12" t="n">
        <v>240</v>
      </c>
      <c r="I12" s="12" t="n">
        <v>303</v>
      </c>
      <c r="J12" s="12" t="n">
        <v>62</v>
      </c>
      <c r="K12" s="12" t="n">
        <v>239</v>
      </c>
      <c r="L12" s="12" t="n">
        <v>459</v>
      </c>
      <c r="M12" s="12" t="n">
        <v>476</v>
      </c>
      <c r="N12" s="12" t="n">
        <v>459</v>
      </c>
      <c r="O12" s="12" t="n">
        <v>321</v>
      </c>
      <c r="P12" s="12" t="n">
        <v>331</v>
      </c>
      <c r="Q12" s="12" t="n">
        <v>307</v>
      </c>
      <c r="R12" s="12" t="n">
        <v>294</v>
      </c>
      <c r="S12" s="12" t="n">
        <v>405</v>
      </c>
      <c r="T12" s="12" t="n">
        <v>447</v>
      </c>
      <c r="U12" s="12" t="n">
        <v>218</v>
      </c>
      <c r="V12" s="12" t="n">
        <v>355</v>
      </c>
      <c r="W12" s="12" t="n">
        <v>286</v>
      </c>
      <c r="X12" s="12" t="n">
        <v>255</v>
      </c>
      <c r="Y12" s="12" t="n">
        <v>280</v>
      </c>
      <c r="Z12" s="12" t="n">
        <v>261</v>
      </c>
      <c r="AA12" s="12" t="n">
        <v>459</v>
      </c>
      <c r="AB12" s="12" t="n">
        <v>339</v>
      </c>
      <c r="AC12" s="12" t="n">
        <v>304</v>
      </c>
      <c r="AD12" s="12" t="n">
        <v>304</v>
      </c>
      <c r="AE12" s="12" t="n">
        <v>470</v>
      </c>
      <c r="AF12" s="12" t="n">
        <v>237</v>
      </c>
    </row>
    <row r="13">
      <c r="A13" s="20" t="n"/>
      <c r="B13" s="13" t="inlineStr">
        <is>
          <t>Totally agree</t>
        </is>
      </c>
      <c r="C13" s="14" t="n">
        <v>0.31</v>
      </c>
      <c r="D13" s="14" t="n">
        <v>0.26</v>
      </c>
      <c r="E13" s="14" t="n">
        <v>0.29</v>
      </c>
      <c r="F13" s="14" t="n">
        <v>0.19</v>
      </c>
      <c r="G13" s="14" t="n">
        <v>0.3</v>
      </c>
      <c r="H13" s="14" t="n">
        <v>0.2</v>
      </c>
      <c r="I13" s="14" t="n">
        <v>0.2</v>
      </c>
      <c r="J13" s="14" t="n">
        <v>0.21</v>
      </c>
      <c r="K13" s="14" t="n">
        <v>0.24</v>
      </c>
      <c r="L13" s="14" t="n">
        <v>0.46</v>
      </c>
      <c r="M13" s="14" t="n">
        <v>0.47</v>
      </c>
      <c r="N13" s="14" t="n">
        <v>0.46</v>
      </c>
      <c r="O13" s="14" t="n">
        <v>0.31</v>
      </c>
      <c r="P13" s="14" t="n">
        <v>0.33</v>
      </c>
      <c r="Q13" s="14" t="n">
        <v>0.3</v>
      </c>
      <c r="R13" s="14" t="n">
        <v>0.58</v>
      </c>
      <c r="S13" s="14" t="n">
        <v>0.4</v>
      </c>
      <c r="T13" s="14" t="n">
        <v>0.44</v>
      </c>
      <c r="U13" s="14" t="n">
        <v>0.43</v>
      </c>
      <c r="V13" s="14" t="n">
        <v>0.35</v>
      </c>
      <c r="W13" s="14" t="n">
        <v>0.5700000000000001</v>
      </c>
      <c r="X13" s="14" t="n">
        <v>0.25</v>
      </c>
      <c r="Y13" s="14" t="n">
        <v>0.28</v>
      </c>
      <c r="Z13" s="14" t="n">
        <v>0.25</v>
      </c>
      <c r="AA13" s="14" t="n">
        <v>0.45</v>
      </c>
      <c r="AB13" s="14" t="n">
        <v>0.32</v>
      </c>
      <c r="AC13" s="14" t="n">
        <v>0.3</v>
      </c>
      <c r="AD13" s="14" t="n">
        <v>0.3</v>
      </c>
      <c r="AE13" s="14" t="n">
        <v>0.47</v>
      </c>
      <c r="AF13" s="14" t="n">
        <v>0.23</v>
      </c>
    </row>
    <row r="14">
      <c r="A14" s="20" t="n"/>
      <c r="B14" s="11" t="inlineStr">
        <is>
          <t>Plutôt d’accord</t>
        </is>
      </c>
      <c r="C14" s="12" t="n">
        <v>11212</v>
      </c>
      <c r="D14" s="12" t="n">
        <v>498</v>
      </c>
      <c r="E14" s="12" t="n">
        <v>382</v>
      </c>
      <c r="F14" s="12" t="n">
        <v>447</v>
      </c>
      <c r="G14" s="12" t="n">
        <v>424</v>
      </c>
      <c r="H14" s="12" t="n">
        <v>465</v>
      </c>
      <c r="I14" s="12" t="n">
        <v>571</v>
      </c>
      <c r="J14" s="12" t="n">
        <v>106</v>
      </c>
      <c r="K14" s="12" t="n">
        <v>399</v>
      </c>
      <c r="L14" s="12" t="n">
        <v>355</v>
      </c>
      <c r="M14" s="12" t="n">
        <v>356</v>
      </c>
      <c r="N14" s="12" t="n">
        <v>364</v>
      </c>
      <c r="O14" s="12" t="n">
        <v>404</v>
      </c>
      <c r="P14" s="12" t="n">
        <v>486</v>
      </c>
      <c r="Q14" s="12" t="n">
        <v>520</v>
      </c>
      <c r="R14" s="12" t="n">
        <v>146</v>
      </c>
      <c r="S14" s="12" t="n">
        <v>336</v>
      </c>
      <c r="T14" s="12" t="n">
        <v>408</v>
      </c>
      <c r="U14" s="12" t="n">
        <v>199</v>
      </c>
      <c r="V14" s="12" t="n">
        <v>496</v>
      </c>
      <c r="W14" s="12" t="n">
        <v>171</v>
      </c>
      <c r="X14" s="12" t="n">
        <v>508</v>
      </c>
      <c r="Y14" s="12" t="n">
        <v>343</v>
      </c>
      <c r="Z14" s="12" t="n">
        <v>525</v>
      </c>
      <c r="AA14" s="12" t="n">
        <v>487</v>
      </c>
      <c r="AB14" s="12" t="n">
        <v>427</v>
      </c>
      <c r="AC14" s="12" t="n">
        <v>388</v>
      </c>
      <c r="AD14" s="12" t="n">
        <v>378</v>
      </c>
      <c r="AE14" s="12" t="n">
        <v>408</v>
      </c>
      <c r="AF14" s="12" t="n">
        <v>494</v>
      </c>
    </row>
    <row r="15">
      <c r="A15" s="20" t="n"/>
      <c r="B15" s="13" t="inlineStr">
        <is>
          <t>Tend to agree</t>
        </is>
      </c>
      <c r="C15" s="14" t="n">
        <v>0.42</v>
      </c>
      <c r="D15" s="14" t="n">
        <v>0.49</v>
      </c>
      <c r="E15" s="14" t="n">
        <v>0.38</v>
      </c>
      <c r="F15" s="14" t="n">
        <v>0.43</v>
      </c>
      <c r="G15" s="14" t="n">
        <v>0.42</v>
      </c>
      <c r="H15" s="14" t="n">
        <v>0.38</v>
      </c>
      <c r="I15" s="14" t="n">
        <v>0.38</v>
      </c>
      <c r="J15" s="14" t="n">
        <v>0.36</v>
      </c>
      <c r="K15" s="14" t="n">
        <v>0.4</v>
      </c>
      <c r="L15" s="14" t="n">
        <v>0.35</v>
      </c>
      <c r="M15" s="14" t="n">
        <v>0.35</v>
      </c>
      <c r="N15" s="14" t="n">
        <v>0.36</v>
      </c>
      <c r="O15" s="14" t="n">
        <v>0.4</v>
      </c>
      <c r="P15" s="14" t="n">
        <v>0.48</v>
      </c>
      <c r="Q15" s="14" t="n">
        <v>0.5</v>
      </c>
      <c r="R15" s="14" t="n">
        <v>0.29</v>
      </c>
      <c r="S15" s="14" t="n">
        <v>0.34</v>
      </c>
      <c r="T15" s="14" t="n">
        <v>0.4</v>
      </c>
      <c r="U15" s="14" t="n">
        <v>0.39</v>
      </c>
      <c r="V15" s="14" t="n">
        <v>0.48</v>
      </c>
      <c r="W15" s="14" t="n">
        <v>0.34</v>
      </c>
      <c r="X15" s="14" t="n">
        <v>0.5</v>
      </c>
      <c r="Y15" s="14" t="n">
        <v>0.34</v>
      </c>
      <c r="Z15" s="14" t="n">
        <v>0.51</v>
      </c>
      <c r="AA15" s="14" t="n">
        <v>0.47</v>
      </c>
      <c r="AB15" s="14" t="n">
        <v>0.41</v>
      </c>
      <c r="AC15" s="14" t="n">
        <v>0.39</v>
      </c>
      <c r="AD15" s="14" t="n">
        <v>0.38</v>
      </c>
      <c r="AE15" s="14" t="n">
        <v>0.4</v>
      </c>
      <c r="AF15" s="14" t="n">
        <v>0.48</v>
      </c>
    </row>
    <row r="16">
      <c r="A16" s="20" t="n"/>
      <c r="B16" s="11" t="inlineStr">
        <is>
          <t>Plutôt pas d’accord</t>
        </is>
      </c>
      <c r="C16" s="12" t="n">
        <v>3798</v>
      </c>
      <c r="D16" s="12" t="n">
        <v>177</v>
      </c>
      <c r="E16" s="12" t="n">
        <v>134</v>
      </c>
      <c r="F16" s="12" t="n">
        <v>229</v>
      </c>
      <c r="G16" s="12" t="n">
        <v>127</v>
      </c>
      <c r="H16" s="12" t="n">
        <v>239</v>
      </c>
      <c r="I16" s="12" t="n">
        <v>314</v>
      </c>
      <c r="J16" s="12" t="n">
        <v>75</v>
      </c>
      <c r="K16" s="12" t="n">
        <v>185</v>
      </c>
      <c r="L16" s="12" t="n">
        <v>90</v>
      </c>
      <c r="M16" s="12" t="n">
        <v>77</v>
      </c>
      <c r="N16" s="12" t="n">
        <v>103</v>
      </c>
      <c r="O16" s="12" t="n">
        <v>139</v>
      </c>
      <c r="P16" s="12" t="n">
        <v>135</v>
      </c>
      <c r="Q16" s="12" t="n">
        <v>115</v>
      </c>
      <c r="R16" s="12" t="n">
        <v>27</v>
      </c>
      <c r="S16" s="12" t="n">
        <v>151</v>
      </c>
      <c r="T16" s="12" t="n">
        <v>66</v>
      </c>
      <c r="U16" s="12" t="n">
        <v>46</v>
      </c>
      <c r="V16" s="12" t="n">
        <v>119</v>
      </c>
      <c r="W16" s="12" t="n">
        <v>23</v>
      </c>
      <c r="X16" s="12" t="n">
        <v>182</v>
      </c>
      <c r="Y16" s="12" t="n">
        <v>177</v>
      </c>
      <c r="Z16" s="12" t="n">
        <v>138</v>
      </c>
      <c r="AA16" s="12" t="n">
        <v>9</v>
      </c>
      <c r="AB16" s="12" t="n">
        <v>182</v>
      </c>
      <c r="AC16" s="12" t="n">
        <v>214</v>
      </c>
      <c r="AD16" s="12" t="n">
        <v>163</v>
      </c>
      <c r="AE16" s="12" t="n">
        <v>74</v>
      </c>
      <c r="AF16" s="12" t="n">
        <v>159</v>
      </c>
    </row>
    <row r="17">
      <c r="A17" s="20" t="n"/>
      <c r="B17" s="13" t="inlineStr">
        <is>
          <t>Tend to disagree</t>
        </is>
      </c>
      <c r="C17" s="14" t="n">
        <v>0.14</v>
      </c>
      <c r="D17" s="14" t="n">
        <v>0.17</v>
      </c>
      <c r="E17" s="14" t="n">
        <v>0.13</v>
      </c>
      <c r="F17" s="14" t="n">
        <v>0.22</v>
      </c>
      <c r="G17" s="14" t="n">
        <v>0.13</v>
      </c>
      <c r="H17" s="14" t="n">
        <v>0.2</v>
      </c>
      <c r="I17" s="14" t="n">
        <v>0.21</v>
      </c>
      <c r="J17" s="14" t="n">
        <v>0.26</v>
      </c>
      <c r="K17" s="14" t="n">
        <v>0.18</v>
      </c>
      <c r="L17" s="14" t="n">
        <v>0.09</v>
      </c>
      <c r="M17" s="14" t="n">
        <v>0.08</v>
      </c>
      <c r="N17" s="14" t="n">
        <v>0.1</v>
      </c>
      <c r="O17" s="14" t="n">
        <v>0.14</v>
      </c>
      <c r="P17" s="14" t="n">
        <v>0.14</v>
      </c>
      <c r="Q17" s="14" t="n">
        <v>0.11</v>
      </c>
      <c r="R17" s="14" t="n">
        <v>0.06</v>
      </c>
      <c r="S17" s="14" t="n">
        <v>0.15</v>
      </c>
      <c r="T17" s="14" t="n">
        <v>0.06</v>
      </c>
      <c r="U17" s="14" t="n">
        <v>0.09</v>
      </c>
      <c r="V17" s="14" t="n">
        <v>0.12</v>
      </c>
      <c r="W17" s="14" t="n">
        <v>0.05</v>
      </c>
      <c r="X17" s="14" t="n">
        <v>0.18</v>
      </c>
      <c r="Y17" s="14" t="n">
        <v>0.18</v>
      </c>
      <c r="Z17" s="14" t="n">
        <v>0.14</v>
      </c>
      <c r="AA17" s="14" t="n">
        <v>0.01</v>
      </c>
      <c r="AB17" s="14" t="n">
        <v>0.17</v>
      </c>
      <c r="AC17" s="14" t="n">
        <v>0.21</v>
      </c>
      <c r="AD17" s="14" t="n">
        <v>0.16</v>
      </c>
      <c r="AE17" s="14" t="n">
        <v>0.07000000000000001</v>
      </c>
      <c r="AF17" s="14" t="n">
        <v>0.15</v>
      </c>
    </row>
    <row r="18">
      <c r="A18" s="20" t="n"/>
      <c r="B18" s="11" t="inlineStr">
        <is>
          <t>Pas du tout d’accord</t>
        </is>
      </c>
      <c r="C18" s="12" t="n">
        <v>1810</v>
      </c>
      <c r="D18" s="12" t="n">
        <v>54</v>
      </c>
      <c r="E18" s="12" t="n">
        <v>87</v>
      </c>
      <c r="F18" s="12" t="n">
        <v>103</v>
      </c>
      <c r="G18" s="12" t="n">
        <v>60</v>
      </c>
      <c r="H18" s="12" t="n">
        <v>190</v>
      </c>
      <c r="I18" s="12" t="n">
        <v>229</v>
      </c>
      <c r="J18" s="12" t="n">
        <v>39</v>
      </c>
      <c r="K18" s="12" t="n">
        <v>116</v>
      </c>
      <c r="L18" s="12" t="n">
        <v>23</v>
      </c>
      <c r="M18" s="12" t="n">
        <v>52</v>
      </c>
      <c r="N18" s="12" t="n">
        <v>26</v>
      </c>
      <c r="O18" s="12" t="n">
        <v>72</v>
      </c>
      <c r="P18" s="12" t="n">
        <v>33</v>
      </c>
      <c r="Q18" s="12" t="n">
        <v>38</v>
      </c>
      <c r="R18" s="12" t="n">
        <v>11</v>
      </c>
      <c r="S18" s="12" t="n">
        <v>52</v>
      </c>
      <c r="T18" s="12" t="n">
        <v>20</v>
      </c>
      <c r="U18" s="12" t="n">
        <v>37</v>
      </c>
      <c r="V18" s="12" t="n">
        <v>24</v>
      </c>
      <c r="W18" s="12" t="n">
        <v>8</v>
      </c>
      <c r="X18" s="12" t="n">
        <v>57</v>
      </c>
      <c r="Y18" s="12" t="n">
        <v>146</v>
      </c>
      <c r="Z18" s="12" t="n">
        <v>37</v>
      </c>
      <c r="AA18" s="12" t="n">
        <v>2</v>
      </c>
      <c r="AB18" s="12" t="n">
        <v>37</v>
      </c>
      <c r="AC18" s="12" t="n">
        <v>68</v>
      </c>
      <c r="AD18" s="12" t="n">
        <v>106</v>
      </c>
      <c r="AE18" s="12" t="n">
        <v>20</v>
      </c>
      <c r="AF18" s="12" t="n">
        <v>66</v>
      </c>
    </row>
    <row r="19">
      <c r="A19" s="20" t="n"/>
      <c r="B19" s="13" t="inlineStr">
        <is>
          <t>Totally disagree</t>
        </is>
      </c>
      <c r="C19" s="14" t="n">
        <v>0.07000000000000001</v>
      </c>
      <c r="D19" s="14" t="n">
        <v>0.05</v>
      </c>
      <c r="E19" s="14" t="n">
        <v>0.08</v>
      </c>
      <c r="F19" s="14" t="n">
        <v>0.1</v>
      </c>
      <c r="G19" s="14" t="n">
        <v>0.06</v>
      </c>
      <c r="H19" s="14" t="n">
        <v>0.16</v>
      </c>
      <c r="I19" s="14" t="n">
        <v>0.15</v>
      </c>
      <c r="J19" s="14" t="n">
        <v>0.13</v>
      </c>
      <c r="K19" s="14" t="n">
        <v>0.11</v>
      </c>
      <c r="L19" s="14" t="n">
        <v>0.02</v>
      </c>
      <c r="M19" s="14" t="n">
        <v>0.05</v>
      </c>
      <c r="N19" s="14" t="n">
        <v>0.03</v>
      </c>
      <c r="O19" s="14" t="n">
        <v>0.07000000000000001</v>
      </c>
      <c r="P19" s="14" t="n">
        <v>0.03</v>
      </c>
      <c r="Q19" s="14" t="n">
        <v>0.04</v>
      </c>
      <c r="R19" s="14" t="n">
        <v>0.02</v>
      </c>
      <c r="S19" s="14" t="n">
        <v>0.05</v>
      </c>
      <c r="T19" s="14" t="n">
        <v>0.02</v>
      </c>
      <c r="U19" s="14" t="n">
        <v>0.07000000000000001</v>
      </c>
      <c r="V19" s="14" t="n">
        <v>0.02</v>
      </c>
      <c r="W19" s="14" t="n">
        <v>0.01</v>
      </c>
      <c r="X19" s="14" t="n">
        <v>0.05</v>
      </c>
      <c r="Y19" s="14" t="n">
        <v>0.14</v>
      </c>
      <c r="Z19" s="14" t="n">
        <v>0.04</v>
      </c>
      <c r="AA19" s="15" t="inlineStr">
        <is>
          <t>-</t>
        </is>
      </c>
      <c r="AB19" s="14" t="n">
        <v>0.04</v>
      </c>
      <c r="AC19" s="14" t="n">
        <v>0.07000000000000001</v>
      </c>
      <c r="AD19" s="14" t="n">
        <v>0.11</v>
      </c>
      <c r="AE19" s="14" t="n">
        <v>0.02</v>
      </c>
      <c r="AF19" s="14" t="n">
        <v>0.06</v>
      </c>
    </row>
    <row r="20">
      <c r="A20" s="20" t="n"/>
      <c r="B20" s="11" t="inlineStr">
        <is>
          <t>Ne sait pas</t>
        </is>
      </c>
      <c r="C20" s="12" t="n">
        <v>1535</v>
      </c>
      <c r="D20" s="12" t="n">
        <v>32</v>
      </c>
      <c r="E20" s="12" t="n">
        <v>118</v>
      </c>
      <c r="F20" s="12" t="n">
        <v>66</v>
      </c>
      <c r="G20" s="12" t="n">
        <v>89</v>
      </c>
      <c r="H20" s="12" t="n">
        <v>79</v>
      </c>
      <c r="I20" s="12" t="n">
        <v>91</v>
      </c>
      <c r="J20" s="12" t="n">
        <v>12</v>
      </c>
      <c r="K20" s="12" t="n">
        <v>67</v>
      </c>
      <c r="L20" s="12" t="n">
        <v>83</v>
      </c>
      <c r="M20" s="12" t="n">
        <v>46</v>
      </c>
      <c r="N20" s="12" t="n">
        <v>54</v>
      </c>
      <c r="O20" s="12" t="n">
        <v>80</v>
      </c>
      <c r="P20" s="12" t="n">
        <v>22</v>
      </c>
      <c r="Q20" s="12" t="n">
        <v>48</v>
      </c>
      <c r="R20" s="12" t="n">
        <v>26</v>
      </c>
      <c r="S20" s="12" t="n">
        <v>61</v>
      </c>
      <c r="T20" s="12" t="n">
        <v>76</v>
      </c>
      <c r="U20" s="12" t="n">
        <v>8</v>
      </c>
      <c r="V20" s="12" t="n">
        <v>27</v>
      </c>
      <c r="W20" s="12" t="n">
        <v>17</v>
      </c>
      <c r="X20" s="12" t="n">
        <v>21</v>
      </c>
      <c r="Y20" s="12" t="n">
        <v>58</v>
      </c>
      <c r="Z20" s="12" t="n">
        <v>59</v>
      </c>
      <c r="AA20" s="12" t="n">
        <v>74</v>
      </c>
      <c r="AB20" s="12" t="n">
        <v>59</v>
      </c>
      <c r="AC20" s="12" t="n">
        <v>33</v>
      </c>
      <c r="AD20" s="12" t="n">
        <v>51</v>
      </c>
      <c r="AE20" s="12" t="n">
        <v>43</v>
      </c>
      <c r="AF20" s="12" t="n">
        <v>81</v>
      </c>
    </row>
    <row r="21">
      <c r="A21" s="23" t="n"/>
      <c r="B21" s="13" t="inlineStr">
        <is>
          <t>Don't know</t>
        </is>
      </c>
      <c r="C21" s="14" t="n">
        <v>0.06</v>
      </c>
      <c r="D21" s="14" t="n">
        <v>0.03</v>
      </c>
      <c r="E21" s="14" t="n">
        <v>0.12</v>
      </c>
      <c r="F21" s="14" t="n">
        <v>0.06</v>
      </c>
      <c r="G21" s="14" t="n">
        <v>0.09</v>
      </c>
      <c r="H21" s="14" t="n">
        <v>0.06</v>
      </c>
      <c r="I21" s="14" t="n">
        <v>0.06</v>
      </c>
      <c r="J21" s="14" t="n">
        <v>0.04</v>
      </c>
      <c r="K21" s="14" t="n">
        <v>0.07000000000000001</v>
      </c>
      <c r="L21" s="14" t="n">
        <v>0.08</v>
      </c>
      <c r="M21" s="14" t="n">
        <v>0.05</v>
      </c>
      <c r="N21" s="14" t="n">
        <v>0.05</v>
      </c>
      <c r="O21" s="14" t="n">
        <v>0.08</v>
      </c>
      <c r="P21" s="14" t="n">
        <v>0.02</v>
      </c>
      <c r="Q21" s="14" t="n">
        <v>0.05</v>
      </c>
      <c r="R21" s="14" t="n">
        <v>0.05</v>
      </c>
      <c r="S21" s="14" t="n">
        <v>0.06</v>
      </c>
      <c r="T21" s="14" t="n">
        <v>0.08</v>
      </c>
      <c r="U21" s="14" t="n">
        <v>0.02</v>
      </c>
      <c r="V21" s="14" t="n">
        <v>0.03</v>
      </c>
      <c r="W21" s="14" t="n">
        <v>0.03</v>
      </c>
      <c r="X21" s="14" t="n">
        <v>0.02</v>
      </c>
      <c r="Y21" s="14" t="n">
        <v>0.06</v>
      </c>
      <c r="Z21" s="14" t="n">
        <v>0.06</v>
      </c>
      <c r="AA21" s="14" t="n">
        <v>0.07000000000000001</v>
      </c>
      <c r="AB21" s="14" t="n">
        <v>0.06</v>
      </c>
      <c r="AC21" s="14" t="n">
        <v>0.03</v>
      </c>
      <c r="AD21" s="14" t="n">
        <v>0.05</v>
      </c>
      <c r="AE21" s="14" t="n">
        <v>0.04</v>
      </c>
      <c r="AF21" s="14" t="n">
        <v>0.08</v>
      </c>
    </row>
    <row r="22">
      <c r="A22" s="19" t="n"/>
      <c r="B22" s="11" t="inlineStr">
        <is>
          <t>Total 'D'accord'</t>
        </is>
      </c>
      <c r="C22" s="12" t="n">
        <v>19277</v>
      </c>
      <c r="D22" s="12" t="n">
        <v>759</v>
      </c>
      <c r="E22" s="12" t="n">
        <v>675</v>
      </c>
      <c r="F22" s="12" t="n">
        <v>651</v>
      </c>
      <c r="G22" s="12" t="n">
        <v>730</v>
      </c>
      <c r="H22" s="12" t="n">
        <v>705</v>
      </c>
      <c r="I22" s="12" t="n">
        <v>874</v>
      </c>
      <c r="J22" s="12" t="n">
        <v>168</v>
      </c>
      <c r="K22" s="12" t="n">
        <v>638</v>
      </c>
      <c r="L22" s="12" t="n">
        <v>814</v>
      </c>
      <c r="M22" s="12" t="n">
        <v>832</v>
      </c>
      <c r="N22" s="12" t="n">
        <v>823</v>
      </c>
      <c r="O22" s="12" t="n">
        <v>725</v>
      </c>
      <c r="P22" s="12" t="n">
        <v>817</v>
      </c>
      <c r="Q22" s="12" t="n">
        <v>827</v>
      </c>
      <c r="R22" s="12" t="n">
        <v>440</v>
      </c>
      <c r="S22" s="12" t="n">
        <v>741</v>
      </c>
      <c r="T22" s="12" t="n">
        <v>855</v>
      </c>
      <c r="U22" s="12" t="n">
        <v>417</v>
      </c>
      <c r="V22" s="12" t="n">
        <v>851</v>
      </c>
      <c r="W22" s="12" t="n">
        <v>457</v>
      </c>
      <c r="X22" s="12" t="n">
        <v>763</v>
      </c>
      <c r="Y22" s="12" t="n">
        <v>623</v>
      </c>
      <c r="Z22" s="12" t="n">
        <v>786</v>
      </c>
      <c r="AA22" s="12" t="n">
        <v>946</v>
      </c>
      <c r="AB22" s="12" t="n">
        <v>766</v>
      </c>
      <c r="AC22" s="12" t="n">
        <v>692</v>
      </c>
      <c r="AD22" s="12" t="n">
        <v>682</v>
      </c>
      <c r="AE22" s="12" t="n">
        <v>878</v>
      </c>
      <c r="AF22" s="12" t="n">
        <v>731</v>
      </c>
    </row>
    <row r="23">
      <c r="A23" s="20" t="n"/>
      <c r="B23" s="13" t="inlineStr">
        <is>
          <t>Total 'Agree'</t>
        </is>
      </c>
      <c r="C23" s="14" t="n">
        <v>0.73</v>
      </c>
      <c r="D23" s="14" t="n">
        <v>0.75</v>
      </c>
      <c r="E23" s="14" t="n">
        <v>0.67</v>
      </c>
      <c r="F23" s="14" t="n">
        <v>0.62</v>
      </c>
      <c r="G23" s="14" t="n">
        <v>0.72</v>
      </c>
      <c r="H23" s="14" t="n">
        <v>0.58</v>
      </c>
      <c r="I23" s="14" t="n">
        <v>0.58</v>
      </c>
      <c r="J23" s="14" t="n">
        <v>0.5700000000000001</v>
      </c>
      <c r="K23" s="14" t="n">
        <v>0.64</v>
      </c>
      <c r="L23" s="14" t="n">
        <v>0.8100000000000001</v>
      </c>
      <c r="M23" s="14" t="n">
        <v>0.8200000000000001</v>
      </c>
      <c r="N23" s="14" t="n">
        <v>0.8200000000000001</v>
      </c>
      <c r="O23" s="14" t="n">
        <v>0.71</v>
      </c>
      <c r="P23" s="14" t="n">
        <v>0.8100000000000001</v>
      </c>
      <c r="Q23" s="14" t="n">
        <v>0.8</v>
      </c>
      <c r="R23" s="14" t="n">
        <v>0.87</v>
      </c>
      <c r="S23" s="14" t="n">
        <v>0.74</v>
      </c>
      <c r="T23" s="14" t="n">
        <v>0.84</v>
      </c>
      <c r="U23" s="14" t="n">
        <v>0.8200000000000001</v>
      </c>
      <c r="V23" s="14" t="n">
        <v>0.8300000000000001</v>
      </c>
      <c r="W23" s="14" t="n">
        <v>0.91</v>
      </c>
      <c r="X23" s="14" t="n">
        <v>0.75</v>
      </c>
      <c r="Y23" s="14" t="n">
        <v>0.62</v>
      </c>
      <c r="Z23" s="14" t="n">
        <v>0.76</v>
      </c>
      <c r="AA23" s="14" t="n">
        <v>0.92</v>
      </c>
      <c r="AB23" s="14" t="n">
        <v>0.73</v>
      </c>
      <c r="AC23" s="14" t="n">
        <v>0.6900000000000001</v>
      </c>
      <c r="AD23" s="14" t="n">
        <v>0.68</v>
      </c>
      <c r="AE23" s="14" t="n">
        <v>0.87</v>
      </c>
      <c r="AF23" s="14" t="n">
        <v>0.71</v>
      </c>
    </row>
    <row r="24">
      <c r="A24" s="20" t="n"/>
      <c r="B24" s="11" t="inlineStr">
        <is>
          <t>Total 'Pas d'accord'</t>
        </is>
      </c>
      <c r="C24" s="12" t="n">
        <v>5608</v>
      </c>
      <c r="D24" s="12" t="n">
        <v>231</v>
      </c>
      <c r="E24" s="12" t="n">
        <v>221</v>
      </c>
      <c r="F24" s="12" t="n">
        <v>332</v>
      </c>
      <c r="G24" s="12" t="n">
        <v>187</v>
      </c>
      <c r="H24" s="12" t="n">
        <v>429</v>
      </c>
      <c r="I24" s="12" t="n">
        <v>543</v>
      </c>
      <c r="J24" s="12" t="n">
        <v>114</v>
      </c>
      <c r="K24" s="12" t="n">
        <v>301</v>
      </c>
      <c r="L24" s="12" t="n">
        <v>113</v>
      </c>
      <c r="M24" s="12" t="n">
        <v>129</v>
      </c>
      <c r="N24" s="12" t="n">
        <v>129</v>
      </c>
      <c r="O24" s="12" t="n">
        <v>211</v>
      </c>
      <c r="P24" s="12" t="n">
        <v>168</v>
      </c>
      <c r="Q24" s="12" t="n">
        <v>153</v>
      </c>
      <c r="R24" s="12" t="n">
        <v>38</v>
      </c>
      <c r="S24" s="12" t="n">
        <v>203</v>
      </c>
      <c r="T24" s="12" t="n">
        <v>86</v>
      </c>
      <c r="U24" s="12" t="n">
        <v>83</v>
      </c>
      <c r="V24" s="12" t="n">
        <v>143</v>
      </c>
      <c r="W24" s="12" t="n">
        <v>31</v>
      </c>
      <c r="X24" s="12" t="n">
        <v>239</v>
      </c>
      <c r="Y24" s="12" t="n">
        <v>323</v>
      </c>
      <c r="Z24" s="12" t="n">
        <v>175</v>
      </c>
      <c r="AA24" s="12" t="n">
        <v>11</v>
      </c>
      <c r="AB24" s="12" t="n">
        <v>219</v>
      </c>
      <c r="AC24" s="12" t="n">
        <v>282</v>
      </c>
      <c r="AD24" s="12" t="n">
        <v>269</v>
      </c>
      <c r="AE24" s="12" t="n">
        <v>94</v>
      </c>
      <c r="AF24" s="12" t="n">
        <v>225</v>
      </c>
    </row>
    <row r="25">
      <c r="A25" s="23" t="n"/>
      <c r="B25" s="13" t="inlineStr">
        <is>
          <t>Total 'Disagree'</t>
        </is>
      </c>
      <c r="C25" s="14" t="n">
        <v>0.21</v>
      </c>
      <c r="D25" s="14" t="n">
        <v>0.22</v>
      </c>
      <c r="E25" s="14" t="n">
        <v>0.21</v>
      </c>
      <c r="F25" s="14" t="n">
        <v>0.32</v>
      </c>
      <c r="G25" s="14" t="n">
        <v>0.19</v>
      </c>
      <c r="H25" s="14" t="n">
        <v>0.36</v>
      </c>
      <c r="I25" s="14" t="n">
        <v>0.36</v>
      </c>
      <c r="J25" s="14" t="n">
        <v>0.39</v>
      </c>
      <c r="K25" s="14" t="n">
        <v>0.29</v>
      </c>
      <c r="L25" s="14" t="n">
        <v>0.11</v>
      </c>
      <c r="M25" s="14" t="n">
        <v>0.13</v>
      </c>
      <c r="N25" s="14" t="n">
        <v>0.13</v>
      </c>
      <c r="O25" s="14" t="n">
        <v>0.21</v>
      </c>
      <c r="P25" s="14" t="n">
        <v>0.17</v>
      </c>
      <c r="Q25" s="14" t="n">
        <v>0.15</v>
      </c>
      <c r="R25" s="14" t="n">
        <v>0.08</v>
      </c>
      <c r="S25" s="14" t="n">
        <v>0.2</v>
      </c>
      <c r="T25" s="14" t="n">
        <v>0.08</v>
      </c>
      <c r="U25" s="14" t="n">
        <v>0.16</v>
      </c>
      <c r="V25" s="14" t="n">
        <v>0.14</v>
      </c>
      <c r="W25" s="14" t="n">
        <v>0.06</v>
      </c>
      <c r="X25" s="14" t="n">
        <v>0.23</v>
      </c>
      <c r="Y25" s="14" t="n">
        <v>0.32</v>
      </c>
      <c r="Z25" s="14" t="n">
        <v>0.18</v>
      </c>
      <c r="AA25" s="14" t="n">
        <v>0.01</v>
      </c>
      <c r="AB25" s="14" t="n">
        <v>0.21</v>
      </c>
      <c r="AC25" s="14" t="n">
        <v>0.28</v>
      </c>
      <c r="AD25" s="14" t="n">
        <v>0.27</v>
      </c>
      <c r="AE25" s="14" t="n">
        <v>0.09</v>
      </c>
      <c r="AF25" s="14" t="n">
        <v>0.21</v>
      </c>
    </row>
  </sheetData>
  <mergeCells count="10">
    <mergeCell ref="B4:F4"/>
    <mergeCell ref="H3:L3"/>
    <mergeCell ref="A10:A21"/>
    <mergeCell ref="C8:AF8"/>
    <mergeCell ref="B3:F3"/>
    <mergeCell ref="B5:F5"/>
    <mergeCell ref="H5:L5"/>
    <mergeCell ref="B10:B11"/>
    <mergeCell ref="H4:L4"/>
    <mergeCell ref="A22:A25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24" customHeight="1" s="18">
      <c r="B3" s="21" t="inlineStr">
        <is>
          <t>QA10.3. Dans quelle mesure êtes-vous d’accord ou pas d’accord avec chacune des affirmations suivantes ?</t>
        </is>
      </c>
      <c r="H3" s="21" t="inlineStr">
        <is>
          <t>QA10.3. To what extent do you agree or disagree with each of the following statements?</t>
        </is>
      </c>
    </row>
    <row r="4" ht="27" customHeight="1" s="18">
      <c r="B4" s="21" t="inlineStr">
        <is>
          <t>L’Union européenne devrait promouvoir le respect du droit international par tous les pays</t>
        </is>
      </c>
      <c r="H4" s="21" t="inlineStr">
        <is>
          <t>The European Union should promote the respect of international law by all countries</t>
        </is>
      </c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HYPERLINK("#Content!A28","&lt;&lt;Back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Tout à fait d’accord</t>
        </is>
      </c>
      <c r="C12" s="12" t="n">
        <v>13390</v>
      </c>
      <c r="D12" s="12" t="n">
        <v>509</v>
      </c>
      <c r="E12" s="12" t="n">
        <v>523</v>
      </c>
      <c r="F12" s="12" t="n">
        <v>410</v>
      </c>
      <c r="G12" s="12" t="n">
        <v>761</v>
      </c>
      <c r="H12" s="12" t="n">
        <v>599</v>
      </c>
      <c r="I12" s="12" t="n">
        <v>727</v>
      </c>
      <c r="J12" s="12" t="n">
        <v>128</v>
      </c>
      <c r="K12" s="12" t="n">
        <v>408</v>
      </c>
      <c r="L12" s="12" t="n">
        <v>613</v>
      </c>
      <c r="M12" s="12" t="n">
        <v>661</v>
      </c>
      <c r="N12" s="12" t="n">
        <v>661</v>
      </c>
      <c r="O12" s="12" t="n">
        <v>511</v>
      </c>
      <c r="P12" s="12" t="n">
        <v>470</v>
      </c>
      <c r="Q12" s="12" t="n">
        <v>468</v>
      </c>
      <c r="R12" s="12" t="n">
        <v>403</v>
      </c>
      <c r="S12" s="12" t="n">
        <v>546</v>
      </c>
      <c r="T12" s="12" t="n">
        <v>622</v>
      </c>
      <c r="U12" s="12" t="n">
        <v>344</v>
      </c>
      <c r="V12" s="12" t="n">
        <v>398</v>
      </c>
      <c r="W12" s="12" t="n">
        <v>321</v>
      </c>
      <c r="X12" s="12" t="n">
        <v>625</v>
      </c>
      <c r="Y12" s="12" t="n">
        <v>445</v>
      </c>
      <c r="Z12" s="12" t="n">
        <v>373</v>
      </c>
      <c r="AA12" s="12" t="n">
        <v>404</v>
      </c>
      <c r="AB12" s="12" t="n">
        <v>397</v>
      </c>
      <c r="AC12" s="12" t="n">
        <v>735</v>
      </c>
      <c r="AD12" s="12" t="n">
        <v>584</v>
      </c>
      <c r="AE12" s="12" t="n">
        <v>655</v>
      </c>
      <c r="AF12" s="12" t="n">
        <v>745</v>
      </c>
    </row>
    <row r="13">
      <c r="A13" s="20" t="n"/>
      <c r="B13" s="13" t="inlineStr">
        <is>
          <t>Totally agree</t>
        </is>
      </c>
      <c r="C13" s="14" t="n">
        <v>0.51</v>
      </c>
      <c r="D13" s="14" t="n">
        <v>0.5</v>
      </c>
      <c r="E13" s="14" t="n">
        <v>0.52</v>
      </c>
      <c r="F13" s="14" t="n">
        <v>0.39</v>
      </c>
      <c r="G13" s="14" t="n">
        <v>0.76</v>
      </c>
      <c r="H13" s="14" t="n">
        <v>0.5</v>
      </c>
      <c r="I13" s="14" t="n">
        <v>0.48</v>
      </c>
      <c r="J13" s="14" t="n">
        <v>0.44</v>
      </c>
      <c r="K13" s="14" t="n">
        <v>0.41</v>
      </c>
      <c r="L13" s="14" t="n">
        <v>0.61</v>
      </c>
      <c r="M13" s="14" t="n">
        <v>0.66</v>
      </c>
      <c r="N13" s="14" t="n">
        <v>0.66</v>
      </c>
      <c r="O13" s="14" t="n">
        <v>0.5</v>
      </c>
      <c r="P13" s="14" t="n">
        <v>0.47</v>
      </c>
      <c r="Q13" s="14" t="n">
        <v>0.45</v>
      </c>
      <c r="R13" s="14" t="n">
        <v>0.8</v>
      </c>
      <c r="S13" s="14" t="n">
        <v>0.54</v>
      </c>
      <c r="T13" s="14" t="n">
        <v>0.61</v>
      </c>
      <c r="U13" s="14" t="n">
        <v>0.67</v>
      </c>
      <c r="V13" s="14" t="n">
        <v>0.39</v>
      </c>
      <c r="W13" s="14" t="n">
        <v>0.64</v>
      </c>
      <c r="X13" s="14" t="n">
        <v>0.61</v>
      </c>
      <c r="Y13" s="14" t="n">
        <v>0.45</v>
      </c>
      <c r="Z13" s="14" t="n">
        <v>0.37</v>
      </c>
      <c r="AA13" s="14" t="n">
        <v>0.39</v>
      </c>
      <c r="AB13" s="14" t="n">
        <v>0.38</v>
      </c>
      <c r="AC13" s="14" t="n">
        <v>0.73</v>
      </c>
      <c r="AD13" s="14" t="n">
        <v>0.58</v>
      </c>
      <c r="AE13" s="14" t="n">
        <v>0.65</v>
      </c>
      <c r="AF13" s="14" t="n">
        <v>0.72</v>
      </c>
    </row>
    <row r="14">
      <c r="A14" s="20" t="n"/>
      <c r="B14" s="11" t="inlineStr">
        <is>
          <t>Plutôt d’accord</t>
        </is>
      </c>
      <c r="C14" s="12" t="n">
        <v>10395</v>
      </c>
      <c r="D14" s="12" t="n">
        <v>413</v>
      </c>
      <c r="E14" s="12" t="n">
        <v>376</v>
      </c>
      <c r="F14" s="12" t="n">
        <v>470</v>
      </c>
      <c r="G14" s="12" t="n">
        <v>183</v>
      </c>
      <c r="H14" s="12" t="n">
        <v>462</v>
      </c>
      <c r="I14" s="12" t="n">
        <v>589</v>
      </c>
      <c r="J14" s="12" t="n">
        <v>127</v>
      </c>
      <c r="K14" s="12" t="n">
        <v>445</v>
      </c>
      <c r="L14" s="12" t="n">
        <v>327</v>
      </c>
      <c r="M14" s="12" t="n">
        <v>264</v>
      </c>
      <c r="N14" s="12" t="n">
        <v>289</v>
      </c>
      <c r="O14" s="12" t="n">
        <v>410</v>
      </c>
      <c r="P14" s="12" t="n">
        <v>468</v>
      </c>
      <c r="Q14" s="12" t="n">
        <v>480</v>
      </c>
      <c r="R14" s="12" t="n">
        <v>72</v>
      </c>
      <c r="S14" s="12" t="n">
        <v>336</v>
      </c>
      <c r="T14" s="12" t="n">
        <v>340</v>
      </c>
      <c r="U14" s="12" t="n">
        <v>136</v>
      </c>
      <c r="V14" s="12" t="n">
        <v>530</v>
      </c>
      <c r="W14" s="12" t="n">
        <v>144</v>
      </c>
      <c r="X14" s="12" t="n">
        <v>321</v>
      </c>
      <c r="Y14" s="12" t="n">
        <v>423</v>
      </c>
      <c r="Z14" s="12" t="n">
        <v>520</v>
      </c>
      <c r="AA14" s="12" t="n">
        <v>585</v>
      </c>
      <c r="AB14" s="12" t="n">
        <v>407</v>
      </c>
      <c r="AC14" s="12" t="n">
        <v>243</v>
      </c>
      <c r="AD14" s="12" t="n">
        <v>352</v>
      </c>
      <c r="AE14" s="12" t="n">
        <v>295</v>
      </c>
      <c r="AF14" s="12" t="n">
        <v>217</v>
      </c>
    </row>
    <row r="15">
      <c r="A15" s="20" t="n"/>
      <c r="B15" s="13" t="inlineStr">
        <is>
          <t>Tend to agree</t>
        </is>
      </c>
      <c r="C15" s="14" t="n">
        <v>0.39</v>
      </c>
      <c r="D15" s="14" t="n">
        <v>0.4</v>
      </c>
      <c r="E15" s="14" t="n">
        <v>0.37</v>
      </c>
      <c r="F15" s="14" t="n">
        <v>0.45</v>
      </c>
      <c r="G15" s="14" t="n">
        <v>0.18</v>
      </c>
      <c r="H15" s="14" t="n">
        <v>0.38</v>
      </c>
      <c r="I15" s="14" t="n">
        <v>0.39</v>
      </c>
      <c r="J15" s="14" t="n">
        <v>0.43</v>
      </c>
      <c r="K15" s="14" t="n">
        <v>0.44</v>
      </c>
      <c r="L15" s="14" t="n">
        <v>0.32</v>
      </c>
      <c r="M15" s="14" t="n">
        <v>0.26</v>
      </c>
      <c r="N15" s="14" t="n">
        <v>0.29</v>
      </c>
      <c r="O15" s="14" t="n">
        <v>0.4</v>
      </c>
      <c r="P15" s="14" t="n">
        <v>0.46</v>
      </c>
      <c r="Q15" s="14" t="n">
        <v>0.47</v>
      </c>
      <c r="R15" s="14" t="n">
        <v>0.14</v>
      </c>
      <c r="S15" s="14" t="n">
        <v>0.34</v>
      </c>
      <c r="T15" s="14" t="n">
        <v>0.34</v>
      </c>
      <c r="U15" s="14" t="n">
        <v>0.27</v>
      </c>
      <c r="V15" s="14" t="n">
        <v>0.52</v>
      </c>
      <c r="W15" s="14" t="n">
        <v>0.28</v>
      </c>
      <c r="X15" s="14" t="n">
        <v>0.31</v>
      </c>
      <c r="Y15" s="14" t="n">
        <v>0.42</v>
      </c>
      <c r="Z15" s="14" t="n">
        <v>0.51</v>
      </c>
      <c r="AA15" s="14" t="n">
        <v>0.5700000000000001</v>
      </c>
      <c r="AB15" s="14" t="n">
        <v>0.39</v>
      </c>
      <c r="AC15" s="14" t="n">
        <v>0.24</v>
      </c>
      <c r="AD15" s="14" t="n">
        <v>0.35</v>
      </c>
      <c r="AE15" s="14" t="n">
        <v>0.29</v>
      </c>
      <c r="AF15" s="14" t="n">
        <v>0.21</v>
      </c>
    </row>
    <row r="16">
      <c r="A16" s="20" t="n"/>
      <c r="B16" s="11" t="inlineStr">
        <is>
          <t>Plutôt pas d’accord</t>
        </is>
      </c>
      <c r="C16" s="12" t="n">
        <v>1360</v>
      </c>
      <c r="D16" s="12" t="n">
        <v>70</v>
      </c>
      <c r="E16" s="12" t="n">
        <v>53</v>
      </c>
      <c r="F16" s="12" t="n">
        <v>123</v>
      </c>
      <c r="G16" s="12" t="n">
        <v>22</v>
      </c>
      <c r="H16" s="12" t="n">
        <v>60</v>
      </c>
      <c r="I16" s="12" t="n">
        <v>87</v>
      </c>
      <c r="J16" s="12" t="n">
        <v>27</v>
      </c>
      <c r="K16" s="12" t="n">
        <v>69</v>
      </c>
      <c r="L16" s="12" t="n">
        <v>40</v>
      </c>
      <c r="M16" s="12" t="n">
        <v>36</v>
      </c>
      <c r="N16" s="12" t="n">
        <v>20</v>
      </c>
      <c r="O16" s="12" t="n">
        <v>38</v>
      </c>
      <c r="P16" s="12" t="n">
        <v>56</v>
      </c>
      <c r="Q16" s="12" t="n">
        <v>49</v>
      </c>
      <c r="R16" s="12" t="n">
        <v>7</v>
      </c>
      <c r="S16" s="12" t="n">
        <v>67</v>
      </c>
      <c r="T16" s="12" t="n">
        <v>20</v>
      </c>
      <c r="U16" s="12" t="n">
        <v>16</v>
      </c>
      <c r="V16" s="12" t="n">
        <v>68</v>
      </c>
      <c r="W16" s="12" t="n">
        <v>19</v>
      </c>
      <c r="X16" s="12" t="n">
        <v>36</v>
      </c>
      <c r="Y16" s="12" t="n">
        <v>81</v>
      </c>
      <c r="Z16" s="12" t="n">
        <v>76</v>
      </c>
      <c r="AA16" s="12" t="n">
        <v>8</v>
      </c>
      <c r="AB16" s="12" t="n">
        <v>147</v>
      </c>
      <c r="AC16" s="12" t="n">
        <v>23</v>
      </c>
      <c r="AD16" s="12" t="n">
        <v>45</v>
      </c>
      <c r="AE16" s="12" t="n">
        <v>44</v>
      </c>
      <c r="AF16" s="12" t="n">
        <v>31</v>
      </c>
    </row>
    <row r="17">
      <c r="A17" s="20" t="n"/>
      <c r="B17" s="13" t="inlineStr">
        <is>
          <t>Tend to disagree</t>
        </is>
      </c>
      <c r="C17" s="14" t="n">
        <v>0.05</v>
      </c>
      <c r="D17" s="14" t="n">
        <v>0.07000000000000001</v>
      </c>
      <c r="E17" s="14" t="n">
        <v>0.05</v>
      </c>
      <c r="F17" s="14" t="n">
        <v>0.12</v>
      </c>
      <c r="G17" s="14" t="n">
        <v>0.02</v>
      </c>
      <c r="H17" s="14" t="n">
        <v>0.05</v>
      </c>
      <c r="I17" s="14" t="n">
        <v>0.06</v>
      </c>
      <c r="J17" s="14" t="n">
        <v>0.09</v>
      </c>
      <c r="K17" s="14" t="n">
        <v>0.07000000000000001</v>
      </c>
      <c r="L17" s="14" t="n">
        <v>0.04</v>
      </c>
      <c r="M17" s="14" t="n">
        <v>0.04</v>
      </c>
      <c r="N17" s="14" t="n">
        <v>0.02</v>
      </c>
      <c r="O17" s="14" t="n">
        <v>0.04</v>
      </c>
      <c r="P17" s="14" t="n">
        <v>0.06</v>
      </c>
      <c r="Q17" s="14" t="n">
        <v>0.05</v>
      </c>
      <c r="R17" s="14" t="n">
        <v>0.02</v>
      </c>
      <c r="S17" s="14" t="n">
        <v>0.07000000000000001</v>
      </c>
      <c r="T17" s="14" t="n">
        <v>0.02</v>
      </c>
      <c r="U17" s="14" t="n">
        <v>0.03</v>
      </c>
      <c r="V17" s="14" t="n">
        <v>0.07000000000000001</v>
      </c>
      <c r="W17" s="14" t="n">
        <v>0.04</v>
      </c>
      <c r="X17" s="14" t="n">
        <v>0.04</v>
      </c>
      <c r="Y17" s="14" t="n">
        <v>0.08</v>
      </c>
      <c r="Z17" s="14" t="n">
        <v>0.07000000000000001</v>
      </c>
      <c r="AA17" s="14" t="n">
        <v>0.01</v>
      </c>
      <c r="AB17" s="14" t="n">
        <v>0.14</v>
      </c>
      <c r="AC17" s="14" t="n">
        <v>0.02</v>
      </c>
      <c r="AD17" s="14" t="n">
        <v>0.05</v>
      </c>
      <c r="AE17" s="14" t="n">
        <v>0.04</v>
      </c>
      <c r="AF17" s="14" t="n">
        <v>0.03</v>
      </c>
    </row>
    <row r="18">
      <c r="A18" s="20" t="n"/>
      <c r="B18" s="11" t="inlineStr">
        <is>
          <t>Pas du tout d’accord</t>
        </is>
      </c>
      <c r="C18" s="12" t="n">
        <v>508</v>
      </c>
      <c r="D18" s="12" t="n">
        <v>16</v>
      </c>
      <c r="E18" s="12" t="n">
        <v>15</v>
      </c>
      <c r="F18" s="12" t="n">
        <v>20</v>
      </c>
      <c r="G18" s="12" t="n">
        <v>18</v>
      </c>
      <c r="H18" s="12" t="n">
        <v>29</v>
      </c>
      <c r="I18" s="12" t="n">
        <v>37</v>
      </c>
      <c r="J18" s="12" t="n">
        <v>8</v>
      </c>
      <c r="K18" s="12" t="n">
        <v>41</v>
      </c>
      <c r="L18" s="12" t="n">
        <v>6</v>
      </c>
      <c r="M18" s="12" t="n">
        <v>34</v>
      </c>
      <c r="N18" s="12" t="n">
        <v>6</v>
      </c>
      <c r="O18" s="12" t="n">
        <v>22</v>
      </c>
      <c r="P18" s="12" t="n">
        <v>8</v>
      </c>
      <c r="Q18" s="12" t="n">
        <v>13</v>
      </c>
      <c r="R18" s="12" t="n">
        <v>5</v>
      </c>
      <c r="S18" s="12" t="n">
        <v>13</v>
      </c>
      <c r="T18" s="12" t="n">
        <v>2</v>
      </c>
      <c r="U18" s="12" t="n">
        <v>4</v>
      </c>
      <c r="V18" s="12" t="n">
        <v>16</v>
      </c>
      <c r="W18" s="12" t="n">
        <v>9</v>
      </c>
      <c r="X18" s="12" t="n">
        <v>25</v>
      </c>
      <c r="Y18" s="12" t="n">
        <v>32</v>
      </c>
      <c r="Z18" s="12" t="n">
        <v>31</v>
      </c>
      <c r="AA18" s="12" t="n">
        <v>0</v>
      </c>
      <c r="AB18" s="12" t="n">
        <v>39</v>
      </c>
      <c r="AC18" s="12" t="n">
        <v>3</v>
      </c>
      <c r="AD18" s="12" t="n">
        <v>13</v>
      </c>
      <c r="AE18" s="12" t="n">
        <v>9</v>
      </c>
      <c r="AF18" s="12" t="n">
        <v>15</v>
      </c>
    </row>
    <row r="19">
      <c r="A19" s="20" t="n"/>
      <c r="B19" s="13" t="inlineStr">
        <is>
          <t>Totally disagree</t>
        </is>
      </c>
      <c r="C19" s="14" t="n">
        <v>0.02</v>
      </c>
      <c r="D19" s="14" t="n">
        <v>0.02</v>
      </c>
      <c r="E19" s="14" t="n">
        <v>0.01</v>
      </c>
      <c r="F19" s="14" t="n">
        <v>0.02</v>
      </c>
      <c r="G19" s="14" t="n">
        <v>0.02</v>
      </c>
      <c r="H19" s="14" t="n">
        <v>0.02</v>
      </c>
      <c r="I19" s="14" t="n">
        <v>0.03</v>
      </c>
      <c r="J19" s="14" t="n">
        <v>0.03</v>
      </c>
      <c r="K19" s="14" t="n">
        <v>0.04</v>
      </c>
      <c r="L19" s="14" t="n">
        <v>0.01</v>
      </c>
      <c r="M19" s="14" t="n">
        <v>0.03</v>
      </c>
      <c r="N19" s="15" t="inlineStr">
        <is>
          <t>-</t>
        </is>
      </c>
      <c r="O19" s="14" t="n">
        <v>0.02</v>
      </c>
      <c r="P19" s="14" t="n">
        <v>0.01</v>
      </c>
      <c r="Q19" s="14" t="n">
        <v>0.01</v>
      </c>
      <c r="R19" s="14" t="n">
        <v>0.01</v>
      </c>
      <c r="S19" s="14" t="n">
        <v>0.01</v>
      </c>
      <c r="T19" s="15" t="inlineStr">
        <is>
          <t>-</t>
        </is>
      </c>
      <c r="U19" s="14" t="n">
        <v>0.01</v>
      </c>
      <c r="V19" s="14" t="n">
        <v>0.01</v>
      </c>
      <c r="W19" s="14" t="n">
        <v>0.02</v>
      </c>
      <c r="X19" s="14" t="n">
        <v>0.03</v>
      </c>
      <c r="Y19" s="14" t="n">
        <v>0.03</v>
      </c>
      <c r="Z19" s="14" t="n">
        <v>0.03</v>
      </c>
      <c r="AA19" s="15" t="inlineStr">
        <is>
          <t>-</t>
        </is>
      </c>
      <c r="AB19" s="14" t="n">
        <v>0.04</v>
      </c>
      <c r="AC19" s="15" t="inlineStr">
        <is>
          <t>-</t>
        </is>
      </c>
      <c r="AD19" s="14" t="n">
        <v>0.01</v>
      </c>
      <c r="AE19" s="14" t="n">
        <v>0.01</v>
      </c>
      <c r="AF19" s="14" t="n">
        <v>0.01</v>
      </c>
    </row>
    <row r="20">
      <c r="A20" s="20" t="n"/>
      <c r="B20" s="11" t="inlineStr">
        <is>
          <t>Ne sait pas</t>
        </is>
      </c>
      <c r="C20" s="12" t="n">
        <v>768</v>
      </c>
      <c r="D20" s="12" t="n">
        <v>13</v>
      </c>
      <c r="E20" s="12" t="n">
        <v>47</v>
      </c>
      <c r="F20" s="12" t="n">
        <v>25</v>
      </c>
      <c r="G20" s="12" t="n">
        <v>23</v>
      </c>
      <c r="H20" s="12" t="n">
        <v>64</v>
      </c>
      <c r="I20" s="12" t="n">
        <v>67</v>
      </c>
      <c r="J20" s="12" t="n">
        <v>3</v>
      </c>
      <c r="K20" s="12" t="n">
        <v>42</v>
      </c>
      <c r="L20" s="12" t="n">
        <v>25</v>
      </c>
      <c r="M20" s="12" t="n">
        <v>12</v>
      </c>
      <c r="N20" s="12" t="n">
        <v>29</v>
      </c>
      <c r="O20" s="12" t="n">
        <v>35</v>
      </c>
      <c r="P20" s="12" t="n">
        <v>4</v>
      </c>
      <c r="Q20" s="12" t="n">
        <v>20</v>
      </c>
      <c r="R20" s="12" t="n">
        <v>16</v>
      </c>
      <c r="S20" s="12" t="n">
        <v>43</v>
      </c>
      <c r="T20" s="12" t="n">
        <v>33</v>
      </c>
      <c r="U20" s="12" t="n">
        <v>9</v>
      </c>
      <c r="V20" s="12" t="n">
        <v>8</v>
      </c>
      <c r="W20" s="12" t="n">
        <v>12</v>
      </c>
      <c r="X20" s="12" t="n">
        <v>15</v>
      </c>
      <c r="Y20" s="12" t="n">
        <v>22</v>
      </c>
      <c r="Z20" s="12" t="n">
        <v>20</v>
      </c>
      <c r="AA20" s="12" t="n">
        <v>35</v>
      </c>
      <c r="AB20" s="12" t="n">
        <v>55</v>
      </c>
      <c r="AC20" s="12" t="n">
        <v>3</v>
      </c>
      <c r="AD20" s="12" t="n">
        <v>8</v>
      </c>
      <c r="AE20" s="12" t="n">
        <v>13</v>
      </c>
      <c r="AF20" s="12" t="n">
        <v>30</v>
      </c>
    </row>
    <row r="21">
      <c r="A21" s="23" t="n"/>
      <c r="B21" s="13" t="inlineStr">
        <is>
          <t>Don't know</t>
        </is>
      </c>
      <c r="C21" s="14" t="n">
        <v>0.03</v>
      </c>
      <c r="D21" s="14" t="n">
        <v>0.01</v>
      </c>
      <c r="E21" s="14" t="n">
        <v>0.05</v>
      </c>
      <c r="F21" s="14" t="n">
        <v>0.02</v>
      </c>
      <c r="G21" s="14" t="n">
        <v>0.02</v>
      </c>
      <c r="H21" s="14" t="n">
        <v>0.05</v>
      </c>
      <c r="I21" s="14" t="n">
        <v>0.04</v>
      </c>
      <c r="J21" s="14" t="n">
        <v>0.01</v>
      </c>
      <c r="K21" s="14" t="n">
        <v>0.04</v>
      </c>
      <c r="L21" s="14" t="n">
        <v>0.02</v>
      </c>
      <c r="M21" s="14" t="n">
        <v>0.01</v>
      </c>
      <c r="N21" s="14" t="n">
        <v>0.03</v>
      </c>
      <c r="O21" s="14" t="n">
        <v>0.04</v>
      </c>
      <c r="P21" s="15" t="inlineStr">
        <is>
          <t>-</t>
        </is>
      </c>
      <c r="Q21" s="14" t="n">
        <v>0.02</v>
      </c>
      <c r="R21" s="14" t="n">
        <v>0.03</v>
      </c>
      <c r="S21" s="14" t="n">
        <v>0.04</v>
      </c>
      <c r="T21" s="14" t="n">
        <v>0.03</v>
      </c>
      <c r="U21" s="14" t="n">
        <v>0.02</v>
      </c>
      <c r="V21" s="14" t="n">
        <v>0.01</v>
      </c>
      <c r="W21" s="14" t="n">
        <v>0.02</v>
      </c>
      <c r="X21" s="14" t="n">
        <v>0.01</v>
      </c>
      <c r="Y21" s="14" t="n">
        <v>0.02</v>
      </c>
      <c r="Z21" s="14" t="n">
        <v>0.02</v>
      </c>
      <c r="AA21" s="14" t="n">
        <v>0.03</v>
      </c>
      <c r="AB21" s="14" t="n">
        <v>0.05</v>
      </c>
      <c r="AC21" s="14" t="n">
        <v>0.01</v>
      </c>
      <c r="AD21" s="14" t="n">
        <v>0.01</v>
      </c>
      <c r="AE21" s="14" t="n">
        <v>0.01</v>
      </c>
      <c r="AF21" s="14" t="n">
        <v>0.03</v>
      </c>
    </row>
    <row r="22">
      <c r="A22" s="19" t="n"/>
      <c r="B22" s="11" t="inlineStr">
        <is>
          <t>Total 'D'accord'</t>
        </is>
      </c>
      <c r="C22" s="12" t="n">
        <v>23785</v>
      </c>
      <c r="D22" s="12" t="n">
        <v>922</v>
      </c>
      <c r="E22" s="12" t="n">
        <v>899</v>
      </c>
      <c r="F22" s="12" t="n">
        <v>880</v>
      </c>
      <c r="G22" s="12" t="n">
        <v>944</v>
      </c>
      <c r="H22" s="12" t="n">
        <v>1061</v>
      </c>
      <c r="I22" s="12" t="n">
        <v>1316</v>
      </c>
      <c r="J22" s="12" t="n">
        <v>255</v>
      </c>
      <c r="K22" s="12" t="n">
        <v>853</v>
      </c>
      <c r="L22" s="12" t="n">
        <v>940</v>
      </c>
      <c r="M22" s="12" t="n">
        <v>925</v>
      </c>
      <c r="N22" s="12" t="n">
        <v>950</v>
      </c>
      <c r="O22" s="12" t="n">
        <v>921</v>
      </c>
      <c r="P22" s="12" t="n">
        <v>938</v>
      </c>
      <c r="Q22" s="12" t="n">
        <v>948</v>
      </c>
      <c r="R22" s="12" t="n">
        <v>475</v>
      </c>
      <c r="S22" s="12" t="n">
        <v>882</v>
      </c>
      <c r="T22" s="12" t="n">
        <v>962</v>
      </c>
      <c r="U22" s="12" t="n">
        <v>480</v>
      </c>
      <c r="V22" s="12" t="n">
        <v>928</v>
      </c>
      <c r="W22" s="12" t="n">
        <v>465</v>
      </c>
      <c r="X22" s="12" t="n">
        <v>946</v>
      </c>
      <c r="Y22" s="12" t="n">
        <v>868</v>
      </c>
      <c r="Z22" s="12" t="n">
        <v>893</v>
      </c>
      <c r="AA22" s="12" t="n">
        <v>989</v>
      </c>
      <c r="AB22" s="12" t="n">
        <v>804</v>
      </c>
      <c r="AC22" s="12" t="n">
        <v>978</v>
      </c>
      <c r="AD22" s="12" t="n">
        <v>936</v>
      </c>
      <c r="AE22" s="12" t="n">
        <v>950</v>
      </c>
      <c r="AF22" s="12" t="n">
        <v>962</v>
      </c>
    </row>
    <row r="23">
      <c r="A23" s="20" t="n"/>
      <c r="B23" s="13" t="inlineStr">
        <is>
          <t>Total 'Agree'</t>
        </is>
      </c>
      <c r="C23" s="14" t="n">
        <v>0.9</v>
      </c>
      <c r="D23" s="14" t="n">
        <v>0.9</v>
      </c>
      <c r="E23" s="14" t="n">
        <v>0.89</v>
      </c>
      <c r="F23" s="14" t="n">
        <v>0.84</v>
      </c>
      <c r="G23" s="14" t="n">
        <v>0.9400000000000001</v>
      </c>
      <c r="H23" s="14" t="n">
        <v>0.88</v>
      </c>
      <c r="I23" s="14" t="n">
        <v>0.87</v>
      </c>
      <c r="J23" s="14" t="n">
        <v>0.87</v>
      </c>
      <c r="K23" s="14" t="n">
        <v>0.85</v>
      </c>
      <c r="L23" s="14" t="n">
        <v>0.93</v>
      </c>
      <c r="M23" s="14" t="n">
        <v>0.92</v>
      </c>
      <c r="N23" s="14" t="n">
        <v>0.9500000000000001</v>
      </c>
      <c r="O23" s="14" t="n">
        <v>0.9</v>
      </c>
      <c r="P23" s="14" t="n">
        <v>0.93</v>
      </c>
      <c r="Q23" s="14" t="n">
        <v>0.92</v>
      </c>
      <c r="R23" s="14" t="n">
        <v>0.9400000000000001</v>
      </c>
      <c r="S23" s="14" t="n">
        <v>0.88</v>
      </c>
      <c r="T23" s="14" t="n">
        <v>0.9500000000000001</v>
      </c>
      <c r="U23" s="14" t="n">
        <v>0.9400000000000001</v>
      </c>
      <c r="V23" s="14" t="n">
        <v>0.91</v>
      </c>
      <c r="W23" s="14" t="n">
        <v>0.92</v>
      </c>
      <c r="X23" s="14" t="n">
        <v>0.92</v>
      </c>
      <c r="Y23" s="14" t="n">
        <v>0.87</v>
      </c>
      <c r="Z23" s="14" t="n">
        <v>0.88</v>
      </c>
      <c r="AA23" s="14" t="n">
        <v>0.96</v>
      </c>
      <c r="AB23" s="14" t="n">
        <v>0.77</v>
      </c>
      <c r="AC23" s="14" t="n">
        <v>0.97</v>
      </c>
      <c r="AD23" s="14" t="n">
        <v>0.93</v>
      </c>
      <c r="AE23" s="14" t="n">
        <v>0.9400000000000001</v>
      </c>
      <c r="AF23" s="14" t="n">
        <v>0.93</v>
      </c>
    </row>
    <row r="24">
      <c r="A24" s="20" t="n"/>
      <c r="B24" s="11" t="inlineStr">
        <is>
          <t>Total 'Pas d'accord'</t>
        </is>
      </c>
      <c r="C24" s="12" t="n">
        <v>1868</v>
      </c>
      <c r="D24" s="12" t="n">
        <v>86</v>
      </c>
      <c r="E24" s="12" t="n">
        <v>68</v>
      </c>
      <c r="F24" s="12" t="n">
        <v>143</v>
      </c>
      <c r="G24" s="12" t="n">
        <v>40</v>
      </c>
      <c r="H24" s="12" t="n">
        <v>89</v>
      </c>
      <c r="I24" s="12" t="n">
        <v>124</v>
      </c>
      <c r="J24" s="12" t="n">
        <v>35</v>
      </c>
      <c r="K24" s="12" t="n">
        <v>110</v>
      </c>
      <c r="L24" s="12" t="n">
        <v>46</v>
      </c>
      <c r="M24" s="12" t="n">
        <v>70</v>
      </c>
      <c r="N24" s="12" t="n">
        <v>26</v>
      </c>
      <c r="O24" s="12" t="n">
        <v>60</v>
      </c>
      <c r="P24" s="12" t="n">
        <v>64</v>
      </c>
      <c r="Q24" s="12" t="n">
        <v>62</v>
      </c>
      <c r="R24" s="12" t="n">
        <v>12</v>
      </c>
      <c r="S24" s="12" t="n">
        <v>80</v>
      </c>
      <c r="T24" s="12" t="n">
        <v>22</v>
      </c>
      <c r="U24" s="12" t="n">
        <v>20</v>
      </c>
      <c r="V24" s="12" t="n">
        <v>84</v>
      </c>
      <c r="W24" s="12" t="n">
        <v>28</v>
      </c>
      <c r="X24" s="12" t="n">
        <v>61</v>
      </c>
      <c r="Y24" s="12" t="n">
        <v>113</v>
      </c>
      <c r="Z24" s="12" t="n">
        <v>107</v>
      </c>
      <c r="AA24" s="12" t="n">
        <v>8</v>
      </c>
      <c r="AB24" s="12" t="n">
        <v>186</v>
      </c>
      <c r="AC24" s="12" t="n">
        <v>26</v>
      </c>
      <c r="AD24" s="12" t="n">
        <v>58</v>
      </c>
      <c r="AE24" s="12" t="n">
        <v>53</v>
      </c>
      <c r="AF24" s="12" t="n">
        <v>46</v>
      </c>
    </row>
    <row r="25">
      <c r="A25" s="23" t="n"/>
      <c r="B25" s="13" t="inlineStr">
        <is>
          <t>Total 'Disagree'</t>
        </is>
      </c>
      <c r="C25" s="14" t="n">
        <v>0.07000000000000001</v>
      </c>
      <c r="D25" s="14" t="n">
        <v>0.09</v>
      </c>
      <c r="E25" s="14" t="n">
        <v>0.06</v>
      </c>
      <c r="F25" s="14" t="n">
        <v>0.14</v>
      </c>
      <c r="G25" s="14" t="n">
        <v>0.04</v>
      </c>
      <c r="H25" s="14" t="n">
        <v>0.07000000000000001</v>
      </c>
      <c r="I25" s="14" t="n">
        <v>0.09</v>
      </c>
      <c r="J25" s="14" t="n">
        <v>0.12</v>
      </c>
      <c r="K25" s="14" t="n">
        <v>0.11</v>
      </c>
      <c r="L25" s="14" t="n">
        <v>0.05</v>
      </c>
      <c r="M25" s="14" t="n">
        <v>0.07000000000000001</v>
      </c>
      <c r="N25" s="14" t="n">
        <v>0.02</v>
      </c>
      <c r="O25" s="14" t="n">
        <v>0.06</v>
      </c>
      <c r="P25" s="14" t="n">
        <v>0.07000000000000001</v>
      </c>
      <c r="Q25" s="14" t="n">
        <v>0.06</v>
      </c>
      <c r="R25" s="14" t="n">
        <v>0.03</v>
      </c>
      <c r="S25" s="14" t="n">
        <v>0.08</v>
      </c>
      <c r="T25" s="14" t="n">
        <v>0.02</v>
      </c>
      <c r="U25" s="14" t="n">
        <v>0.04</v>
      </c>
      <c r="V25" s="14" t="n">
        <v>0.08</v>
      </c>
      <c r="W25" s="14" t="n">
        <v>0.06</v>
      </c>
      <c r="X25" s="14" t="n">
        <v>0.07000000000000001</v>
      </c>
      <c r="Y25" s="14" t="n">
        <v>0.11</v>
      </c>
      <c r="Z25" s="14" t="n">
        <v>0.1</v>
      </c>
      <c r="AA25" s="14" t="n">
        <v>0.01</v>
      </c>
      <c r="AB25" s="14" t="n">
        <v>0.18</v>
      </c>
      <c r="AC25" s="14" t="n">
        <v>0.02</v>
      </c>
      <c r="AD25" s="14" t="n">
        <v>0.06</v>
      </c>
      <c r="AE25" s="14" t="n">
        <v>0.05</v>
      </c>
      <c r="AF25" s="14" t="n">
        <v>0.04</v>
      </c>
    </row>
  </sheetData>
  <mergeCells count="10">
    <mergeCell ref="B4:F4"/>
    <mergeCell ref="H3:L3"/>
    <mergeCell ref="A10:A21"/>
    <mergeCell ref="C8:AF8"/>
    <mergeCell ref="B3:F3"/>
    <mergeCell ref="B5:F5"/>
    <mergeCell ref="H5:L5"/>
    <mergeCell ref="B10:B11"/>
    <mergeCell ref="H4:L4"/>
    <mergeCell ref="A22:A25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F45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24" customHeight="1" s="18">
      <c r="B3" s="21" t="inlineStr">
        <is>
          <t>QA11a. En pensant à l’avenir, à quels aspects parmi les suivants l’UE devrait-elle accorder la priorité pour renforcer sa position dans le monde ? En premier ?</t>
        </is>
      </c>
      <c r="H3" s="21" t="inlineStr">
        <is>
          <t>QA11a. Thinking about the future, which of the following aspects should the EU focus on in order to strengthen its position in the world? Firstly?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HYPERLINK("#Content!A29","&lt;&lt;Back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L’indépendance énergétique, les ressources et les infrastructures</t>
        </is>
      </c>
      <c r="C12" s="12" t="n">
        <v>3629</v>
      </c>
      <c r="D12" s="12" t="n">
        <v>160</v>
      </c>
      <c r="E12" s="12" t="n">
        <v>134</v>
      </c>
      <c r="F12" s="12" t="n">
        <v>156</v>
      </c>
      <c r="G12" s="12" t="n">
        <v>152</v>
      </c>
      <c r="H12" s="12" t="n">
        <v>221</v>
      </c>
      <c r="I12" s="12" t="n">
        <v>256</v>
      </c>
      <c r="J12" s="12" t="n">
        <v>35</v>
      </c>
      <c r="K12" s="12" t="n">
        <v>138</v>
      </c>
      <c r="L12" s="12" t="n">
        <v>130</v>
      </c>
      <c r="M12" s="12" t="n">
        <v>105</v>
      </c>
      <c r="N12" s="12" t="n">
        <v>96</v>
      </c>
      <c r="O12" s="12" t="n">
        <v>110</v>
      </c>
      <c r="P12" s="12" t="n">
        <v>116</v>
      </c>
      <c r="Q12" s="12" t="n">
        <v>184</v>
      </c>
      <c r="R12" s="12" t="n">
        <v>51</v>
      </c>
      <c r="S12" s="12" t="n">
        <v>118</v>
      </c>
      <c r="T12" s="12" t="n">
        <v>119</v>
      </c>
      <c r="U12" s="12" t="n">
        <v>80</v>
      </c>
      <c r="V12" s="12" t="n">
        <v>150</v>
      </c>
      <c r="W12" s="12" t="n">
        <v>54</v>
      </c>
      <c r="X12" s="12" t="n">
        <v>168</v>
      </c>
      <c r="Y12" s="12" t="n">
        <v>110</v>
      </c>
      <c r="Z12" s="12" t="n">
        <v>120</v>
      </c>
      <c r="AA12" s="12" t="n">
        <v>129</v>
      </c>
      <c r="AB12" s="12" t="n">
        <v>113</v>
      </c>
      <c r="AC12" s="12" t="n">
        <v>159</v>
      </c>
      <c r="AD12" s="12" t="n">
        <v>161</v>
      </c>
      <c r="AE12" s="12" t="n">
        <v>153</v>
      </c>
      <c r="AF12" s="12" t="n">
        <v>123</v>
      </c>
    </row>
    <row r="13">
      <c r="A13" s="20" t="n"/>
      <c r="B13" s="13" t="inlineStr">
        <is>
          <t>Energy independence, resources and infrastructures</t>
        </is>
      </c>
      <c r="C13" s="14" t="n">
        <v>0.14</v>
      </c>
      <c r="D13" s="14" t="n">
        <v>0.16</v>
      </c>
      <c r="E13" s="14" t="n">
        <v>0.13</v>
      </c>
      <c r="F13" s="14" t="n">
        <v>0.15</v>
      </c>
      <c r="G13" s="14" t="n">
        <v>0.15</v>
      </c>
      <c r="H13" s="14" t="n">
        <v>0.18</v>
      </c>
      <c r="I13" s="14" t="n">
        <v>0.17</v>
      </c>
      <c r="J13" s="14" t="n">
        <v>0.12</v>
      </c>
      <c r="K13" s="14" t="n">
        <v>0.14</v>
      </c>
      <c r="L13" s="14" t="n">
        <v>0.13</v>
      </c>
      <c r="M13" s="14" t="n">
        <v>0.1</v>
      </c>
      <c r="N13" s="14" t="n">
        <v>0.1</v>
      </c>
      <c r="O13" s="14" t="n">
        <v>0.11</v>
      </c>
      <c r="P13" s="14" t="n">
        <v>0.12</v>
      </c>
      <c r="Q13" s="14" t="n">
        <v>0.18</v>
      </c>
      <c r="R13" s="14" t="n">
        <v>0.1</v>
      </c>
      <c r="S13" s="14" t="n">
        <v>0.12</v>
      </c>
      <c r="T13" s="14" t="n">
        <v>0.12</v>
      </c>
      <c r="U13" s="14" t="n">
        <v>0.16</v>
      </c>
      <c r="V13" s="14" t="n">
        <v>0.15</v>
      </c>
      <c r="W13" s="14" t="n">
        <v>0.11</v>
      </c>
      <c r="X13" s="14" t="n">
        <v>0.16</v>
      </c>
      <c r="Y13" s="14" t="n">
        <v>0.11</v>
      </c>
      <c r="Z13" s="14" t="n">
        <v>0.12</v>
      </c>
      <c r="AA13" s="14" t="n">
        <v>0.13</v>
      </c>
      <c r="AB13" s="14" t="n">
        <v>0.11</v>
      </c>
      <c r="AC13" s="14" t="n">
        <v>0.16</v>
      </c>
      <c r="AD13" s="14" t="n">
        <v>0.16</v>
      </c>
      <c r="AE13" s="14" t="n">
        <v>0.15</v>
      </c>
      <c r="AF13" s="14" t="n">
        <v>0.12</v>
      </c>
    </row>
    <row r="14">
      <c r="A14" s="20" t="n"/>
      <c r="B14" s="11" t="inlineStr">
        <is>
          <t>La défense et la sécurité</t>
        </is>
      </c>
      <c r="C14" s="12" t="n">
        <v>5046</v>
      </c>
      <c r="D14" s="12" t="n">
        <v>178</v>
      </c>
      <c r="E14" s="12" t="n">
        <v>128</v>
      </c>
      <c r="F14" s="12" t="n">
        <v>213</v>
      </c>
      <c r="G14" s="12" t="n">
        <v>271</v>
      </c>
      <c r="H14" s="12" t="n">
        <v>216</v>
      </c>
      <c r="I14" s="12" t="n">
        <v>269</v>
      </c>
      <c r="J14" s="12" t="n">
        <v>53</v>
      </c>
      <c r="K14" s="12" t="n">
        <v>180</v>
      </c>
      <c r="L14" s="12" t="n">
        <v>169</v>
      </c>
      <c r="M14" s="12" t="n">
        <v>168</v>
      </c>
      <c r="N14" s="12" t="n">
        <v>135</v>
      </c>
      <c r="O14" s="12" t="n">
        <v>220</v>
      </c>
      <c r="P14" s="12" t="n">
        <v>147</v>
      </c>
      <c r="Q14" s="12" t="n">
        <v>182</v>
      </c>
      <c r="R14" s="12" t="n">
        <v>125</v>
      </c>
      <c r="S14" s="12" t="n">
        <v>272</v>
      </c>
      <c r="T14" s="12" t="n">
        <v>337</v>
      </c>
      <c r="U14" s="12" t="n">
        <v>104</v>
      </c>
      <c r="V14" s="12" t="n">
        <v>178</v>
      </c>
      <c r="W14" s="12" t="n">
        <v>93</v>
      </c>
      <c r="X14" s="12" t="n">
        <v>296</v>
      </c>
      <c r="Y14" s="12" t="n">
        <v>131</v>
      </c>
      <c r="Z14" s="12" t="n">
        <v>294</v>
      </c>
      <c r="AA14" s="12" t="n">
        <v>164</v>
      </c>
      <c r="AB14" s="12" t="n">
        <v>172</v>
      </c>
      <c r="AC14" s="12" t="n">
        <v>127</v>
      </c>
      <c r="AD14" s="12" t="n">
        <v>110</v>
      </c>
      <c r="AE14" s="12" t="n">
        <v>192</v>
      </c>
      <c r="AF14" s="12" t="n">
        <v>178</v>
      </c>
    </row>
    <row r="15">
      <c r="A15" s="20" t="n"/>
      <c r="B15" s="13" t="inlineStr">
        <is>
          <t>Defence and security</t>
        </is>
      </c>
      <c r="C15" s="14" t="n">
        <v>0.19</v>
      </c>
      <c r="D15" s="14" t="n">
        <v>0.17</v>
      </c>
      <c r="E15" s="14" t="n">
        <v>0.13</v>
      </c>
      <c r="F15" s="14" t="n">
        <v>0.2</v>
      </c>
      <c r="G15" s="14" t="n">
        <v>0.27</v>
      </c>
      <c r="H15" s="14" t="n">
        <v>0.18</v>
      </c>
      <c r="I15" s="14" t="n">
        <v>0.18</v>
      </c>
      <c r="J15" s="14" t="n">
        <v>0.18</v>
      </c>
      <c r="K15" s="14" t="n">
        <v>0.18</v>
      </c>
      <c r="L15" s="14" t="n">
        <v>0.17</v>
      </c>
      <c r="M15" s="14" t="n">
        <v>0.17</v>
      </c>
      <c r="N15" s="14" t="n">
        <v>0.13</v>
      </c>
      <c r="O15" s="14" t="n">
        <v>0.22</v>
      </c>
      <c r="P15" s="14" t="n">
        <v>0.15</v>
      </c>
      <c r="Q15" s="14" t="n">
        <v>0.18</v>
      </c>
      <c r="R15" s="14" t="n">
        <v>0.25</v>
      </c>
      <c r="S15" s="14" t="n">
        <v>0.27</v>
      </c>
      <c r="T15" s="14" t="n">
        <v>0.33</v>
      </c>
      <c r="U15" s="14" t="n">
        <v>0.21</v>
      </c>
      <c r="V15" s="14" t="n">
        <v>0.17</v>
      </c>
      <c r="W15" s="14" t="n">
        <v>0.18</v>
      </c>
      <c r="X15" s="14" t="n">
        <v>0.29</v>
      </c>
      <c r="Y15" s="14" t="n">
        <v>0.13</v>
      </c>
      <c r="Z15" s="14" t="n">
        <v>0.29</v>
      </c>
      <c r="AA15" s="14" t="n">
        <v>0.16</v>
      </c>
      <c r="AB15" s="14" t="n">
        <v>0.16</v>
      </c>
      <c r="AC15" s="14" t="n">
        <v>0.13</v>
      </c>
      <c r="AD15" s="14" t="n">
        <v>0.11</v>
      </c>
      <c r="AE15" s="14" t="n">
        <v>0.19</v>
      </c>
      <c r="AF15" s="14" t="n">
        <v>0.17</v>
      </c>
    </row>
    <row r="16">
      <c r="A16" s="20" t="n"/>
      <c r="B16" s="11" t="inlineStr">
        <is>
          <t>Les relations internationales et la diplomatie</t>
        </is>
      </c>
      <c r="C16" s="12" t="n">
        <v>1625</v>
      </c>
      <c r="D16" s="12" t="n">
        <v>57</v>
      </c>
      <c r="E16" s="12" t="n">
        <v>73</v>
      </c>
      <c r="F16" s="12" t="n">
        <v>91</v>
      </c>
      <c r="G16" s="12" t="n">
        <v>68</v>
      </c>
      <c r="H16" s="12" t="n">
        <v>62</v>
      </c>
      <c r="I16" s="12" t="n">
        <v>75</v>
      </c>
      <c r="J16" s="12" t="n">
        <v>13</v>
      </c>
      <c r="K16" s="12" t="n">
        <v>113</v>
      </c>
      <c r="L16" s="12" t="n">
        <v>48</v>
      </c>
      <c r="M16" s="12" t="n">
        <v>88</v>
      </c>
      <c r="N16" s="12" t="n">
        <v>53</v>
      </c>
      <c r="O16" s="12" t="n">
        <v>56</v>
      </c>
      <c r="P16" s="12" t="n">
        <v>53</v>
      </c>
      <c r="Q16" s="12" t="n">
        <v>87</v>
      </c>
      <c r="R16" s="12" t="n">
        <v>20</v>
      </c>
      <c r="S16" s="12" t="n">
        <v>70</v>
      </c>
      <c r="T16" s="12" t="n">
        <v>116</v>
      </c>
      <c r="U16" s="12" t="n">
        <v>49</v>
      </c>
      <c r="V16" s="12" t="n">
        <v>66</v>
      </c>
      <c r="W16" s="12" t="n">
        <v>31</v>
      </c>
      <c r="X16" s="12" t="n">
        <v>49</v>
      </c>
      <c r="Y16" s="12" t="n">
        <v>82</v>
      </c>
      <c r="Z16" s="12" t="n">
        <v>55</v>
      </c>
      <c r="AA16" s="12" t="n">
        <v>22</v>
      </c>
      <c r="AB16" s="12" t="n">
        <v>74</v>
      </c>
      <c r="AC16" s="12" t="n">
        <v>87</v>
      </c>
      <c r="AD16" s="12" t="n">
        <v>81</v>
      </c>
      <c r="AE16" s="12" t="n">
        <v>79</v>
      </c>
      <c r="AF16" s="12" t="n">
        <v>72</v>
      </c>
    </row>
    <row r="17">
      <c r="A17" s="20" t="n"/>
      <c r="B17" s="13" t="inlineStr">
        <is>
          <t>Foreign relations and diplomacy</t>
        </is>
      </c>
      <c r="C17" s="14" t="n">
        <v>0.06</v>
      </c>
      <c r="D17" s="14" t="n">
        <v>0.06</v>
      </c>
      <c r="E17" s="14" t="n">
        <v>0.07000000000000001</v>
      </c>
      <c r="F17" s="14" t="n">
        <v>0.09</v>
      </c>
      <c r="G17" s="14" t="n">
        <v>0.07000000000000001</v>
      </c>
      <c r="H17" s="14" t="n">
        <v>0.05</v>
      </c>
      <c r="I17" s="14" t="n">
        <v>0.05</v>
      </c>
      <c r="J17" s="14" t="n">
        <v>0.04</v>
      </c>
      <c r="K17" s="14" t="n">
        <v>0.11</v>
      </c>
      <c r="L17" s="14" t="n">
        <v>0.05</v>
      </c>
      <c r="M17" s="14" t="n">
        <v>0.09</v>
      </c>
      <c r="N17" s="14" t="n">
        <v>0.05</v>
      </c>
      <c r="O17" s="14" t="n">
        <v>0.05</v>
      </c>
      <c r="P17" s="14" t="n">
        <v>0.05</v>
      </c>
      <c r="Q17" s="14" t="n">
        <v>0.08</v>
      </c>
      <c r="R17" s="14" t="n">
        <v>0.04</v>
      </c>
      <c r="S17" s="14" t="n">
        <v>0.07000000000000001</v>
      </c>
      <c r="T17" s="14" t="n">
        <v>0.11</v>
      </c>
      <c r="U17" s="14" t="n">
        <v>0.1</v>
      </c>
      <c r="V17" s="14" t="n">
        <v>0.06</v>
      </c>
      <c r="W17" s="14" t="n">
        <v>0.06</v>
      </c>
      <c r="X17" s="14" t="n">
        <v>0.05</v>
      </c>
      <c r="Y17" s="14" t="n">
        <v>0.08</v>
      </c>
      <c r="Z17" s="14" t="n">
        <v>0.05</v>
      </c>
      <c r="AA17" s="14" t="n">
        <v>0.02</v>
      </c>
      <c r="AB17" s="14" t="n">
        <v>0.07000000000000001</v>
      </c>
      <c r="AC17" s="14" t="n">
        <v>0.09</v>
      </c>
      <c r="AD17" s="14" t="n">
        <v>0.08</v>
      </c>
      <c r="AE17" s="14" t="n">
        <v>0.08</v>
      </c>
      <c r="AF17" s="14" t="n">
        <v>0.07000000000000001</v>
      </c>
    </row>
    <row r="18">
      <c r="A18" s="20" t="n"/>
      <c r="B18" s="11" t="inlineStr">
        <is>
          <t>L’élargissement de l’UE et les relations avec les pays voisins</t>
        </is>
      </c>
      <c r="C18" s="12" t="n">
        <v>592</v>
      </c>
      <c r="D18" s="12" t="n">
        <v>22</v>
      </c>
      <c r="E18" s="12" t="n">
        <v>18</v>
      </c>
      <c r="F18" s="12" t="n">
        <v>22</v>
      </c>
      <c r="G18" s="12" t="n">
        <v>14</v>
      </c>
      <c r="H18" s="12" t="n">
        <v>31</v>
      </c>
      <c r="I18" s="12" t="n">
        <v>40</v>
      </c>
      <c r="J18" s="12" t="n">
        <v>9</v>
      </c>
      <c r="K18" s="12" t="n">
        <v>32</v>
      </c>
      <c r="L18" s="12" t="n">
        <v>23</v>
      </c>
      <c r="M18" s="12" t="n">
        <v>16</v>
      </c>
      <c r="N18" s="12" t="n">
        <v>25</v>
      </c>
      <c r="O18" s="12" t="n">
        <v>11</v>
      </c>
      <c r="P18" s="12" t="n">
        <v>29</v>
      </c>
      <c r="Q18" s="12" t="n">
        <v>32</v>
      </c>
      <c r="R18" s="12" t="n">
        <v>6</v>
      </c>
      <c r="S18" s="12" t="n">
        <v>35</v>
      </c>
      <c r="T18" s="12" t="n">
        <v>60</v>
      </c>
      <c r="U18" s="12" t="n">
        <v>11</v>
      </c>
      <c r="V18" s="12" t="n">
        <v>31</v>
      </c>
      <c r="W18" s="12" t="n">
        <v>10</v>
      </c>
      <c r="X18" s="12" t="n">
        <v>8</v>
      </c>
      <c r="Y18" s="12" t="n">
        <v>24</v>
      </c>
      <c r="Z18" s="12" t="n">
        <v>20</v>
      </c>
      <c r="AA18" s="12" t="n">
        <v>15</v>
      </c>
      <c r="AB18" s="12" t="n">
        <v>39</v>
      </c>
      <c r="AC18" s="12" t="n">
        <v>21</v>
      </c>
      <c r="AD18" s="12" t="n">
        <v>23</v>
      </c>
      <c r="AE18" s="12" t="n">
        <v>11</v>
      </c>
      <c r="AF18" s="12" t="n">
        <v>14</v>
      </c>
    </row>
    <row r="19">
      <c r="A19" s="20" t="n"/>
      <c r="B19" s="13" t="inlineStr">
        <is>
          <t>EU enlargement and neighbourhood relations</t>
        </is>
      </c>
      <c r="C19" s="14" t="n">
        <v>0.02</v>
      </c>
      <c r="D19" s="14" t="n">
        <v>0.02</v>
      </c>
      <c r="E19" s="14" t="n">
        <v>0.02</v>
      </c>
      <c r="F19" s="14" t="n">
        <v>0.02</v>
      </c>
      <c r="G19" s="14" t="n">
        <v>0.01</v>
      </c>
      <c r="H19" s="14" t="n">
        <v>0.03</v>
      </c>
      <c r="I19" s="14" t="n">
        <v>0.03</v>
      </c>
      <c r="J19" s="14" t="n">
        <v>0.03</v>
      </c>
      <c r="K19" s="14" t="n">
        <v>0.03</v>
      </c>
      <c r="L19" s="14" t="n">
        <v>0.02</v>
      </c>
      <c r="M19" s="14" t="n">
        <v>0.02</v>
      </c>
      <c r="N19" s="14" t="n">
        <v>0.03</v>
      </c>
      <c r="O19" s="14" t="n">
        <v>0.01</v>
      </c>
      <c r="P19" s="14" t="n">
        <v>0.03</v>
      </c>
      <c r="Q19" s="14" t="n">
        <v>0.03</v>
      </c>
      <c r="R19" s="14" t="n">
        <v>0.01</v>
      </c>
      <c r="S19" s="14" t="n">
        <v>0.03</v>
      </c>
      <c r="T19" s="14" t="n">
        <v>0.06</v>
      </c>
      <c r="U19" s="14" t="n">
        <v>0.02</v>
      </c>
      <c r="V19" s="14" t="n">
        <v>0.03</v>
      </c>
      <c r="W19" s="14" t="n">
        <v>0.02</v>
      </c>
      <c r="X19" s="14" t="n">
        <v>0.01</v>
      </c>
      <c r="Y19" s="14" t="n">
        <v>0.03</v>
      </c>
      <c r="Z19" s="14" t="n">
        <v>0.02</v>
      </c>
      <c r="AA19" s="14" t="n">
        <v>0.01</v>
      </c>
      <c r="AB19" s="14" t="n">
        <v>0.04</v>
      </c>
      <c r="AC19" s="14" t="n">
        <v>0.02</v>
      </c>
      <c r="AD19" s="14" t="n">
        <v>0.02</v>
      </c>
      <c r="AE19" s="14" t="n">
        <v>0.01</v>
      </c>
      <c r="AF19" s="14" t="n">
        <v>0.01</v>
      </c>
    </row>
    <row r="20">
      <c r="A20" s="20" t="n"/>
      <c r="B20" s="11" t="inlineStr">
        <is>
          <t>La technologie et l’innovation, y compris l’intelligence artificielle (IA)</t>
        </is>
      </c>
      <c r="C20" s="12" t="n">
        <v>867</v>
      </c>
      <c r="D20" s="12" t="n">
        <v>32</v>
      </c>
      <c r="E20" s="12" t="n">
        <v>36</v>
      </c>
      <c r="F20" s="12" t="n">
        <v>41</v>
      </c>
      <c r="G20" s="12" t="n">
        <v>34</v>
      </c>
      <c r="H20" s="12" t="n">
        <v>30</v>
      </c>
      <c r="I20" s="12" t="n">
        <v>41</v>
      </c>
      <c r="J20" s="12" t="n">
        <v>11</v>
      </c>
      <c r="K20" s="12" t="n">
        <v>45</v>
      </c>
      <c r="L20" s="12" t="n">
        <v>51</v>
      </c>
      <c r="M20" s="12" t="n">
        <v>27</v>
      </c>
      <c r="N20" s="12" t="n">
        <v>22</v>
      </c>
      <c r="O20" s="12" t="n">
        <v>30</v>
      </c>
      <c r="P20" s="12" t="n">
        <v>31</v>
      </c>
      <c r="Q20" s="12" t="n">
        <v>42</v>
      </c>
      <c r="R20" s="12" t="n">
        <v>15</v>
      </c>
      <c r="S20" s="12" t="n">
        <v>26</v>
      </c>
      <c r="T20" s="12" t="n">
        <v>34</v>
      </c>
      <c r="U20" s="12" t="n">
        <v>32</v>
      </c>
      <c r="V20" s="12" t="n">
        <v>27</v>
      </c>
      <c r="W20" s="12" t="n">
        <v>41</v>
      </c>
      <c r="X20" s="12" t="n">
        <v>63</v>
      </c>
      <c r="Y20" s="12" t="n">
        <v>39</v>
      </c>
      <c r="Z20" s="12" t="n">
        <v>36</v>
      </c>
      <c r="AA20" s="12" t="n">
        <v>31</v>
      </c>
      <c r="AB20" s="12" t="n">
        <v>31</v>
      </c>
      <c r="AC20" s="12" t="n">
        <v>38</v>
      </c>
      <c r="AD20" s="12" t="n">
        <v>24</v>
      </c>
      <c r="AE20" s="12" t="n">
        <v>44</v>
      </c>
      <c r="AF20" s="12" t="n">
        <v>38</v>
      </c>
    </row>
    <row r="21">
      <c r="A21" s="20" t="n"/>
      <c r="B21" s="13" t="inlineStr">
        <is>
          <t>Technology and innovation, including Artificial Intelligence (AI)</t>
        </is>
      </c>
      <c r="C21" s="14" t="n">
        <v>0.03</v>
      </c>
      <c r="D21" s="14" t="n">
        <v>0.03</v>
      </c>
      <c r="E21" s="14" t="n">
        <v>0.04</v>
      </c>
      <c r="F21" s="14" t="n">
        <v>0.04</v>
      </c>
      <c r="G21" s="14" t="n">
        <v>0.03</v>
      </c>
      <c r="H21" s="14" t="n">
        <v>0.02</v>
      </c>
      <c r="I21" s="14" t="n">
        <v>0.03</v>
      </c>
      <c r="J21" s="14" t="n">
        <v>0.04</v>
      </c>
      <c r="K21" s="14" t="n">
        <v>0.05</v>
      </c>
      <c r="L21" s="14" t="n">
        <v>0.05</v>
      </c>
      <c r="M21" s="14" t="n">
        <v>0.03</v>
      </c>
      <c r="N21" s="14" t="n">
        <v>0.02</v>
      </c>
      <c r="O21" s="14" t="n">
        <v>0.03</v>
      </c>
      <c r="P21" s="14" t="n">
        <v>0.03</v>
      </c>
      <c r="Q21" s="14" t="n">
        <v>0.04</v>
      </c>
      <c r="R21" s="14" t="n">
        <v>0.03</v>
      </c>
      <c r="S21" s="14" t="n">
        <v>0.03</v>
      </c>
      <c r="T21" s="14" t="n">
        <v>0.03</v>
      </c>
      <c r="U21" s="14" t="n">
        <v>0.06</v>
      </c>
      <c r="V21" s="14" t="n">
        <v>0.03</v>
      </c>
      <c r="W21" s="14" t="n">
        <v>0.08</v>
      </c>
      <c r="X21" s="14" t="n">
        <v>0.06</v>
      </c>
      <c r="Y21" s="14" t="n">
        <v>0.04</v>
      </c>
      <c r="Z21" s="14" t="n">
        <v>0.03</v>
      </c>
      <c r="AA21" s="14" t="n">
        <v>0.03</v>
      </c>
      <c r="AB21" s="14" t="n">
        <v>0.03</v>
      </c>
      <c r="AC21" s="14" t="n">
        <v>0.04</v>
      </c>
      <c r="AD21" s="14" t="n">
        <v>0.03</v>
      </c>
      <c r="AE21" s="14" t="n">
        <v>0.04</v>
      </c>
      <c r="AF21" s="14" t="n">
        <v>0.04</v>
      </c>
    </row>
    <row r="22">
      <c r="A22" s="20" t="n"/>
      <c r="B22" s="11" t="inlineStr">
        <is>
          <t>Les valeurs de l'UE, notamment la démocratie et la protection des droits de l'homme</t>
        </is>
      </c>
      <c r="C22" s="12" t="n">
        <v>2102</v>
      </c>
      <c r="D22" s="12" t="n">
        <v>104</v>
      </c>
      <c r="E22" s="12" t="n">
        <v>65</v>
      </c>
      <c r="F22" s="12" t="n">
        <v>60</v>
      </c>
      <c r="G22" s="12" t="n">
        <v>118</v>
      </c>
      <c r="H22" s="12" t="n">
        <v>109</v>
      </c>
      <c r="I22" s="12" t="n">
        <v>133</v>
      </c>
      <c r="J22" s="12" t="n">
        <v>24</v>
      </c>
      <c r="K22" s="12" t="n">
        <v>44</v>
      </c>
      <c r="L22" s="12" t="n">
        <v>83</v>
      </c>
      <c r="M22" s="12" t="n">
        <v>58</v>
      </c>
      <c r="N22" s="12" t="n">
        <v>130</v>
      </c>
      <c r="O22" s="12" t="n">
        <v>57</v>
      </c>
      <c r="P22" s="12" t="n">
        <v>61</v>
      </c>
      <c r="Q22" s="12" t="n">
        <v>49</v>
      </c>
      <c r="R22" s="12" t="n">
        <v>35</v>
      </c>
      <c r="S22" s="12" t="n">
        <v>41</v>
      </c>
      <c r="T22" s="12" t="n">
        <v>36</v>
      </c>
      <c r="U22" s="12" t="n">
        <v>40</v>
      </c>
      <c r="V22" s="12" t="n">
        <v>81</v>
      </c>
      <c r="W22" s="12" t="n">
        <v>42</v>
      </c>
      <c r="X22" s="12" t="n">
        <v>119</v>
      </c>
      <c r="Y22" s="12" t="n">
        <v>110</v>
      </c>
      <c r="Z22" s="12" t="n">
        <v>48</v>
      </c>
      <c r="AA22" s="12" t="n">
        <v>94</v>
      </c>
      <c r="AB22" s="12" t="n">
        <v>63</v>
      </c>
      <c r="AC22" s="12" t="n">
        <v>96</v>
      </c>
      <c r="AD22" s="12" t="n">
        <v>74</v>
      </c>
      <c r="AE22" s="12" t="n">
        <v>102</v>
      </c>
      <c r="AF22" s="12" t="n">
        <v>189</v>
      </c>
    </row>
    <row r="23">
      <c r="A23" s="20" t="n"/>
      <c r="B23" s="13" t="inlineStr">
        <is>
          <t>EU values, including democracy and the protection of human rights</t>
        </is>
      </c>
      <c r="C23" s="14" t="n">
        <v>0.08</v>
      </c>
      <c r="D23" s="14" t="n">
        <v>0.1</v>
      </c>
      <c r="E23" s="14" t="n">
        <v>0.06</v>
      </c>
      <c r="F23" s="14" t="n">
        <v>0.06</v>
      </c>
      <c r="G23" s="14" t="n">
        <v>0.12</v>
      </c>
      <c r="H23" s="14" t="n">
        <v>0.09</v>
      </c>
      <c r="I23" s="14" t="n">
        <v>0.09</v>
      </c>
      <c r="J23" s="14" t="n">
        <v>0.08</v>
      </c>
      <c r="K23" s="14" t="n">
        <v>0.04</v>
      </c>
      <c r="L23" s="14" t="n">
        <v>0.08</v>
      </c>
      <c r="M23" s="14" t="n">
        <v>0.06</v>
      </c>
      <c r="N23" s="14" t="n">
        <v>0.13</v>
      </c>
      <c r="O23" s="14" t="n">
        <v>0.06</v>
      </c>
      <c r="P23" s="14" t="n">
        <v>0.06</v>
      </c>
      <c r="Q23" s="14" t="n">
        <v>0.05</v>
      </c>
      <c r="R23" s="14" t="n">
        <v>0.07000000000000001</v>
      </c>
      <c r="S23" s="14" t="n">
        <v>0.04</v>
      </c>
      <c r="T23" s="14" t="n">
        <v>0.04</v>
      </c>
      <c r="U23" s="14" t="n">
        <v>0.08</v>
      </c>
      <c r="V23" s="14" t="n">
        <v>0.08</v>
      </c>
      <c r="W23" s="14" t="n">
        <v>0.08</v>
      </c>
      <c r="X23" s="14" t="n">
        <v>0.12</v>
      </c>
      <c r="Y23" s="14" t="n">
        <v>0.11</v>
      </c>
      <c r="Z23" s="14" t="n">
        <v>0.05</v>
      </c>
      <c r="AA23" s="14" t="n">
        <v>0.09</v>
      </c>
      <c r="AB23" s="14" t="n">
        <v>0.06</v>
      </c>
      <c r="AC23" s="14" t="n">
        <v>0.09</v>
      </c>
      <c r="AD23" s="14" t="n">
        <v>0.08</v>
      </c>
      <c r="AE23" s="14" t="n">
        <v>0.1</v>
      </c>
      <c r="AF23" s="14" t="n">
        <v>0.18</v>
      </c>
    </row>
    <row r="24">
      <c r="A24" s="20" t="n"/>
      <c r="B24" s="11" t="inlineStr">
        <is>
          <t>La compétitivité, l'économie et l'industrie</t>
        </is>
      </c>
      <c r="C24" s="12" t="n">
        <v>3314</v>
      </c>
      <c r="D24" s="12" t="n">
        <v>92</v>
      </c>
      <c r="E24" s="12" t="n">
        <v>154</v>
      </c>
      <c r="F24" s="12" t="n">
        <v>144</v>
      </c>
      <c r="G24" s="12" t="n">
        <v>94</v>
      </c>
      <c r="H24" s="12" t="n">
        <v>205</v>
      </c>
      <c r="I24" s="12" t="n">
        <v>252</v>
      </c>
      <c r="J24" s="12" t="n">
        <v>47</v>
      </c>
      <c r="K24" s="12" t="n">
        <v>122</v>
      </c>
      <c r="L24" s="12" t="n">
        <v>86</v>
      </c>
      <c r="M24" s="12" t="n">
        <v>176</v>
      </c>
      <c r="N24" s="12" t="n">
        <v>115</v>
      </c>
      <c r="O24" s="12" t="n">
        <v>119</v>
      </c>
      <c r="P24" s="12" t="n">
        <v>120</v>
      </c>
      <c r="Q24" s="12" t="n">
        <v>123</v>
      </c>
      <c r="R24" s="12" t="n">
        <v>40</v>
      </c>
      <c r="S24" s="12" t="n">
        <v>134</v>
      </c>
      <c r="T24" s="12" t="n">
        <v>94</v>
      </c>
      <c r="U24" s="12" t="n">
        <v>58</v>
      </c>
      <c r="V24" s="12" t="n">
        <v>131</v>
      </c>
      <c r="W24" s="12" t="n">
        <v>46</v>
      </c>
      <c r="X24" s="12" t="n">
        <v>55</v>
      </c>
      <c r="Y24" s="12" t="n">
        <v>124</v>
      </c>
      <c r="Z24" s="12" t="n">
        <v>95</v>
      </c>
      <c r="AA24" s="12" t="n">
        <v>188</v>
      </c>
      <c r="AB24" s="12" t="n">
        <v>106</v>
      </c>
      <c r="AC24" s="12" t="n">
        <v>139</v>
      </c>
      <c r="AD24" s="12" t="n">
        <v>174</v>
      </c>
      <c r="AE24" s="12" t="n">
        <v>177</v>
      </c>
      <c r="AF24" s="12" t="n">
        <v>111</v>
      </c>
    </row>
    <row r="25">
      <c r="A25" s="20" t="n"/>
      <c r="B25" s="13" t="inlineStr">
        <is>
          <t>Competitiveness, economy and industry</t>
        </is>
      </c>
      <c r="C25" s="14" t="n">
        <v>0.13</v>
      </c>
      <c r="D25" s="14" t="n">
        <v>0.09</v>
      </c>
      <c r="E25" s="14" t="n">
        <v>0.15</v>
      </c>
      <c r="F25" s="14" t="n">
        <v>0.14</v>
      </c>
      <c r="G25" s="14" t="n">
        <v>0.09</v>
      </c>
      <c r="H25" s="14" t="n">
        <v>0.17</v>
      </c>
      <c r="I25" s="14" t="n">
        <v>0.17</v>
      </c>
      <c r="J25" s="14" t="n">
        <v>0.16</v>
      </c>
      <c r="K25" s="14" t="n">
        <v>0.12</v>
      </c>
      <c r="L25" s="14" t="n">
        <v>0.08</v>
      </c>
      <c r="M25" s="14" t="n">
        <v>0.17</v>
      </c>
      <c r="N25" s="14" t="n">
        <v>0.11</v>
      </c>
      <c r="O25" s="14" t="n">
        <v>0.12</v>
      </c>
      <c r="P25" s="14" t="n">
        <v>0.12</v>
      </c>
      <c r="Q25" s="14" t="n">
        <v>0.12</v>
      </c>
      <c r="R25" s="14" t="n">
        <v>0.08</v>
      </c>
      <c r="S25" s="14" t="n">
        <v>0.13</v>
      </c>
      <c r="T25" s="14" t="n">
        <v>0.09</v>
      </c>
      <c r="U25" s="14" t="n">
        <v>0.11</v>
      </c>
      <c r="V25" s="14" t="n">
        <v>0.13</v>
      </c>
      <c r="W25" s="14" t="n">
        <v>0.09</v>
      </c>
      <c r="X25" s="14" t="n">
        <v>0.05</v>
      </c>
      <c r="Y25" s="14" t="n">
        <v>0.12</v>
      </c>
      <c r="Z25" s="14" t="n">
        <v>0.09</v>
      </c>
      <c r="AA25" s="14" t="n">
        <v>0.18</v>
      </c>
      <c r="AB25" s="14" t="n">
        <v>0.1</v>
      </c>
      <c r="AC25" s="14" t="n">
        <v>0.14</v>
      </c>
      <c r="AD25" s="14" t="n">
        <v>0.18</v>
      </c>
      <c r="AE25" s="14" t="n">
        <v>0.17</v>
      </c>
      <c r="AF25" s="14" t="n">
        <v>0.11</v>
      </c>
    </row>
    <row r="26">
      <c r="A26" s="20" t="n"/>
      <c r="B26" s="11" t="inlineStr">
        <is>
          <t>Le commerce international</t>
        </is>
      </c>
      <c r="C26" s="12" t="n">
        <v>1013</v>
      </c>
      <c r="D26" s="12" t="n">
        <v>49</v>
      </c>
      <c r="E26" s="12" t="n">
        <v>29</v>
      </c>
      <c r="F26" s="12" t="n">
        <v>56</v>
      </c>
      <c r="G26" s="12" t="n">
        <v>45</v>
      </c>
      <c r="H26" s="12" t="n">
        <v>46</v>
      </c>
      <c r="I26" s="12" t="n">
        <v>59</v>
      </c>
      <c r="J26" s="12" t="n">
        <v>13</v>
      </c>
      <c r="K26" s="12" t="n">
        <v>41</v>
      </c>
      <c r="L26" s="12" t="n">
        <v>60</v>
      </c>
      <c r="M26" s="12" t="n">
        <v>35</v>
      </c>
      <c r="N26" s="12" t="n">
        <v>31</v>
      </c>
      <c r="O26" s="12" t="n">
        <v>34</v>
      </c>
      <c r="P26" s="12" t="n">
        <v>36</v>
      </c>
      <c r="Q26" s="12" t="n">
        <v>42</v>
      </c>
      <c r="R26" s="12" t="n">
        <v>9</v>
      </c>
      <c r="S26" s="12" t="n">
        <v>35</v>
      </c>
      <c r="T26" s="12" t="n">
        <v>19</v>
      </c>
      <c r="U26" s="12" t="n">
        <v>11</v>
      </c>
      <c r="V26" s="12" t="n">
        <v>47</v>
      </c>
      <c r="W26" s="12" t="n">
        <v>13</v>
      </c>
      <c r="X26" s="12" t="n">
        <v>47</v>
      </c>
      <c r="Y26" s="12" t="n">
        <v>43</v>
      </c>
      <c r="Z26" s="12" t="n">
        <v>43</v>
      </c>
      <c r="AA26" s="12" t="n">
        <v>22</v>
      </c>
      <c r="AB26" s="12" t="n">
        <v>49</v>
      </c>
      <c r="AC26" s="12" t="n">
        <v>26</v>
      </c>
      <c r="AD26" s="12" t="n">
        <v>36</v>
      </c>
      <c r="AE26" s="12" t="n">
        <v>33</v>
      </c>
      <c r="AF26" s="12" t="n">
        <v>32</v>
      </c>
    </row>
    <row r="27">
      <c r="A27" s="20" t="n"/>
      <c r="B27" s="13" t="inlineStr">
        <is>
          <t>International trade</t>
        </is>
      </c>
      <c r="C27" s="14" t="n">
        <v>0.04</v>
      </c>
      <c r="D27" s="14" t="n">
        <v>0.05</v>
      </c>
      <c r="E27" s="14" t="n">
        <v>0.03</v>
      </c>
      <c r="F27" s="14" t="n">
        <v>0.05</v>
      </c>
      <c r="G27" s="14" t="n">
        <v>0.04</v>
      </c>
      <c r="H27" s="14" t="n">
        <v>0.04</v>
      </c>
      <c r="I27" s="14" t="n">
        <v>0.04</v>
      </c>
      <c r="J27" s="14" t="n">
        <v>0.05</v>
      </c>
      <c r="K27" s="14" t="n">
        <v>0.04</v>
      </c>
      <c r="L27" s="14" t="n">
        <v>0.06</v>
      </c>
      <c r="M27" s="14" t="n">
        <v>0.03</v>
      </c>
      <c r="N27" s="14" t="n">
        <v>0.03</v>
      </c>
      <c r="O27" s="14" t="n">
        <v>0.03</v>
      </c>
      <c r="P27" s="14" t="n">
        <v>0.04</v>
      </c>
      <c r="Q27" s="14" t="n">
        <v>0.04</v>
      </c>
      <c r="R27" s="14" t="n">
        <v>0.02</v>
      </c>
      <c r="S27" s="14" t="n">
        <v>0.04</v>
      </c>
      <c r="T27" s="14" t="n">
        <v>0.02</v>
      </c>
      <c r="U27" s="14" t="n">
        <v>0.02</v>
      </c>
      <c r="V27" s="14" t="n">
        <v>0.05</v>
      </c>
      <c r="W27" s="14" t="n">
        <v>0.03</v>
      </c>
      <c r="X27" s="14" t="n">
        <v>0.04</v>
      </c>
      <c r="Y27" s="14" t="n">
        <v>0.04</v>
      </c>
      <c r="Z27" s="14" t="n">
        <v>0.04</v>
      </c>
      <c r="AA27" s="14" t="n">
        <v>0.02</v>
      </c>
      <c r="AB27" s="14" t="n">
        <v>0.05</v>
      </c>
      <c r="AC27" s="14" t="n">
        <v>0.03</v>
      </c>
      <c r="AD27" s="14" t="n">
        <v>0.04</v>
      </c>
      <c r="AE27" s="14" t="n">
        <v>0.03</v>
      </c>
      <c r="AF27" s="14" t="n">
        <v>0.03</v>
      </c>
    </row>
    <row r="28">
      <c r="A28" s="20" t="n"/>
      <c r="B28" s="11" t="inlineStr">
        <is>
          <t>L'euro</t>
        </is>
      </c>
      <c r="C28" s="12" t="n">
        <v>739</v>
      </c>
      <c r="D28" s="12" t="n">
        <v>43</v>
      </c>
      <c r="E28" s="12" t="n">
        <v>32</v>
      </c>
      <c r="F28" s="12" t="n">
        <v>25</v>
      </c>
      <c r="G28" s="12" t="n">
        <v>6</v>
      </c>
      <c r="H28" s="12" t="n">
        <v>22</v>
      </c>
      <c r="I28" s="12" t="n">
        <v>35</v>
      </c>
      <c r="J28" s="12" t="n">
        <v>13</v>
      </c>
      <c r="K28" s="12" t="n">
        <v>28</v>
      </c>
      <c r="L28" s="12" t="n">
        <v>38</v>
      </c>
      <c r="M28" s="12" t="n">
        <v>14</v>
      </c>
      <c r="N28" s="12" t="n">
        <v>29</v>
      </c>
      <c r="O28" s="12" t="n">
        <v>41</v>
      </c>
      <c r="P28" s="12" t="n">
        <v>23</v>
      </c>
      <c r="Q28" s="12" t="n">
        <v>30</v>
      </c>
      <c r="R28" s="12" t="n">
        <v>15</v>
      </c>
      <c r="S28" s="12" t="n">
        <v>20</v>
      </c>
      <c r="T28" s="12" t="n">
        <v>7</v>
      </c>
      <c r="U28" s="12" t="n">
        <v>12</v>
      </c>
      <c r="V28" s="12" t="n">
        <v>26</v>
      </c>
      <c r="W28" s="12" t="n">
        <v>11</v>
      </c>
      <c r="X28" s="12" t="n">
        <v>16</v>
      </c>
      <c r="Y28" s="12" t="n">
        <v>46</v>
      </c>
      <c r="Z28" s="12" t="n">
        <v>8</v>
      </c>
      <c r="AA28" s="12" t="n">
        <v>63</v>
      </c>
      <c r="AB28" s="12" t="n">
        <v>45</v>
      </c>
      <c r="AC28" s="12" t="n">
        <v>52</v>
      </c>
      <c r="AD28" s="12" t="n">
        <v>33</v>
      </c>
      <c r="AE28" s="12" t="n">
        <v>16</v>
      </c>
      <c r="AF28" s="12" t="n">
        <v>7</v>
      </c>
    </row>
    <row r="29">
      <c r="A29" s="20" t="n"/>
      <c r="B29" s="13" t="inlineStr">
        <is>
          <t>The Euro</t>
        </is>
      </c>
      <c r="C29" s="14" t="n">
        <v>0.03</v>
      </c>
      <c r="D29" s="14" t="n">
        <v>0.04</v>
      </c>
      <c r="E29" s="14" t="n">
        <v>0.03</v>
      </c>
      <c r="F29" s="14" t="n">
        <v>0.02</v>
      </c>
      <c r="G29" s="14" t="n">
        <v>0.01</v>
      </c>
      <c r="H29" s="14" t="n">
        <v>0.02</v>
      </c>
      <c r="I29" s="14" t="n">
        <v>0.02</v>
      </c>
      <c r="J29" s="14" t="n">
        <v>0.04</v>
      </c>
      <c r="K29" s="14" t="n">
        <v>0.03</v>
      </c>
      <c r="L29" s="14" t="n">
        <v>0.04</v>
      </c>
      <c r="M29" s="14" t="n">
        <v>0.01</v>
      </c>
      <c r="N29" s="14" t="n">
        <v>0.03</v>
      </c>
      <c r="O29" s="14" t="n">
        <v>0.04</v>
      </c>
      <c r="P29" s="14" t="n">
        <v>0.02</v>
      </c>
      <c r="Q29" s="14" t="n">
        <v>0.03</v>
      </c>
      <c r="R29" s="14" t="n">
        <v>0.03</v>
      </c>
      <c r="S29" s="14" t="n">
        <v>0.02</v>
      </c>
      <c r="T29" s="14" t="n">
        <v>0.01</v>
      </c>
      <c r="U29" s="14" t="n">
        <v>0.02</v>
      </c>
      <c r="V29" s="14" t="n">
        <v>0.03</v>
      </c>
      <c r="W29" s="14" t="n">
        <v>0.02</v>
      </c>
      <c r="X29" s="14" t="n">
        <v>0.02</v>
      </c>
      <c r="Y29" s="14" t="n">
        <v>0.05</v>
      </c>
      <c r="Z29" s="14" t="n">
        <v>0.01</v>
      </c>
      <c r="AA29" s="14" t="n">
        <v>0.06</v>
      </c>
      <c r="AB29" s="14" t="n">
        <v>0.04</v>
      </c>
      <c r="AC29" s="14" t="n">
        <v>0.05</v>
      </c>
      <c r="AD29" s="14" t="n">
        <v>0.03</v>
      </c>
      <c r="AE29" s="14" t="n">
        <v>0.02</v>
      </c>
      <c r="AF29" s="14" t="n">
        <v>0.01</v>
      </c>
    </row>
    <row r="30">
      <c r="A30" s="20" t="n"/>
      <c r="B30" s="11" t="inlineStr">
        <is>
          <t>L'action pour le climat et la réduction des émissions de gaz à effet de serre</t>
        </is>
      </c>
      <c r="C30" s="12" t="n">
        <v>1217</v>
      </c>
      <c r="D30" s="12" t="n">
        <v>81</v>
      </c>
      <c r="E30" s="12" t="n">
        <v>22</v>
      </c>
      <c r="F30" s="12" t="n">
        <v>25</v>
      </c>
      <c r="G30" s="12" t="n">
        <v>67</v>
      </c>
      <c r="H30" s="12" t="n">
        <v>66</v>
      </c>
      <c r="I30" s="12" t="n">
        <v>77</v>
      </c>
      <c r="J30" s="12" t="n">
        <v>12</v>
      </c>
      <c r="K30" s="12" t="n">
        <v>24</v>
      </c>
      <c r="L30" s="12" t="n">
        <v>48</v>
      </c>
      <c r="M30" s="12" t="n">
        <v>22</v>
      </c>
      <c r="N30" s="12" t="n">
        <v>17</v>
      </c>
      <c r="O30" s="12" t="n">
        <v>68</v>
      </c>
      <c r="P30" s="12" t="n">
        <v>33</v>
      </c>
      <c r="Q30" s="12" t="n">
        <v>56</v>
      </c>
      <c r="R30" s="12" t="n">
        <v>13</v>
      </c>
      <c r="S30" s="12" t="n">
        <v>3</v>
      </c>
      <c r="T30" s="12" t="n">
        <v>17</v>
      </c>
      <c r="U30" s="12" t="n">
        <v>17</v>
      </c>
      <c r="V30" s="12" t="n">
        <v>50</v>
      </c>
      <c r="W30" s="12" t="n">
        <v>23</v>
      </c>
      <c r="X30" s="12" t="n">
        <v>44</v>
      </c>
      <c r="Y30" s="12" t="n">
        <v>42</v>
      </c>
      <c r="Z30" s="12" t="n">
        <v>38</v>
      </c>
      <c r="AA30" s="12" t="n">
        <v>18</v>
      </c>
      <c r="AB30" s="12" t="n">
        <v>46</v>
      </c>
      <c r="AC30" s="12" t="n">
        <v>22</v>
      </c>
      <c r="AD30" s="12" t="n">
        <v>19</v>
      </c>
      <c r="AE30" s="12" t="n">
        <v>41</v>
      </c>
      <c r="AF30" s="12" t="n">
        <v>104</v>
      </c>
    </row>
    <row r="31">
      <c r="A31" s="20" t="n"/>
      <c r="B31" s="13" t="inlineStr">
        <is>
          <t>Climate action and emissions reductions</t>
        </is>
      </c>
      <c r="C31" s="14" t="n">
        <v>0.05</v>
      </c>
      <c r="D31" s="14" t="n">
        <v>0.08</v>
      </c>
      <c r="E31" s="14" t="n">
        <v>0.02</v>
      </c>
      <c r="F31" s="14" t="n">
        <v>0.02</v>
      </c>
      <c r="G31" s="14" t="n">
        <v>0.07000000000000001</v>
      </c>
      <c r="H31" s="14" t="n">
        <v>0.05</v>
      </c>
      <c r="I31" s="14" t="n">
        <v>0.05</v>
      </c>
      <c r="J31" s="14" t="n">
        <v>0.04</v>
      </c>
      <c r="K31" s="14" t="n">
        <v>0.02</v>
      </c>
      <c r="L31" s="14" t="n">
        <v>0.05</v>
      </c>
      <c r="M31" s="14" t="n">
        <v>0.02</v>
      </c>
      <c r="N31" s="14" t="n">
        <v>0.02</v>
      </c>
      <c r="O31" s="14" t="n">
        <v>0.07000000000000001</v>
      </c>
      <c r="P31" s="14" t="n">
        <v>0.03</v>
      </c>
      <c r="Q31" s="14" t="n">
        <v>0.06</v>
      </c>
      <c r="R31" s="14" t="n">
        <v>0.03</v>
      </c>
      <c r="S31" s="15" t="inlineStr">
        <is>
          <t>-</t>
        </is>
      </c>
      <c r="T31" s="14" t="n">
        <v>0.02</v>
      </c>
      <c r="U31" s="14" t="n">
        <v>0.03</v>
      </c>
      <c r="V31" s="14" t="n">
        <v>0.05</v>
      </c>
      <c r="W31" s="14" t="n">
        <v>0.05</v>
      </c>
      <c r="X31" s="14" t="n">
        <v>0.04</v>
      </c>
      <c r="Y31" s="14" t="n">
        <v>0.04</v>
      </c>
      <c r="Z31" s="14" t="n">
        <v>0.04</v>
      </c>
      <c r="AA31" s="14" t="n">
        <v>0.02</v>
      </c>
      <c r="AB31" s="14" t="n">
        <v>0.04</v>
      </c>
      <c r="AC31" s="14" t="n">
        <v>0.02</v>
      </c>
      <c r="AD31" s="14" t="n">
        <v>0.02</v>
      </c>
      <c r="AE31" s="14" t="n">
        <v>0.04</v>
      </c>
      <c r="AF31" s="14" t="n">
        <v>0.1</v>
      </c>
    </row>
    <row r="32">
      <c r="A32" s="20" t="n"/>
      <c r="B32" s="11" t="inlineStr">
        <is>
          <t>La sécurité alimentaire et l’agriculture</t>
        </is>
      </c>
      <c r="C32" s="12" t="n">
        <v>2134</v>
      </c>
      <c r="D32" s="12" t="n">
        <v>67</v>
      </c>
      <c r="E32" s="12" t="n">
        <v>123</v>
      </c>
      <c r="F32" s="12" t="n">
        <v>82</v>
      </c>
      <c r="G32" s="12" t="n">
        <v>53</v>
      </c>
      <c r="H32" s="12" t="n">
        <v>50</v>
      </c>
      <c r="I32" s="12" t="n">
        <v>68</v>
      </c>
      <c r="J32" s="12" t="n">
        <v>18</v>
      </c>
      <c r="K32" s="12" t="n">
        <v>60</v>
      </c>
      <c r="L32" s="12" t="n">
        <v>117</v>
      </c>
      <c r="M32" s="12" t="n">
        <v>93</v>
      </c>
      <c r="N32" s="12" t="n">
        <v>92</v>
      </c>
      <c r="O32" s="12" t="n">
        <v>80</v>
      </c>
      <c r="P32" s="12" t="n">
        <v>178</v>
      </c>
      <c r="Q32" s="12" t="n">
        <v>71</v>
      </c>
      <c r="R32" s="12" t="n">
        <v>20</v>
      </c>
      <c r="S32" s="12" t="n">
        <v>50</v>
      </c>
      <c r="T32" s="12" t="n">
        <v>47</v>
      </c>
      <c r="U32" s="12" t="n">
        <v>24</v>
      </c>
      <c r="V32" s="12" t="n">
        <v>112</v>
      </c>
      <c r="W32" s="12" t="n">
        <v>24</v>
      </c>
      <c r="X32" s="12" t="n">
        <v>49</v>
      </c>
      <c r="Y32" s="12" t="n">
        <v>104</v>
      </c>
      <c r="Z32" s="12" t="n">
        <v>142</v>
      </c>
      <c r="AA32" s="12" t="n">
        <v>102</v>
      </c>
      <c r="AB32" s="12" t="n">
        <v>103</v>
      </c>
      <c r="AC32" s="12" t="n">
        <v>143</v>
      </c>
      <c r="AD32" s="12" t="n">
        <v>141</v>
      </c>
      <c r="AE32" s="12" t="n">
        <v>73</v>
      </c>
      <c r="AF32" s="12" t="n">
        <v>83</v>
      </c>
    </row>
    <row r="33">
      <c r="A33" s="20" t="n"/>
      <c r="B33" s="13" t="inlineStr">
        <is>
          <t>Food security and agriculture</t>
        </is>
      </c>
      <c r="C33" s="14" t="n">
        <v>0.08</v>
      </c>
      <c r="D33" s="14" t="n">
        <v>0.07000000000000001</v>
      </c>
      <c r="E33" s="14" t="n">
        <v>0.12</v>
      </c>
      <c r="F33" s="14" t="n">
        <v>0.08</v>
      </c>
      <c r="G33" s="14" t="n">
        <v>0.05</v>
      </c>
      <c r="H33" s="14" t="n">
        <v>0.04</v>
      </c>
      <c r="I33" s="14" t="n">
        <v>0.04</v>
      </c>
      <c r="J33" s="14" t="n">
        <v>0.06</v>
      </c>
      <c r="K33" s="14" t="n">
        <v>0.06</v>
      </c>
      <c r="L33" s="14" t="n">
        <v>0.12</v>
      </c>
      <c r="M33" s="14" t="n">
        <v>0.09</v>
      </c>
      <c r="N33" s="14" t="n">
        <v>0.09</v>
      </c>
      <c r="O33" s="14" t="n">
        <v>0.08</v>
      </c>
      <c r="P33" s="14" t="n">
        <v>0.18</v>
      </c>
      <c r="Q33" s="14" t="n">
        <v>0.07000000000000001</v>
      </c>
      <c r="R33" s="14" t="n">
        <v>0.04</v>
      </c>
      <c r="S33" s="14" t="n">
        <v>0.05</v>
      </c>
      <c r="T33" s="14" t="n">
        <v>0.05</v>
      </c>
      <c r="U33" s="14" t="n">
        <v>0.05</v>
      </c>
      <c r="V33" s="14" t="n">
        <v>0.11</v>
      </c>
      <c r="W33" s="14" t="n">
        <v>0.05</v>
      </c>
      <c r="X33" s="14" t="n">
        <v>0.05</v>
      </c>
      <c r="Y33" s="14" t="n">
        <v>0.1</v>
      </c>
      <c r="Z33" s="14" t="n">
        <v>0.14</v>
      </c>
      <c r="AA33" s="14" t="n">
        <v>0.1</v>
      </c>
      <c r="AB33" s="14" t="n">
        <v>0.1</v>
      </c>
      <c r="AC33" s="14" t="n">
        <v>0.14</v>
      </c>
      <c r="AD33" s="14" t="n">
        <v>0.14</v>
      </c>
      <c r="AE33" s="14" t="n">
        <v>0.07000000000000001</v>
      </c>
      <c r="AF33" s="14" t="n">
        <v>0.08</v>
      </c>
    </row>
    <row r="34">
      <c r="A34" s="20" t="n"/>
      <c r="B34" s="11" t="inlineStr">
        <is>
          <t>L'éducation et la recherche</t>
        </is>
      </c>
      <c r="C34" s="12" t="n">
        <v>1707</v>
      </c>
      <c r="D34" s="12" t="n">
        <v>60</v>
      </c>
      <c r="E34" s="12" t="n">
        <v>24</v>
      </c>
      <c r="F34" s="12" t="n">
        <v>42</v>
      </c>
      <c r="G34" s="12" t="n">
        <v>40</v>
      </c>
      <c r="H34" s="12" t="n">
        <v>59</v>
      </c>
      <c r="I34" s="12" t="n">
        <v>81</v>
      </c>
      <c r="J34" s="12" t="n">
        <v>22</v>
      </c>
      <c r="K34" s="12" t="n">
        <v>59</v>
      </c>
      <c r="L34" s="12" t="n">
        <v>59</v>
      </c>
      <c r="M34" s="12" t="n">
        <v>90</v>
      </c>
      <c r="N34" s="12" t="n">
        <v>142</v>
      </c>
      <c r="O34" s="12" t="n">
        <v>83</v>
      </c>
      <c r="P34" s="12" t="n">
        <v>42</v>
      </c>
      <c r="Q34" s="12" t="n">
        <v>48</v>
      </c>
      <c r="R34" s="12" t="n">
        <v>66</v>
      </c>
      <c r="S34" s="12" t="n">
        <v>74</v>
      </c>
      <c r="T34" s="12" t="n">
        <v>49</v>
      </c>
      <c r="U34" s="12" t="n">
        <v>40</v>
      </c>
      <c r="V34" s="12" t="n">
        <v>40</v>
      </c>
      <c r="W34" s="12" t="n">
        <v>43</v>
      </c>
      <c r="X34" s="12" t="n">
        <v>41</v>
      </c>
      <c r="Y34" s="12" t="n">
        <v>54</v>
      </c>
      <c r="Z34" s="12" t="n">
        <v>28</v>
      </c>
      <c r="AA34" s="12" t="n">
        <v>67</v>
      </c>
      <c r="AB34" s="12" t="n">
        <v>73</v>
      </c>
      <c r="AC34" s="12" t="n">
        <v>28</v>
      </c>
      <c r="AD34" s="12" t="n">
        <v>52</v>
      </c>
      <c r="AE34" s="12" t="n">
        <v>57</v>
      </c>
      <c r="AF34" s="12" t="n">
        <v>57</v>
      </c>
    </row>
    <row r="35">
      <c r="A35" s="20" t="n"/>
      <c r="B35" s="13" t="inlineStr">
        <is>
          <t>Education and research</t>
        </is>
      </c>
      <c r="C35" s="14" t="n">
        <v>0.06</v>
      </c>
      <c r="D35" s="14" t="n">
        <v>0.06</v>
      </c>
      <c r="E35" s="14" t="n">
        <v>0.02</v>
      </c>
      <c r="F35" s="14" t="n">
        <v>0.04</v>
      </c>
      <c r="G35" s="14" t="n">
        <v>0.04</v>
      </c>
      <c r="H35" s="14" t="n">
        <v>0.05</v>
      </c>
      <c r="I35" s="14" t="n">
        <v>0.05</v>
      </c>
      <c r="J35" s="14" t="n">
        <v>0.08</v>
      </c>
      <c r="K35" s="14" t="n">
        <v>0.06</v>
      </c>
      <c r="L35" s="14" t="n">
        <v>0.06</v>
      </c>
      <c r="M35" s="14" t="n">
        <v>0.09</v>
      </c>
      <c r="N35" s="14" t="n">
        <v>0.14</v>
      </c>
      <c r="O35" s="14" t="n">
        <v>0.08</v>
      </c>
      <c r="P35" s="14" t="n">
        <v>0.04</v>
      </c>
      <c r="Q35" s="14" t="n">
        <v>0.05</v>
      </c>
      <c r="R35" s="14" t="n">
        <v>0.13</v>
      </c>
      <c r="S35" s="14" t="n">
        <v>0.07000000000000001</v>
      </c>
      <c r="T35" s="14" t="n">
        <v>0.05</v>
      </c>
      <c r="U35" s="14" t="n">
        <v>0.08</v>
      </c>
      <c r="V35" s="14" t="n">
        <v>0.04</v>
      </c>
      <c r="W35" s="14" t="n">
        <v>0.09</v>
      </c>
      <c r="X35" s="14" t="n">
        <v>0.04</v>
      </c>
      <c r="Y35" s="14" t="n">
        <v>0.05</v>
      </c>
      <c r="Z35" s="14" t="n">
        <v>0.03</v>
      </c>
      <c r="AA35" s="14" t="n">
        <v>0.07000000000000001</v>
      </c>
      <c r="AB35" s="14" t="n">
        <v>0.07000000000000001</v>
      </c>
      <c r="AC35" s="14" t="n">
        <v>0.03</v>
      </c>
      <c r="AD35" s="14" t="n">
        <v>0.05</v>
      </c>
      <c r="AE35" s="14" t="n">
        <v>0.06</v>
      </c>
      <c r="AF35" s="14" t="n">
        <v>0.06</v>
      </c>
    </row>
    <row r="36">
      <c r="A36" s="20" t="n"/>
      <c r="B36" s="11" t="inlineStr">
        <is>
          <t>La démographie, la migration et le vieillissement de la population</t>
        </is>
      </c>
      <c r="C36" s="12" t="n">
        <v>1363</v>
      </c>
      <c r="D36" s="12" t="n">
        <v>49</v>
      </c>
      <c r="E36" s="12" t="n">
        <v>118</v>
      </c>
      <c r="F36" s="12" t="n">
        <v>34</v>
      </c>
      <c r="G36" s="12" t="n">
        <v>19</v>
      </c>
      <c r="H36" s="12" t="n">
        <v>49</v>
      </c>
      <c r="I36" s="12" t="n">
        <v>64</v>
      </c>
      <c r="J36" s="12" t="n">
        <v>15</v>
      </c>
      <c r="K36" s="12" t="n">
        <v>55</v>
      </c>
      <c r="L36" s="12" t="n">
        <v>60</v>
      </c>
      <c r="M36" s="12" t="n">
        <v>89</v>
      </c>
      <c r="N36" s="12" t="n">
        <v>68</v>
      </c>
      <c r="O36" s="12" t="n">
        <v>50</v>
      </c>
      <c r="P36" s="12" t="n">
        <v>110</v>
      </c>
      <c r="Q36" s="12" t="n">
        <v>44</v>
      </c>
      <c r="R36" s="12" t="n">
        <v>52</v>
      </c>
      <c r="S36" s="12" t="n">
        <v>89</v>
      </c>
      <c r="T36" s="12" t="n">
        <v>53</v>
      </c>
      <c r="U36" s="12" t="n">
        <v>15</v>
      </c>
      <c r="V36" s="12" t="n">
        <v>56</v>
      </c>
      <c r="W36" s="12" t="n">
        <v>37</v>
      </c>
      <c r="X36" s="12" t="n">
        <v>28</v>
      </c>
      <c r="Y36" s="12" t="n">
        <v>62</v>
      </c>
      <c r="Z36" s="12" t="n">
        <v>67</v>
      </c>
      <c r="AA36" s="12" t="n">
        <v>56</v>
      </c>
      <c r="AB36" s="12" t="n">
        <v>68</v>
      </c>
      <c r="AC36" s="12" t="n">
        <v>32</v>
      </c>
      <c r="AD36" s="12" t="n">
        <v>54</v>
      </c>
      <c r="AE36" s="12" t="n">
        <v>20</v>
      </c>
      <c r="AF36" s="12" t="n">
        <v>21</v>
      </c>
    </row>
    <row r="37">
      <c r="A37" s="20" t="n"/>
      <c r="B37" s="13" t="inlineStr">
        <is>
          <t>Demography, migration and population ageing</t>
        </is>
      </c>
      <c r="C37" s="14" t="n">
        <v>0.05</v>
      </c>
      <c r="D37" s="14" t="n">
        <v>0.05</v>
      </c>
      <c r="E37" s="14" t="n">
        <v>0.12</v>
      </c>
      <c r="F37" s="14" t="n">
        <v>0.03</v>
      </c>
      <c r="G37" s="14" t="n">
        <v>0.02</v>
      </c>
      <c r="H37" s="14" t="n">
        <v>0.04</v>
      </c>
      <c r="I37" s="14" t="n">
        <v>0.04</v>
      </c>
      <c r="J37" s="14" t="n">
        <v>0.05</v>
      </c>
      <c r="K37" s="14" t="n">
        <v>0.05</v>
      </c>
      <c r="L37" s="14" t="n">
        <v>0.06</v>
      </c>
      <c r="M37" s="14" t="n">
        <v>0.09</v>
      </c>
      <c r="N37" s="14" t="n">
        <v>0.07000000000000001</v>
      </c>
      <c r="O37" s="14" t="n">
        <v>0.05</v>
      </c>
      <c r="P37" s="14" t="n">
        <v>0.11</v>
      </c>
      <c r="Q37" s="14" t="n">
        <v>0.04</v>
      </c>
      <c r="R37" s="14" t="n">
        <v>0.1</v>
      </c>
      <c r="S37" s="14" t="n">
        <v>0.09</v>
      </c>
      <c r="T37" s="14" t="n">
        <v>0.05</v>
      </c>
      <c r="U37" s="14" t="n">
        <v>0.03</v>
      </c>
      <c r="V37" s="14" t="n">
        <v>0.05</v>
      </c>
      <c r="W37" s="14" t="n">
        <v>0.07000000000000001</v>
      </c>
      <c r="X37" s="14" t="n">
        <v>0.03</v>
      </c>
      <c r="Y37" s="14" t="n">
        <v>0.06</v>
      </c>
      <c r="Z37" s="14" t="n">
        <v>0.07000000000000001</v>
      </c>
      <c r="AA37" s="14" t="n">
        <v>0.05</v>
      </c>
      <c r="AB37" s="14" t="n">
        <v>0.07000000000000001</v>
      </c>
      <c r="AC37" s="14" t="n">
        <v>0.03</v>
      </c>
      <c r="AD37" s="14" t="n">
        <v>0.05</v>
      </c>
      <c r="AE37" s="14" t="n">
        <v>0.02</v>
      </c>
      <c r="AF37" s="14" t="n">
        <v>0.02</v>
      </c>
    </row>
    <row r="38">
      <c r="A38" s="20" t="n"/>
      <c r="B38" s="11" t="inlineStr">
        <is>
          <t>La culture</t>
        </is>
      </c>
      <c r="C38" s="12" t="n">
        <v>504</v>
      </c>
      <c r="D38" s="12" t="n">
        <v>21</v>
      </c>
      <c r="E38" s="12" t="n">
        <v>20</v>
      </c>
      <c r="F38" s="12" t="n">
        <v>17</v>
      </c>
      <c r="G38" s="12" t="n">
        <v>16</v>
      </c>
      <c r="H38" s="12" t="n">
        <v>9</v>
      </c>
      <c r="I38" s="12" t="n">
        <v>18</v>
      </c>
      <c r="J38" s="12" t="n">
        <v>9</v>
      </c>
      <c r="K38" s="12" t="n">
        <v>37</v>
      </c>
      <c r="L38" s="12" t="n">
        <v>19</v>
      </c>
      <c r="M38" s="12" t="n">
        <v>18</v>
      </c>
      <c r="N38" s="12" t="n">
        <v>23</v>
      </c>
      <c r="O38" s="12" t="n">
        <v>19</v>
      </c>
      <c r="P38" s="12" t="n">
        <v>22</v>
      </c>
      <c r="Q38" s="12" t="n">
        <v>29</v>
      </c>
      <c r="R38" s="12" t="n">
        <v>29</v>
      </c>
      <c r="S38" s="12" t="n">
        <v>16</v>
      </c>
      <c r="T38" s="12" t="n">
        <v>13</v>
      </c>
      <c r="U38" s="12" t="n">
        <v>9</v>
      </c>
      <c r="V38" s="12" t="n">
        <v>24</v>
      </c>
      <c r="W38" s="12" t="n">
        <v>30</v>
      </c>
      <c r="X38" s="12" t="n">
        <v>17</v>
      </c>
      <c r="Y38" s="12" t="n">
        <v>18</v>
      </c>
      <c r="Z38" s="12" t="n">
        <v>13</v>
      </c>
      <c r="AA38" s="12" t="n">
        <v>37</v>
      </c>
      <c r="AB38" s="12" t="n">
        <v>31</v>
      </c>
      <c r="AC38" s="12" t="n">
        <v>16</v>
      </c>
      <c r="AD38" s="12" t="n">
        <v>13</v>
      </c>
      <c r="AE38" s="12" t="n">
        <v>5</v>
      </c>
      <c r="AF38" s="12" t="n">
        <v>4</v>
      </c>
    </row>
    <row r="39">
      <c r="A39" s="20" t="n"/>
      <c r="B39" s="13" t="inlineStr">
        <is>
          <t>Culture</t>
        </is>
      </c>
      <c r="C39" s="14" t="n">
        <v>0.02</v>
      </c>
      <c r="D39" s="14" t="n">
        <v>0.02</v>
      </c>
      <c r="E39" s="14" t="n">
        <v>0.02</v>
      </c>
      <c r="F39" s="14" t="n">
        <v>0.02</v>
      </c>
      <c r="G39" s="14" t="n">
        <v>0.02</v>
      </c>
      <c r="H39" s="14" t="n">
        <v>0.01</v>
      </c>
      <c r="I39" s="14" t="n">
        <v>0.01</v>
      </c>
      <c r="J39" s="14" t="n">
        <v>0.03</v>
      </c>
      <c r="K39" s="14" t="n">
        <v>0.04</v>
      </c>
      <c r="L39" s="14" t="n">
        <v>0.02</v>
      </c>
      <c r="M39" s="14" t="n">
        <v>0.02</v>
      </c>
      <c r="N39" s="14" t="n">
        <v>0.02</v>
      </c>
      <c r="O39" s="14" t="n">
        <v>0.02</v>
      </c>
      <c r="P39" s="14" t="n">
        <v>0.02</v>
      </c>
      <c r="Q39" s="14" t="n">
        <v>0.03</v>
      </c>
      <c r="R39" s="14" t="n">
        <v>0.06</v>
      </c>
      <c r="S39" s="14" t="n">
        <v>0.02</v>
      </c>
      <c r="T39" s="14" t="n">
        <v>0.01</v>
      </c>
      <c r="U39" s="14" t="n">
        <v>0.02</v>
      </c>
      <c r="V39" s="14" t="n">
        <v>0.02</v>
      </c>
      <c r="W39" s="14" t="n">
        <v>0.06</v>
      </c>
      <c r="X39" s="14" t="n">
        <v>0.02</v>
      </c>
      <c r="Y39" s="14" t="n">
        <v>0.02</v>
      </c>
      <c r="Z39" s="14" t="n">
        <v>0.01</v>
      </c>
      <c r="AA39" s="14" t="n">
        <v>0.04</v>
      </c>
      <c r="AB39" s="14" t="n">
        <v>0.03</v>
      </c>
      <c r="AC39" s="14" t="n">
        <v>0.02</v>
      </c>
      <c r="AD39" s="14" t="n">
        <v>0.01</v>
      </c>
      <c r="AE39" s="14" t="n">
        <v>0.01</v>
      </c>
      <c r="AF39" s="15" t="inlineStr">
        <is>
          <t>-</t>
        </is>
      </c>
    </row>
    <row r="40">
      <c r="A40" s="20" t="n"/>
      <c r="B40" s="11" t="inlineStr">
        <is>
          <t>Autre (SPONTANÉ)</t>
        </is>
      </c>
      <c r="C40" s="12" t="n">
        <v>115</v>
      </c>
      <c r="D40" s="12" t="n">
        <v>1</v>
      </c>
      <c r="E40" s="12" t="n">
        <v>3</v>
      </c>
      <c r="F40" s="12" t="n">
        <v>0</v>
      </c>
      <c r="G40" s="12" t="n">
        <v>0</v>
      </c>
      <c r="H40" s="12" t="n">
        <v>15</v>
      </c>
      <c r="I40" s="12" t="n">
        <v>15</v>
      </c>
      <c r="J40" s="12" t="n">
        <v>0</v>
      </c>
      <c r="K40" s="12" t="n">
        <v>3</v>
      </c>
      <c r="L40" s="12" t="n">
        <v>4</v>
      </c>
      <c r="M40" s="12" t="n">
        <v>1</v>
      </c>
      <c r="N40" s="12" t="n">
        <v>5</v>
      </c>
      <c r="O40" s="12" t="n">
        <v>5</v>
      </c>
      <c r="P40" s="12" t="n">
        <v>0</v>
      </c>
      <c r="Q40" s="12" t="n">
        <v>4</v>
      </c>
      <c r="R40" s="12" t="n">
        <v>0</v>
      </c>
      <c r="S40" s="12" t="n">
        <v>4</v>
      </c>
      <c r="T40" s="12" t="n">
        <v>3</v>
      </c>
      <c r="U40" s="12" t="n">
        <v>0</v>
      </c>
      <c r="V40" s="12" t="n">
        <v>0</v>
      </c>
      <c r="W40" s="12" t="n">
        <v>2</v>
      </c>
      <c r="X40" s="12" t="n">
        <v>4</v>
      </c>
      <c r="Y40" s="12" t="n">
        <v>2</v>
      </c>
      <c r="Z40" s="12" t="n">
        <v>1</v>
      </c>
      <c r="AA40" s="12" t="n">
        <v>1</v>
      </c>
      <c r="AB40" s="12" t="n">
        <v>2</v>
      </c>
      <c r="AC40" s="12" t="n">
        <v>1</v>
      </c>
      <c r="AD40" s="12" t="n">
        <v>1</v>
      </c>
      <c r="AE40" s="12" t="n">
        <v>2</v>
      </c>
      <c r="AF40" s="12" t="n">
        <v>1</v>
      </c>
    </row>
    <row r="41">
      <c r="A41" s="20" t="n"/>
      <c r="B41" s="13" t="inlineStr">
        <is>
          <t>Other (SPONTANEOUS)</t>
        </is>
      </c>
      <c r="C41" s="15" t="inlineStr">
        <is>
          <t>-</t>
        </is>
      </c>
      <c r="D41" s="15" t="inlineStr">
        <is>
          <t>-</t>
        </is>
      </c>
      <c r="E41" s="15" t="inlineStr">
        <is>
          <t>-</t>
        </is>
      </c>
      <c r="F41" s="15" t="inlineStr">
        <is>
          <t>-</t>
        </is>
      </c>
      <c r="G41" s="15" t="inlineStr">
        <is>
          <t>-</t>
        </is>
      </c>
      <c r="H41" s="14" t="n">
        <v>0.01</v>
      </c>
      <c r="I41" s="14" t="n">
        <v>0.01</v>
      </c>
      <c r="J41" s="15" t="inlineStr">
        <is>
          <t>-</t>
        </is>
      </c>
      <c r="K41" s="15" t="inlineStr">
        <is>
          <t>-</t>
        </is>
      </c>
      <c r="L41" s="15" t="inlineStr">
        <is>
          <t>-</t>
        </is>
      </c>
      <c r="M41" s="15" t="inlineStr">
        <is>
          <t>-</t>
        </is>
      </c>
      <c r="N41" s="14" t="n">
        <v>0.01</v>
      </c>
      <c r="O41" s="15" t="inlineStr">
        <is>
          <t>-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-</t>
        </is>
      </c>
      <c r="S41" s="15" t="inlineStr">
        <is>
          <t>-</t>
        </is>
      </c>
      <c r="T41" s="15" t="inlineStr">
        <is>
          <t>-</t>
        </is>
      </c>
      <c r="U41" s="15" t="inlineStr">
        <is>
          <t>-</t>
        </is>
      </c>
      <c r="V41" s="15" t="inlineStr">
        <is>
          <t>-</t>
        </is>
      </c>
      <c r="W41" s="15" t="inlineStr">
        <is>
          <t>-</t>
        </is>
      </c>
      <c r="X41" s="15" t="inlineStr">
        <is>
          <t>-</t>
        </is>
      </c>
      <c r="Y41" s="15" t="inlineStr">
        <is>
          <t>-</t>
        </is>
      </c>
      <c r="Z41" s="15" t="inlineStr">
        <is>
          <t>-</t>
        </is>
      </c>
      <c r="AA41" s="15" t="inlineStr">
        <is>
          <t>-</t>
        </is>
      </c>
      <c r="AB41" s="15" t="inlineStr">
        <is>
          <t>-</t>
        </is>
      </c>
      <c r="AC41" s="15" t="inlineStr">
        <is>
          <t>-</t>
        </is>
      </c>
      <c r="AD41" s="15" t="inlineStr">
        <is>
          <t>-</t>
        </is>
      </c>
      <c r="AE41" s="15" t="inlineStr">
        <is>
          <t>-</t>
        </is>
      </c>
      <c r="AF41" s="15" t="inlineStr">
        <is>
          <t>-</t>
        </is>
      </c>
    </row>
    <row r="42">
      <c r="A42" s="20" t="n"/>
      <c r="B42" s="11" t="inlineStr">
        <is>
          <t>Aucun (SPONTANÉ)</t>
        </is>
      </c>
      <c r="C42" s="12" t="n">
        <v>138</v>
      </c>
      <c r="D42" s="12" t="n">
        <v>2</v>
      </c>
      <c r="E42" s="12" t="n">
        <v>9</v>
      </c>
      <c r="F42" s="12" t="n">
        <v>13</v>
      </c>
      <c r="G42" s="12" t="n">
        <v>2</v>
      </c>
      <c r="H42" s="12" t="n">
        <v>13</v>
      </c>
      <c r="I42" s="12" t="n">
        <v>13</v>
      </c>
      <c r="J42" s="12" t="n">
        <v>0</v>
      </c>
      <c r="K42" s="12" t="n">
        <v>9</v>
      </c>
      <c r="L42" s="12" t="n">
        <v>1</v>
      </c>
      <c r="M42" s="12" t="n">
        <v>2</v>
      </c>
      <c r="N42" s="12" t="n">
        <v>4</v>
      </c>
      <c r="O42" s="12" t="n">
        <v>7</v>
      </c>
      <c r="P42" s="12" t="n">
        <v>1</v>
      </c>
      <c r="Q42" s="12" t="n">
        <v>2</v>
      </c>
      <c r="R42" s="12" t="n">
        <v>0</v>
      </c>
      <c r="S42" s="12" t="n">
        <v>5</v>
      </c>
      <c r="T42" s="12" t="n">
        <v>1</v>
      </c>
      <c r="U42" s="12" t="n">
        <v>1</v>
      </c>
      <c r="V42" s="12" t="n">
        <v>0</v>
      </c>
      <c r="W42" s="12" t="n">
        <v>0</v>
      </c>
      <c r="X42" s="12" t="n">
        <v>17</v>
      </c>
      <c r="Y42" s="12" t="n">
        <v>7</v>
      </c>
      <c r="Z42" s="12" t="n">
        <v>3</v>
      </c>
      <c r="AA42" s="12" t="n">
        <v>2</v>
      </c>
      <c r="AB42" s="12" t="n">
        <v>4</v>
      </c>
      <c r="AC42" s="12" t="n">
        <v>14</v>
      </c>
      <c r="AD42" s="12" t="n">
        <v>2</v>
      </c>
      <c r="AE42" s="12" t="n">
        <v>2</v>
      </c>
      <c r="AF42" s="12" t="n">
        <v>0</v>
      </c>
    </row>
    <row r="43">
      <c r="A43" s="20" t="n"/>
      <c r="B43" s="13" t="inlineStr">
        <is>
          <t>None (SPONTANEOUS)</t>
        </is>
      </c>
      <c r="C43" s="14" t="n">
        <v>0.01</v>
      </c>
      <c r="D43" s="15" t="inlineStr">
        <is>
          <t>-</t>
        </is>
      </c>
      <c r="E43" s="14" t="n">
        <v>0.01</v>
      </c>
      <c r="F43" s="14" t="n">
        <v>0.01</v>
      </c>
      <c r="G43" s="15" t="inlineStr">
        <is>
          <t>-</t>
        </is>
      </c>
      <c r="H43" s="14" t="n">
        <v>0.01</v>
      </c>
      <c r="I43" s="14" t="n">
        <v>0.01</v>
      </c>
      <c r="J43" s="15" t="inlineStr">
        <is>
          <t>-</t>
        </is>
      </c>
      <c r="K43" s="14" t="n">
        <v>0.01</v>
      </c>
      <c r="L43" s="15" t="inlineStr">
        <is>
          <t>-</t>
        </is>
      </c>
      <c r="M43" s="15" t="inlineStr">
        <is>
          <t>-</t>
        </is>
      </c>
      <c r="N43" s="15" t="inlineStr">
        <is>
          <t>-</t>
        </is>
      </c>
      <c r="O43" s="14" t="n">
        <v>0.01</v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14" t="n">
        <v>0.01</v>
      </c>
      <c r="T43" s="15" t="inlineStr">
        <is>
          <t>-</t>
        </is>
      </c>
      <c r="U43" s="15" t="inlineStr">
        <is>
          <t>-</t>
        </is>
      </c>
      <c r="V43" s="15" t="inlineStr">
        <is>
          <t>-</t>
        </is>
      </c>
      <c r="W43" s="15" t="inlineStr">
        <is>
          <t>-</t>
        </is>
      </c>
      <c r="X43" s="14" t="n">
        <v>0.02</v>
      </c>
      <c r="Y43" s="14" t="n">
        <v>0.01</v>
      </c>
      <c r="Z43" s="15" t="inlineStr">
        <is>
          <t>-</t>
        </is>
      </c>
      <c r="AA43" s="15" t="inlineStr">
        <is>
          <t>-</t>
        </is>
      </c>
      <c r="AB43" s="15" t="inlineStr">
        <is>
          <t>-</t>
        </is>
      </c>
      <c r="AC43" s="14" t="n">
        <v>0.01</v>
      </c>
      <c r="AD43" s="15" t="inlineStr">
        <is>
          <t>-</t>
        </is>
      </c>
      <c r="AE43" s="15" t="inlineStr">
        <is>
          <t>-</t>
        </is>
      </c>
      <c r="AF43" s="15" t="inlineStr">
        <is>
          <t>-</t>
        </is>
      </c>
    </row>
    <row r="44">
      <c r="A44" s="20" t="n"/>
      <c r="B44" s="11" t="inlineStr">
        <is>
          <t>Ne sait pas</t>
        </is>
      </c>
      <c r="C44" s="12" t="n">
        <v>318</v>
      </c>
      <c r="D44" s="12" t="n">
        <v>3</v>
      </c>
      <c r="E44" s="12" t="n">
        <v>27</v>
      </c>
      <c r="F44" s="12" t="n">
        <v>27</v>
      </c>
      <c r="G44" s="12" t="n">
        <v>7</v>
      </c>
      <c r="H44" s="12" t="n">
        <v>10</v>
      </c>
      <c r="I44" s="12" t="n">
        <v>10</v>
      </c>
      <c r="J44" s="12" t="n">
        <v>0</v>
      </c>
      <c r="K44" s="12" t="n">
        <v>16</v>
      </c>
      <c r="L44" s="12" t="n">
        <v>14</v>
      </c>
      <c r="M44" s="12" t="n">
        <v>8</v>
      </c>
      <c r="N44" s="12" t="n">
        <v>20</v>
      </c>
      <c r="O44" s="12" t="n">
        <v>25</v>
      </c>
      <c r="P44" s="12" t="n">
        <v>4</v>
      </c>
      <c r="Q44" s="12" t="n">
        <v>3</v>
      </c>
      <c r="R44" s="12" t="n">
        <v>7</v>
      </c>
      <c r="S44" s="12" t="n">
        <v>12</v>
      </c>
      <c r="T44" s="12" t="n">
        <v>11</v>
      </c>
      <c r="U44" s="12" t="n">
        <v>5</v>
      </c>
      <c r="V44" s="12" t="n">
        <v>1</v>
      </c>
      <c r="W44" s="12" t="n">
        <v>5</v>
      </c>
      <c r="X44" s="12" t="n">
        <v>4</v>
      </c>
      <c r="Y44" s="12" t="n">
        <v>5</v>
      </c>
      <c r="Z44" s="12" t="n">
        <v>10</v>
      </c>
      <c r="AA44" s="12" t="n">
        <v>20</v>
      </c>
      <c r="AB44" s="12" t="n">
        <v>27</v>
      </c>
      <c r="AC44" s="12" t="n">
        <v>5</v>
      </c>
      <c r="AD44" s="12" t="n">
        <v>2</v>
      </c>
      <c r="AE44" s="12" t="n">
        <v>9</v>
      </c>
      <c r="AF44" s="12" t="n">
        <v>2</v>
      </c>
    </row>
    <row r="45">
      <c r="A45" s="23" t="n"/>
      <c r="B45" s="13" t="inlineStr">
        <is>
          <t>Don't know</t>
        </is>
      </c>
      <c r="C45" s="14" t="n">
        <v>0.01</v>
      </c>
      <c r="D45" s="15" t="inlineStr">
        <is>
          <t>-</t>
        </is>
      </c>
      <c r="E45" s="14" t="n">
        <v>0.03</v>
      </c>
      <c r="F45" s="14" t="n">
        <v>0.03</v>
      </c>
      <c r="G45" s="14" t="n">
        <v>0.01</v>
      </c>
      <c r="H45" s="14" t="n">
        <v>0.01</v>
      </c>
      <c r="I45" s="14" t="n">
        <v>0.01</v>
      </c>
      <c r="J45" s="15" t="inlineStr">
        <is>
          <t>-</t>
        </is>
      </c>
      <c r="K45" s="14" t="n">
        <v>0.02</v>
      </c>
      <c r="L45" s="14" t="n">
        <v>0.01</v>
      </c>
      <c r="M45" s="14" t="n">
        <v>0.01</v>
      </c>
      <c r="N45" s="14" t="n">
        <v>0.02</v>
      </c>
      <c r="O45" s="14" t="n">
        <v>0.02</v>
      </c>
      <c r="P45" s="15" t="inlineStr">
        <is>
          <t>-</t>
        </is>
      </c>
      <c r="Q45" s="15" t="inlineStr">
        <is>
          <t>-</t>
        </is>
      </c>
      <c r="R45" s="14" t="n">
        <v>0.01</v>
      </c>
      <c r="S45" s="14" t="n">
        <v>0.01</v>
      </c>
      <c r="T45" s="14" t="n">
        <v>0.01</v>
      </c>
      <c r="U45" s="14" t="n">
        <v>0.01</v>
      </c>
      <c r="V45" s="15" t="inlineStr">
        <is>
          <t>-</t>
        </is>
      </c>
      <c r="W45" s="14" t="n">
        <v>0.01</v>
      </c>
      <c r="X45" s="15" t="inlineStr">
        <is>
          <t>-</t>
        </is>
      </c>
      <c r="Y45" s="14" t="n">
        <v>0.01</v>
      </c>
      <c r="Z45" s="14" t="n">
        <v>0.01</v>
      </c>
      <c r="AA45" s="14" t="n">
        <v>0.02</v>
      </c>
      <c r="AB45" s="14" t="n">
        <v>0.03</v>
      </c>
      <c r="AC45" s="15" t="inlineStr">
        <is>
          <t>-</t>
        </is>
      </c>
      <c r="AD45" s="15" t="inlineStr">
        <is>
          <t>-</t>
        </is>
      </c>
      <c r="AE45" s="14" t="n">
        <v>0.01</v>
      </c>
      <c r="AF45" s="15" t="inlineStr">
        <is>
          <t>-</t>
        </is>
      </c>
    </row>
  </sheetData>
  <mergeCells count="9">
    <mergeCell ref="B4:F4"/>
    <mergeCell ref="H3:L3"/>
    <mergeCell ref="C8:AF8"/>
    <mergeCell ref="A10:A45"/>
    <mergeCell ref="B3:F3"/>
    <mergeCell ref="B5:F5"/>
    <mergeCell ref="H5:L5"/>
    <mergeCell ref="B10:B11"/>
    <mergeCell ref="H4:L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F45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12" customHeight="1" s="18">
      <c r="B3" s="21" t="inlineStr">
        <is>
          <t>QA11b. Et ensuite ? (2 RÉPONSES MAX.)</t>
        </is>
      </c>
      <c r="H3" s="21" t="inlineStr">
        <is>
          <t>QA11b. And then? (MAX. 2 ANSWERS)</t>
        </is>
      </c>
    </row>
    <row r="4" ht="27" customHeight="1" s="18">
      <c r="B4" s="21" t="n"/>
      <c r="H4" s="21" t="n"/>
    </row>
    <row r="5" ht="24" customHeight="1" s="18">
      <c r="B5" s="21" t="inlineStr">
        <is>
          <t>Base: Not asked to respondents who answered "None" or "Don't know" in QA11a</t>
        </is>
      </c>
      <c r="H5" s="21" t="inlineStr">
        <is>
          <t>Base: Pas demandé aux répondants qui ont répondu “Aucun” ou “Ne sait pas” à la QA11a</t>
        </is>
      </c>
    </row>
    <row r="6" ht="0.95" customHeight="1" s="18"/>
    <row r="7" ht="0.95" customHeight="1" s="18"/>
    <row r="8">
      <c r="C8" s="22" t="n"/>
    </row>
    <row r="9">
      <c r="A9" s="5">
        <f>HYPERLINK("#Content!A30","&lt;&lt;Back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25964</v>
      </c>
      <c r="D10" s="10" t="n">
        <v>1016</v>
      </c>
      <c r="E10" s="10" t="n">
        <v>978</v>
      </c>
      <c r="F10" s="10" t="n">
        <v>1009</v>
      </c>
      <c r="G10" s="10" t="n">
        <v>997</v>
      </c>
      <c r="H10" s="10" t="n">
        <v>1190</v>
      </c>
      <c r="I10" s="10" t="n">
        <v>1484</v>
      </c>
      <c r="J10" s="10" t="n">
        <v>293</v>
      </c>
      <c r="K10" s="10" t="n">
        <v>981</v>
      </c>
      <c r="L10" s="10" t="n">
        <v>995</v>
      </c>
      <c r="M10" s="10" t="n">
        <v>998</v>
      </c>
      <c r="N10" s="10" t="n">
        <v>983</v>
      </c>
      <c r="O10" s="10" t="n">
        <v>984</v>
      </c>
      <c r="P10" s="10" t="n">
        <v>1002</v>
      </c>
      <c r="Q10" s="10" t="n">
        <v>1024</v>
      </c>
      <c r="R10" s="10" t="n">
        <v>497</v>
      </c>
      <c r="S10" s="10" t="n">
        <v>989</v>
      </c>
      <c r="T10" s="10" t="n">
        <v>1005</v>
      </c>
      <c r="U10" s="10" t="n">
        <v>502</v>
      </c>
      <c r="V10" s="10" t="n">
        <v>1019</v>
      </c>
      <c r="W10" s="10" t="n">
        <v>500</v>
      </c>
      <c r="X10" s="10" t="n">
        <v>1002</v>
      </c>
      <c r="Y10" s="10" t="n">
        <v>992</v>
      </c>
      <c r="Z10" s="10" t="n">
        <v>1007</v>
      </c>
      <c r="AA10" s="10" t="n">
        <v>1009</v>
      </c>
      <c r="AB10" s="10" t="n">
        <v>1014</v>
      </c>
      <c r="AC10" s="10" t="n">
        <v>988</v>
      </c>
      <c r="AD10" s="10" t="n">
        <v>997</v>
      </c>
      <c r="AE10" s="10" t="n">
        <v>1005</v>
      </c>
      <c r="AF10" s="10" t="n">
        <v>1035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L’indépendance énergétique, les ressources et les infrastructures</t>
        </is>
      </c>
      <c r="C12" s="12" t="n">
        <v>5722</v>
      </c>
      <c r="D12" s="12" t="n">
        <v>236</v>
      </c>
      <c r="E12" s="12" t="n">
        <v>234</v>
      </c>
      <c r="F12" s="12" t="n">
        <v>257</v>
      </c>
      <c r="G12" s="12" t="n">
        <v>255</v>
      </c>
      <c r="H12" s="12" t="n">
        <v>282</v>
      </c>
      <c r="I12" s="12" t="n">
        <v>357</v>
      </c>
      <c r="J12" s="12" t="n">
        <v>74</v>
      </c>
      <c r="K12" s="12" t="n">
        <v>214</v>
      </c>
      <c r="L12" s="12" t="n">
        <v>210</v>
      </c>
      <c r="M12" s="12" t="n">
        <v>222</v>
      </c>
      <c r="N12" s="12" t="n">
        <v>153</v>
      </c>
      <c r="O12" s="12" t="n">
        <v>186</v>
      </c>
      <c r="P12" s="12" t="n">
        <v>243</v>
      </c>
      <c r="Q12" s="12" t="n">
        <v>267</v>
      </c>
      <c r="R12" s="12" t="n">
        <v>100</v>
      </c>
      <c r="S12" s="12" t="n">
        <v>211</v>
      </c>
      <c r="T12" s="12" t="n">
        <v>207</v>
      </c>
      <c r="U12" s="12" t="n">
        <v>115</v>
      </c>
      <c r="V12" s="12" t="n">
        <v>222</v>
      </c>
      <c r="W12" s="12" t="n">
        <v>75</v>
      </c>
      <c r="X12" s="12" t="n">
        <v>259</v>
      </c>
      <c r="Y12" s="12" t="n">
        <v>225</v>
      </c>
      <c r="Z12" s="12" t="n">
        <v>239</v>
      </c>
      <c r="AA12" s="12" t="n">
        <v>209</v>
      </c>
      <c r="AB12" s="12" t="n">
        <v>159</v>
      </c>
      <c r="AC12" s="12" t="n">
        <v>247</v>
      </c>
      <c r="AD12" s="12" t="n">
        <v>244</v>
      </c>
      <c r="AE12" s="12" t="n">
        <v>204</v>
      </c>
      <c r="AF12" s="12" t="n">
        <v>252</v>
      </c>
    </row>
    <row r="13">
      <c r="A13" s="20" t="n"/>
      <c r="B13" s="13" t="inlineStr">
        <is>
          <t>Energy independence, resources and infrastructures</t>
        </is>
      </c>
      <c r="C13" s="14" t="n">
        <v>0.26</v>
      </c>
      <c r="D13" s="14" t="n">
        <v>0.28</v>
      </c>
      <c r="E13" s="14" t="n">
        <v>0.28</v>
      </c>
      <c r="F13" s="14" t="n">
        <v>0.3</v>
      </c>
      <c r="G13" s="14" t="n">
        <v>0.3</v>
      </c>
      <c r="H13" s="14" t="n">
        <v>0.29</v>
      </c>
      <c r="I13" s="14" t="n">
        <v>0.29</v>
      </c>
      <c r="J13" s="14" t="n">
        <v>0.29</v>
      </c>
      <c r="K13" s="14" t="n">
        <v>0.25</v>
      </c>
      <c r="L13" s="14" t="n">
        <v>0.24</v>
      </c>
      <c r="M13" s="14" t="n">
        <v>0.25</v>
      </c>
      <c r="N13" s="14" t="n">
        <v>0.17</v>
      </c>
      <c r="O13" s="14" t="n">
        <v>0.21</v>
      </c>
      <c r="P13" s="14" t="n">
        <v>0.27</v>
      </c>
      <c r="Q13" s="14" t="n">
        <v>0.32</v>
      </c>
      <c r="R13" s="14" t="n">
        <v>0.22</v>
      </c>
      <c r="S13" s="14" t="n">
        <v>0.24</v>
      </c>
      <c r="T13" s="14" t="n">
        <v>0.23</v>
      </c>
      <c r="U13" s="14" t="n">
        <v>0.27</v>
      </c>
      <c r="V13" s="14" t="n">
        <v>0.26</v>
      </c>
      <c r="W13" s="14" t="n">
        <v>0.17</v>
      </c>
      <c r="X13" s="14" t="n">
        <v>0.31</v>
      </c>
      <c r="Y13" s="14" t="n">
        <v>0.25</v>
      </c>
      <c r="Z13" s="14" t="n">
        <v>0.27</v>
      </c>
      <c r="AA13" s="14" t="n">
        <v>0.24</v>
      </c>
      <c r="AB13" s="14" t="n">
        <v>0.18</v>
      </c>
      <c r="AC13" s="14" t="n">
        <v>0.3</v>
      </c>
      <c r="AD13" s="14" t="n">
        <v>0.29</v>
      </c>
      <c r="AE13" s="14" t="n">
        <v>0.24</v>
      </c>
      <c r="AF13" s="14" t="n">
        <v>0.28</v>
      </c>
    </row>
    <row r="14">
      <c r="A14" s="20" t="n"/>
      <c r="B14" s="11" t="inlineStr">
        <is>
          <t>La défense et la sécurité</t>
        </is>
      </c>
      <c r="C14" s="12" t="n">
        <v>5238</v>
      </c>
      <c r="D14" s="12" t="n">
        <v>208</v>
      </c>
      <c r="E14" s="12" t="n">
        <v>165</v>
      </c>
      <c r="F14" s="12" t="n">
        <v>202</v>
      </c>
      <c r="G14" s="12" t="n">
        <v>242</v>
      </c>
      <c r="H14" s="12" t="n">
        <v>241</v>
      </c>
      <c r="I14" s="12" t="n">
        <v>306</v>
      </c>
      <c r="J14" s="12" t="n">
        <v>65</v>
      </c>
      <c r="K14" s="12" t="n">
        <v>203</v>
      </c>
      <c r="L14" s="12" t="n">
        <v>175</v>
      </c>
      <c r="M14" s="12" t="n">
        <v>200</v>
      </c>
      <c r="N14" s="12" t="n">
        <v>178</v>
      </c>
      <c r="O14" s="12" t="n">
        <v>226</v>
      </c>
      <c r="P14" s="12" t="n">
        <v>149</v>
      </c>
      <c r="Q14" s="12" t="n">
        <v>181</v>
      </c>
      <c r="R14" s="12" t="n">
        <v>144</v>
      </c>
      <c r="S14" s="12" t="n">
        <v>206</v>
      </c>
      <c r="T14" s="12" t="n">
        <v>211</v>
      </c>
      <c r="U14" s="12" t="n">
        <v>106</v>
      </c>
      <c r="V14" s="12" t="n">
        <v>171</v>
      </c>
      <c r="W14" s="12" t="n">
        <v>89</v>
      </c>
      <c r="X14" s="12" t="n">
        <v>261</v>
      </c>
      <c r="Y14" s="12" t="n">
        <v>193</v>
      </c>
      <c r="Z14" s="12" t="n">
        <v>200</v>
      </c>
      <c r="AA14" s="12" t="n">
        <v>225</v>
      </c>
      <c r="AB14" s="12" t="n">
        <v>200</v>
      </c>
      <c r="AC14" s="12" t="n">
        <v>170</v>
      </c>
      <c r="AD14" s="12" t="n">
        <v>173</v>
      </c>
      <c r="AE14" s="12" t="n">
        <v>267</v>
      </c>
      <c r="AF14" s="12" t="n">
        <v>183</v>
      </c>
    </row>
    <row r="15">
      <c r="A15" s="20" t="n"/>
      <c r="B15" s="13" t="inlineStr">
        <is>
          <t>Defence and security</t>
        </is>
      </c>
      <c r="C15" s="14" t="n">
        <v>0.25</v>
      </c>
      <c r="D15" s="14" t="n">
        <v>0.25</v>
      </c>
      <c r="E15" s="14" t="n">
        <v>0.19</v>
      </c>
      <c r="F15" s="14" t="n">
        <v>0.25</v>
      </c>
      <c r="G15" s="14" t="n">
        <v>0.33</v>
      </c>
      <c r="H15" s="14" t="n">
        <v>0.25</v>
      </c>
      <c r="I15" s="14" t="n">
        <v>0.25</v>
      </c>
      <c r="J15" s="14" t="n">
        <v>0.27</v>
      </c>
      <c r="K15" s="14" t="n">
        <v>0.25</v>
      </c>
      <c r="L15" s="14" t="n">
        <v>0.21</v>
      </c>
      <c r="M15" s="14" t="n">
        <v>0.24</v>
      </c>
      <c r="N15" s="14" t="n">
        <v>0.21</v>
      </c>
      <c r="O15" s="14" t="n">
        <v>0.3</v>
      </c>
      <c r="P15" s="14" t="n">
        <v>0.17</v>
      </c>
      <c r="Q15" s="14" t="n">
        <v>0.21</v>
      </c>
      <c r="R15" s="14" t="n">
        <v>0.39</v>
      </c>
      <c r="S15" s="14" t="n">
        <v>0.29</v>
      </c>
      <c r="T15" s="14" t="n">
        <v>0.32</v>
      </c>
      <c r="U15" s="14" t="n">
        <v>0.27</v>
      </c>
      <c r="V15" s="14" t="n">
        <v>0.2</v>
      </c>
      <c r="W15" s="14" t="n">
        <v>0.22</v>
      </c>
      <c r="X15" s="14" t="n">
        <v>0.37</v>
      </c>
      <c r="Y15" s="14" t="n">
        <v>0.22</v>
      </c>
      <c r="Z15" s="14" t="n">
        <v>0.28</v>
      </c>
      <c r="AA15" s="14" t="n">
        <v>0.27</v>
      </c>
      <c r="AB15" s="14" t="n">
        <v>0.24</v>
      </c>
      <c r="AC15" s="14" t="n">
        <v>0.2</v>
      </c>
      <c r="AD15" s="14" t="n">
        <v>0.19</v>
      </c>
      <c r="AE15" s="14" t="n">
        <v>0.33</v>
      </c>
      <c r="AF15" s="14" t="n">
        <v>0.21</v>
      </c>
    </row>
    <row r="16">
      <c r="A16" s="20" t="n"/>
      <c r="B16" s="11" t="inlineStr">
        <is>
          <t>Les relations internationales et la diplomatie</t>
        </is>
      </c>
      <c r="C16" s="12" t="n">
        <v>2993</v>
      </c>
      <c r="D16" s="12" t="n">
        <v>104</v>
      </c>
      <c r="E16" s="12" t="n">
        <v>146</v>
      </c>
      <c r="F16" s="12" t="n">
        <v>122</v>
      </c>
      <c r="G16" s="12" t="n">
        <v>124</v>
      </c>
      <c r="H16" s="12" t="n">
        <v>161</v>
      </c>
      <c r="I16" s="12" t="n">
        <v>184</v>
      </c>
      <c r="J16" s="12" t="n">
        <v>23</v>
      </c>
      <c r="K16" s="12" t="n">
        <v>133</v>
      </c>
      <c r="L16" s="12" t="n">
        <v>76</v>
      </c>
      <c r="M16" s="12" t="n">
        <v>142</v>
      </c>
      <c r="N16" s="12" t="n">
        <v>89</v>
      </c>
      <c r="O16" s="12" t="n">
        <v>103</v>
      </c>
      <c r="P16" s="12" t="n">
        <v>98</v>
      </c>
      <c r="Q16" s="12" t="n">
        <v>150</v>
      </c>
      <c r="R16" s="12" t="n">
        <v>60</v>
      </c>
      <c r="S16" s="12" t="n">
        <v>141</v>
      </c>
      <c r="T16" s="12" t="n">
        <v>157</v>
      </c>
      <c r="U16" s="12" t="n">
        <v>88</v>
      </c>
      <c r="V16" s="12" t="n">
        <v>113</v>
      </c>
      <c r="W16" s="12" t="n">
        <v>55</v>
      </c>
      <c r="X16" s="12" t="n">
        <v>101</v>
      </c>
      <c r="Y16" s="12" t="n">
        <v>128</v>
      </c>
      <c r="Z16" s="12" t="n">
        <v>105</v>
      </c>
      <c r="AA16" s="12" t="n">
        <v>38</v>
      </c>
      <c r="AB16" s="12" t="n">
        <v>124</v>
      </c>
      <c r="AC16" s="12" t="n">
        <v>114</v>
      </c>
      <c r="AD16" s="12" t="n">
        <v>123</v>
      </c>
      <c r="AE16" s="12" t="n">
        <v>114</v>
      </c>
      <c r="AF16" s="12" t="n">
        <v>130</v>
      </c>
    </row>
    <row r="17">
      <c r="A17" s="20" t="n"/>
      <c r="B17" s="13" t="inlineStr">
        <is>
          <t>Foreign relations and diplomacy</t>
        </is>
      </c>
      <c r="C17" s="14" t="n">
        <v>0.12</v>
      </c>
      <c r="D17" s="14" t="n">
        <v>0.11</v>
      </c>
      <c r="E17" s="14" t="n">
        <v>0.16</v>
      </c>
      <c r="F17" s="14" t="n">
        <v>0.13</v>
      </c>
      <c r="G17" s="14" t="n">
        <v>0.13</v>
      </c>
      <c r="H17" s="14" t="n">
        <v>0.14</v>
      </c>
      <c r="I17" s="14" t="n">
        <v>0.13</v>
      </c>
      <c r="J17" s="14" t="n">
        <v>0.08</v>
      </c>
      <c r="K17" s="14" t="n">
        <v>0.15</v>
      </c>
      <c r="L17" s="14" t="n">
        <v>0.08</v>
      </c>
      <c r="M17" s="14" t="n">
        <v>0.16</v>
      </c>
      <c r="N17" s="14" t="n">
        <v>0.1</v>
      </c>
      <c r="O17" s="14" t="n">
        <v>0.11</v>
      </c>
      <c r="P17" s="14" t="n">
        <v>0.1</v>
      </c>
      <c r="Q17" s="14" t="n">
        <v>0.16</v>
      </c>
      <c r="R17" s="14" t="n">
        <v>0.13</v>
      </c>
      <c r="S17" s="14" t="n">
        <v>0.15</v>
      </c>
      <c r="T17" s="14" t="n">
        <v>0.18</v>
      </c>
      <c r="U17" s="14" t="n">
        <v>0.19</v>
      </c>
      <c r="V17" s="14" t="n">
        <v>0.12</v>
      </c>
      <c r="W17" s="14" t="n">
        <v>0.12</v>
      </c>
      <c r="X17" s="14" t="n">
        <v>0.11</v>
      </c>
      <c r="Y17" s="14" t="n">
        <v>0.14</v>
      </c>
      <c r="Z17" s="14" t="n">
        <v>0.11</v>
      </c>
      <c r="AA17" s="14" t="n">
        <v>0.04</v>
      </c>
      <c r="AB17" s="14" t="n">
        <v>0.13</v>
      </c>
      <c r="AC17" s="14" t="n">
        <v>0.13</v>
      </c>
      <c r="AD17" s="14" t="n">
        <v>0.13</v>
      </c>
      <c r="AE17" s="14" t="n">
        <v>0.12</v>
      </c>
      <c r="AF17" s="14" t="n">
        <v>0.13</v>
      </c>
    </row>
    <row r="18">
      <c r="A18" s="20" t="n"/>
      <c r="B18" s="11" t="inlineStr">
        <is>
          <t>L’élargissement de l’UE et les relations avec les pays voisins</t>
        </is>
      </c>
      <c r="C18" s="12" t="n">
        <v>1534</v>
      </c>
      <c r="D18" s="12" t="n">
        <v>54</v>
      </c>
      <c r="E18" s="12" t="n">
        <v>52</v>
      </c>
      <c r="F18" s="12" t="n">
        <v>63</v>
      </c>
      <c r="G18" s="12" t="n">
        <v>69</v>
      </c>
      <c r="H18" s="12" t="n">
        <v>82</v>
      </c>
      <c r="I18" s="12" t="n">
        <v>95</v>
      </c>
      <c r="J18" s="12" t="n">
        <v>13</v>
      </c>
      <c r="K18" s="12" t="n">
        <v>72</v>
      </c>
      <c r="L18" s="12" t="n">
        <v>39</v>
      </c>
      <c r="M18" s="12" t="n">
        <v>47</v>
      </c>
      <c r="N18" s="12" t="n">
        <v>65</v>
      </c>
      <c r="O18" s="12" t="n">
        <v>42</v>
      </c>
      <c r="P18" s="12" t="n">
        <v>64</v>
      </c>
      <c r="Q18" s="12" t="n">
        <v>74</v>
      </c>
      <c r="R18" s="12" t="n">
        <v>23</v>
      </c>
      <c r="S18" s="12" t="n">
        <v>72</v>
      </c>
      <c r="T18" s="12" t="n">
        <v>140</v>
      </c>
      <c r="U18" s="12" t="n">
        <v>21</v>
      </c>
      <c r="V18" s="12" t="n">
        <v>73</v>
      </c>
      <c r="W18" s="12" t="n">
        <v>25</v>
      </c>
      <c r="X18" s="12" t="n">
        <v>21</v>
      </c>
      <c r="Y18" s="12" t="n">
        <v>65</v>
      </c>
      <c r="Z18" s="12" t="n">
        <v>71</v>
      </c>
      <c r="AA18" s="12" t="n">
        <v>31</v>
      </c>
      <c r="AB18" s="12" t="n">
        <v>89</v>
      </c>
      <c r="AC18" s="12" t="n">
        <v>48</v>
      </c>
      <c r="AD18" s="12" t="n">
        <v>30</v>
      </c>
      <c r="AE18" s="12" t="n">
        <v>30</v>
      </c>
      <c r="AF18" s="12" t="n">
        <v>25</v>
      </c>
    </row>
    <row r="19">
      <c r="A19" s="20" t="n"/>
      <c r="B19" s="13" t="inlineStr">
        <is>
          <t>EU enlargement and neighbourhood relations</t>
        </is>
      </c>
      <c r="C19" s="14" t="n">
        <v>0.06</v>
      </c>
      <c r="D19" s="14" t="n">
        <v>0.05</v>
      </c>
      <c r="E19" s="14" t="n">
        <v>0.05</v>
      </c>
      <c r="F19" s="14" t="n">
        <v>0.06</v>
      </c>
      <c r="G19" s="14" t="n">
        <v>0.07000000000000001</v>
      </c>
      <c r="H19" s="14" t="n">
        <v>0.07000000000000001</v>
      </c>
      <c r="I19" s="14" t="n">
        <v>0.07000000000000001</v>
      </c>
      <c r="J19" s="14" t="n">
        <v>0.04</v>
      </c>
      <c r="K19" s="14" t="n">
        <v>0.08</v>
      </c>
      <c r="L19" s="14" t="n">
        <v>0.04</v>
      </c>
      <c r="M19" s="14" t="n">
        <v>0.05</v>
      </c>
      <c r="N19" s="14" t="n">
        <v>0.07000000000000001</v>
      </c>
      <c r="O19" s="14" t="n">
        <v>0.04</v>
      </c>
      <c r="P19" s="14" t="n">
        <v>0.07000000000000001</v>
      </c>
      <c r="Q19" s="14" t="n">
        <v>0.07000000000000001</v>
      </c>
      <c r="R19" s="14" t="n">
        <v>0.05</v>
      </c>
      <c r="S19" s="14" t="n">
        <v>0.08</v>
      </c>
      <c r="T19" s="14" t="n">
        <v>0.15</v>
      </c>
      <c r="U19" s="14" t="n">
        <v>0.04</v>
      </c>
      <c r="V19" s="14" t="n">
        <v>0.07000000000000001</v>
      </c>
      <c r="W19" s="14" t="n">
        <v>0.05</v>
      </c>
      <c r="X19" s="14" t="n">
        <v>0.02</v>
      </c>
      <c r="Y19" s="14" t="n">
        <v>0.07000000000000001</v>
      </c>
      <c r="Z19" s="14" t="n">
        <v>0.07000000000000001</v>
      </c>
      <c r="AA19" s="14" t="n">
        <v>0.03</v>
      </c>
      <c r="AB19" s="14" t="n">
        <v>0.09</v>
      </c>
      <c r="AC19" s="14" t="n">
        <v>0.05</v>
      </c>
      <c r="AD19" s="14" t="n">
        <v>0.03</v>
      </c>
      <c r="AE19" s="14" t="n">
        <v>0.03</v>
      </c>
      <c r="AF19" s="14" t="n">
        <v>0.02</v>
      </c>
    </row>
    <row r="20">
      <c r="A20" s="20" t="n"/>
      <c r="B20" s="11" t="inlineStr">
        <is>
          <t>La technologie et l’innovation, y compris l’intelligence artificielle (IA)</t>
        </is>
      </c>
      <c r="C20" s="12" t="n">
        <v>2291</v>
      </c>
      <c r="D20" s="12" t="n">
        <v>114</v>
      </c>
      <c r="E20" s="12" t="n">
        <v>88</v>
      </c>
      <c r="F20" s="12" t="n">
        <v>82</v>
      </c>
      <c r="G20" s="12" t="n">
        <v>144</v>
      </c>
      <c r="H20" s="12" t="n">
        <v>131</v>
      </c>
      <c r="I20" s="12" t="n">
        <v>146</v>
      </c>
      <c r="J20" s="12" t="n">
        <v>15</v>
      </c>
      <c r="K20" s="12" t="n">
        <v>115</v>
      </c>
      <c r="L20" s="12" t="n">
        <v>94</v>
      </c>
      <c r="M20" s="12" t="n">
        <v>89</v>
      </c>
      <c r="N20" s="12" t="n">
        <v>72</v>
      </c>
      <c r="O20" s="12" t="n">
        <v>70</v>
      </c>
      <c r="P20" s="12" t="n">
        <v>89</v>
      </c>
      <c r="Q20" s="12" t="n">
        <v>97</v>
      </c>
      <c r="R20" s="12" t="n">
        <v>38</v>
      </c>
      <c r="S20" s="12" t="n">
        <v>77</v>
      </c>
      <c r="T20" s="12" t="n">
        <v>83</v>
      </c>
      <c r="U20" s="12" t="n">
        <v>53</v>
      </c>
      <c r="V20" s="12" t="n">
        <v>87</v>
      </c>
      <c r="W20" s="12" t="n">
        <v>55</v>
      </c>
      <c r="X20" s="12" t="n">
        <v>143</v>
      </c>
      <c r="Y20" s="12" t="n">
        <v>79</v>
      </c>
      <c r="Z20" s="12" t="n">
        <v>73</v>
      </c>
      <c r="AA20" s="12" t="n">
        <v>77</v>
      </c>
      <c r="AB20" s="12" t="n">
        <v>63</v>
      </c>
      <c r="AC20" s="12" t="n">
        <v>79</v>
      </c>
      <c r="AD20" s="12" t="n">
        <v>74</v>
      </c>
      <c r="AE20" s="12" t="n">
        <v>104</v>
      </c>
      <c r="AF20" s="12" t="n">
        <v>128</v>
      </c>
    </row>
    <row r="21">
      <c r="A21" s="20" t="n"/>
      <c r="B21" s="13" t="inlineStr">
        <is>
          <t>Technology and innovation, including Artificial Intelligence (AI)</t>
        </is>
      </c>
      <c r="C21" s="14" t="n">
        <v>0.09</v>
      </c>
      <c r="D21" s="14" t="n">
        <v>0.12</v>
      </c>
      <c r="E21" s="14" t="n">
        <v>0.09</v>
      </c>
      <c r="F21" s="14" t="n">
        <v>0.09</v>
      </c>
      <c r="G21" s="14" t="n">
        <v>0.15</v>
      </c>
      <c r="H21" s="14" t="n">
        <v>0.11</v>
      </c>
      <c r="I21" s="14" t="n">
        <v>0.1</v>
      </c>
      <c r="J21" s="14" t="n">
        <v>0.05</v>
      </c>
      <c r="K21" s="14" t="n">
        <v>0.12</v>
      </c>
      <c r="L21" s="14" t="n">
        <v>0.1</v>
      </c>
      <c r="M21" s="14" t="n">
        <v>0.09</v>
      </c>
      <c r="N21" s="14" t="n">
        <v>0.07000000000000001</v>
      </c>
      <c r="O21" s="14" t="n">
        <v>0.07000000000000001</v>
      </c>
      <c r="P21" s="14" t="n">
        <v>0.09</v>
      </c>
      <c r="Q21" s="14" t="n">
        <v>0.1</v>
      </c>
      <c r="R21" s="14" t="n">
        <v>0.08</v>
      </c>
      <c r="S21" s="14" t="n">
        <v>0.08</v>
      </c>
      <c r="T21" s="14" t="n">
        <v>0.09</v>
      </c>
      <c r="U21" s="14" t="n">
        <v>0.11</v>
      </c>
      <c r="V21" s="14" t="n">
        <v>0.09</v>
      </c>
      <c r="W21" s="14" t="n">
        <v>0.12</v>
      </c>
      <c r="X21" s="14" t="n">
        <v>0.15</v>
      </c>
      <c r="Y21" s="14" t="n">
        <v>0.08</v>
      </c>
      <c r="Z21" s="14" t="n">
        <v>0.07000000000000001</v>
      </c>
      <c r="AA21" s="14" t="n">
        <v>0.08</v>
      </c>
      <c r="AB21" s="14" t="n">
        <v>0.06</v>
      </c>
      <c r="AC21" s="14" t="n">
        <v>0.08</v>
      </c>
      <c r="AD21" s="14" t="n">
        <v>0.08</v>
      </c>
      <c r="AE21" s="14" t="n">
        <v>0.11</v>
      </c>
      <c r="AF21" s="14" t="n">
        <v>0.13</v>
      </c>
    </row>
    <row r="22">
      <c r="A22" s="20" t="n"/>
      <c r="B22" s="11" t="inlineStr">
        <is>
          <t>Les valeurs de l'UE, notamment la démocratie et la protection des droits de l'homme</t>
        </is>
      </c>
      <c r="C22" s="12" t="n">
        <v>3344</v>
      </c>
      <c r="D22" s="12" t="n">
        <v>130</v>
      </c>
      <c r="E22" s="12" t="n">
        <v>164</v>
      </c>
      <c r="F22" s="12" t="n">
        <v>111</v>
      </c>
      <c r="G22" s="12" t="n">
        <v>166</v>
      </c>
      <c r="H22" s="12" t="n">
        <v>183</v>
      </c>
      <c r="I22" s="12" t="n">
        <v>230</v>
      </c>
      <c r="J22" s="12" t="n">
        <v>48</v>
      </c>
      <c r="K22" s="12" t="n">
        <v>101</v>
      </c>
      <c r="L22" s="12" t="n">
        <v>135</v>
      </c>
      <c r="M22" s="12" t="n">
        <v>113</v>
      </c>
      <c r="N22" s="12" t="n">
        <v>128</v>
      </c>
      <c r="O22" s="12" t="n">
        <v>86</v>
      </c>
      <c r="P22" s="12" t="n">
        <v>145</v>
      </c>
      <c r="Q22" s="12" t="n">
        <v>99</v>
      </c>
      <c r="R22" s="12" t="n">
        <v>74</v>
      </c>
      <c r="S22" s="12" t="n">
        <v>92</v>
      </c>
      <c r="T22" s="12" t="n">
        <v>121</v>
      </c>
      <c r="U22" s="12" t="n">
        <v>72</v>
      </c>
      <c r="V22" s="12" t="n">
        <v>166</v>
      </c>
      <c r="W22" s="12" t="n">
        <v>70</v>
      </c>
      <c r="X22" s="12" t="n">
        <v>170</v>
      </c>
      <c r="Y22" s="12" t="n">
        <v>188</v>
      </c>
      <c r="Z22" s="12" t="n">
        <v>110</v>
      </c>
      <c r="AA22" s="12" t="n">
        <v>164</v>
      </c>
      <c r="AB22" s="12" t="n">
        <v>125</v>
      </c>
      <c r="AC22" s="12" t="n">
        <v>126</v>
      </c>
      <c r="AD22" s="12" t="n">
        <v>125</v>
      </c>
      <c r="AE22" s="12" t="n">
        <v>154</v>
      </c>
      <c r="AF22" s="12" t="n">
        <v>233</v>
      </c>
    </row>
    <row r="23">
      <c r="A23" s="20" t="n"/>
      <c r="B23" s="13" t="inlineStr">
        <is>
          <t>EU values, including democracy and the protection of human rights</t>
        </is>
      </c>
      <c r="C23" s="14" t="n">
        <v>0.14</v>
      </c>
      <c r="D23" s="14" t="n">
        <v>0.14</v>
      </c>
      <c r="E23" s="14" t="n">
        <v>0.18</v>
      </c>
      <c r="F23" s="14" t="n">
        <v>0.12</v>
      </c>
      <c r="G23" s="14" t="n">
        <v>0.19</v>
      </c>
      <c r="H23" s="14" t="n">
        <v>0.17</v>
      </c>
      <c r="I23" s="14" t="n">
        <v>0.17</v>
      </c>
      <c r="J23" s="14" t="n">
        <v>0.18</v>
      </c>
      <c r="K23" s="14" t="n">
        <v>0.11</v>
      </c>
      <c r="L23" s="14" t="n">
        <v>0.15</v>
      </c>
      <c r="M23" s="14" t="n">
        <v>0.12</v>
      </c>
      <c r="N23" s="14" t="n">
        <v>0.15</v>
      </c>
      <c r="O23" s="14" t="n">
        <v>0.09</v>
      </c>
      <c r="P23" s="14" t="n">
        <v>0.15</v>
      </c>
      <c r="Q23" s="14" t="n">
        <v>0.1</v>
      </c>
      <c r="R23" s="14" t="n">
        <v>0.16</v>
      </c>
      <c r="S23" s="14" t="n">
        <v>0.1</v>
      </c>
      <c r="T23" s="14" t="n">
        <v>0.12</v>
      </c>
      <c r="U23" s="14" t="n">
        <v>0.16</v>
      </c>
      <c r="V23" s="14" t="n">
        <v>0.18</v>
      </c>
      <c r="W23" s="14" t="n">
        <v>0.15</v>
      </c>
      <c r="X23" s="14" t="n">
        <v>0.19</v>
      </c>
      <c r="Y23" s="14" t="n">
        <v>0.21</v>
      </c>
      <c r="Z23" s="14" t="n">
        <v>0.11</v>
      </c>
      <c r="AA23" s="14" t="n">
        <v>0.18</v>
      </c>
      <c r="AB23" s="14" t="n">
        <v>0.13</v>
      </c>
      <c r="AC23" s="14" t="n">
        <v>0.14</v>
      </c>
      <c r="AD23" s="14" t="n">
        <v>0.14</v>
      </c>
      <c r="AE23" s="14" t="n">
        <v>0.17</v>
      </c>
      <c r="AF23" s="14" t="n">
        <v>0.28</v>
      </c>
    </row>
    <row r="24">
      <c r="A24" s="20" t="n"/>
      <c r="B24" s="11" t="inlineStr">
        <is>
          <t>La compétitivité, l'économie et l'industrie</t>
        </is>
      </c>
      <c r="C24" s="12" t="n">
        <v>5227</v>
      </c>
      <c r="D24" s="12" t="n">
        <v>159</v>
      </c>
      <c r="E24" s="12" t="n">
        <v>251</v>
      </c>
      <c r="F24" s="12" t="n">
        <v>219</v>
      </c>
      <c r="G24" s="12" t="n">
        <v>169</v>
      </c>
      <c r="H24" s="12" t="n">
        <v>238</v>
      </c>
      <c r="I24" s="12" t="n">
        <v>299</v>
      </c>
      <c r="J24" s="12" t="n">
        <v>61</v>
      </c>
      <c r="K24" s="12" t="n">
        <v>201</v>
      </c>
      <c r="L24" s="12" t="n">
        <v>178</v>
      </c>
      <c r="M24" s="12" t="n">
        <v>250</v>
      </c>
      <c r="N24" s="12" t="n">
        <v>202</v>
      </c>
      <c r="O24" s="12" t="n">
        <v>224</v>
      </c>
      <c r="P24" s="12" t="n">
        <v>227</v>
      </c>
      <c r="Q24" s="12" t="n">
        <v>226</v>
      </c>
      <c r="R24" s="12" t="n">
        <v>76</v>
      </c>
      <c r="S24" s="12" t="n">
        <v>240</v>
      </c>
      <c r="T24" s="12" t="n">
        <v>218</v>
      </c>
      <c r="U24" s="12" t="n">
        <v>98</v>
      </c>
      <c r="V24" s="12" t="n">
        <v>198</v>
      </c>
      <c r="W24" s="12" t="n">
        <v>81</v>
      </c>
      <c r="X24" s="12" t="n">
        <v>128</v>
      </c>
      <c r="Y24" s="12" t="n">
        <v>159</v>
      </c>
      <c r="Z24" s="12" t="n">
        <v>155</v>
      </c>
      <c r="AA24" s="12" t="n">
        <v>258</v>
      </c>
      <c r="AB24" s="12" t="n">
        <v>177</v>
      </c>
      <c r="AC24" s="12" t="n">
        <v>258</v>
      </c>
      <c r="AD24" s="12" t="n">
        <v>235</v>
      </c>
      <c r="AE24" s="12" t="n">
        <v>203</v>
      </c>
      <c r="AF24" s="12" t="n">
        <v>170</v>
      </c>
    </row>
    <row r="25">
      <c r="A25" s="20" t="n"/>
      <c r="B25" s="13" t="inlineStr">
        <is>
          <t>Competitiveness, economy and industry</t>
        </is>
      </c>
      <c r="C25" s="14" t="n">
        <v>0.23</v>
      </c>
      <c r="D25" s="14" t="n">
        <v>0.17</v>
      </c>
      <c r="E25" s="14" t="n">
        <v>0.3</v>
      </c>
      <c r="F25" s="14" t="n">
        <v>0.25</v>
      </c>
      <c r="G25" s="14" t="n">
        <v>0.19</v>
      </c>
      <c r="H25" s="14" t="n">
        <v>0.24</v>
      </c>
      <c r="I25" s="14" t="n">
        <v>0.24</v>
      </c>
      <c r="J25" s="14" t="n">
        <v>0.25</v>
      </c>
      <c r="K25" s="14" t="n">
        <v>0.23</v>
      </c>
      <c r="L25" s="14" t="n">
        <v>0.2</v>
      </c>
      <c r="M25" s="14" t="n">
        <v>0.3</v>
      </c>
      <c r="N25" s="14" t="n">
        <v>0.23</v>
      </c>
      <c r="O25" s="14" t="n">
        <v>0.26</v>
      </c>
      <c r="P25" s="14" t="n">
        <v>0.26</v>
      </c>
      <c r="Q25" s="14" t="n">
        <v>0.25</v>
      </c>
      <c r="R25" s="14" t="n">
        <v>0.17</v>
      </c>
      <c r="S25" s="14" t="n">
        <v>0.28</v>
      </c>
      <c r="T25" s="14" t="n">
        <v>0.24</v>
      </c>
      <c r="U25" s="14" t="n">
        <v>0.22</v>
      </c>
      <c r="V25" s="14" t="n">
        <v>0.22</v>
      </c>
      <c r="W25" s="14" t="n">
        <v>0.18</v>
      </c>
      <c r="X25" s="14" t="n">
        <v>0.14</v>
      </c>
      <c r="Y25" s="14" t="n">
        <v>0.18</v>
      </c>
      <c r="Z25" s="14" t="n">
        <v>0.17</v>
      </c>
      <c r="AA25" s="14" t="n">
        <v>0.31</v>
      </c>
      <c r="AB25" s="14" t="n">
        <v>0.19</v>
      </c>
      <c r="AC25" s="14" t="n">
        <v>0.3</v>
      </c>
      <c r="AD25" s="14" t="n">
        <v>0.29</v>
      </c>
      <c r="AE25" s="14" t="n">
        <v>0.25</v>
      </c>
      <c r="AF25" s="14" t="n">
        <v>0.18</v>
      </c>
    </row>
    <row r="26">
      <c r="A26" s="20" t="n"/>
      <c r="B26" s="11" t="inlineStr">
        <is>
          <t>Le commerce international</t>
        </is>
      </c>
      <c r="C26" s="12" t="n">
        <v>2759</v>
      </c>
      <c r="D26" s="12" t="n">
        <v>121</v>
      </c>
      <c r="E26" s="12" t="n">
        <v>104</v>
      </c>
      <c r="F26" s="12" t="n">
        <v>124</v>
      </c>
      <c r="G26" s="12" t="n">
        <v>125</v>
      </c>
      <c r="H26" s="12" t="n">
        <v>149</v>
      </c>
      <c r="I26" s="12" t="n">
        <v>190</v>
      </c>
      <c r="J26" s="12" t="n">
        <v>42</v>
      </c>
      <c r="K26" s="12" t="n">
        <v>100</v>
      </c>
      <c r="L26" s="12" t="n">
        <v>136</v>
      </c>
      <c r="M26" s="12" t="n">
        <v>117</v>
      </c>
      <c r="N26" s="12" t="n">
        <v>94</v>
      </c>
      <c r="O26" s="12" t="n">
        <v>82</v>
      </c>
      <c r="P26" s="12" t="n">
        <v>124</v>
      </c>
      <c r="Q26" s="12" t="n">
        <v>117</v>
      </c>
      <c r="R26" s="12" t="n">
        <v>39</v>
      </c>
      <c r="S26" s="12" t="n">
        <v>102</v>
      </c>
      <c r="T26" s="12" t="n">
        <v>84</v>
      </c>
      <c r="U26" s="12" t="n">
        <v>40</v>
      </c>
      <c r="V26" s="12" t="n">
        <v>110</v>
      </c>
      <c r="W26" s="12" t="n">
        <v>47</v>
      </c>
      <c r="X26" s="12" t="n">
        <v>100</v>
      </c>
      <c r="Y26" s="12" t="n">
        <v>128</v>
      </c>
      <c r="Z26" s="12" t="n">
        <v>104</v>
      </c>
      <c r="AA26" s="12" t="n">
        <v>70</v>
      </c>
      <c r="AB26" s="12" t="n">
        <v>84</v>
      </c>
      <c r="AC26" s="12" t="n">
        <v>100</v>
      </c>
      <c r="AD26" s="12" t="n">
        <v>125</v>
      </c>
      <c r="AE26" s="12" t="n">
        <v>89</v>
      </c>
      <c r="AF26" s="12" t="n">
        <v>94</v>
      </c>
    </row>
    <row r="27">
      <c r="A27" s="20" t="n"/>
      <c r="B27" s="13" t="inlineStr">
        <is>
          <t>International trade</t>
        </is>
      </c>
      <c r="C27" s="14" t="n">
        <v>0.11</v>
      </c>
      <c r="D27" s="14" t="n">
        <v>0.12</v>
      </c>
      <c r="E27" s="14" t="n">
        <v>0.11</v>
      </c>
      <c r="F27" s="14" t="n">
        <v>0.13</v>
      </c>
      <c r="G27" s="14" t="n">
        <v>0.13</v>
      </c>
      <c r="H27" s="14" t="n">
        <v>0.13</v>
      </c>
      <c r="I27" s="14" t="n">
        <v>0.13</v>
      </c>
      <c r="J27" s="14" t="n">
        <v>0.15</v>
      </c>
      <c r="K27" s="14" t="n">
        <v>0.11</v>
      </c>
      <c r="L27" s="14" t="n">
        <v>0.15</v>
      </c>
      <c r="M27" s="14" t="n">
        <v>0.12</v>
      </c>
      <c r="N27" s="14" t="n">
        <v>0.1</v>
      </c>
      <c r="O27" s="14" t="n">
        <v>0.09</v>
      </c>
      <c r="P27" s="14" t="n">
        <v>0.13</v>
      </c>
      <c r="Q27" s="14" t="n">
        <v>0.12</v>
      </c>
      <c r="R27" s="14" t="n">
        <v>0.08</v>
      </c>
      <c r="S27" s="14" t="n">
        <v>0.11</v>
      </c>
      <c r="T27" s="14" t="n">
        <v>0.09</v>
      </c>
      <c r="U27" s="14" t="n">
        <v>0.08</v>
      </c>
      <c r="V27" s="14" t="n">
        <v>0.11</v>
      </c>
      <c r="W27" s="14" t="n">
        <v>0.1</v>
      </c>
      <c r="X27" s="14" t="n">
        <v>0.1</v>
      </c>
      <c r="Y27" s="14" t="n">
        <v>0.13</v>
      </c>
      <c r="Z27" s="14" t="n">
        <v>0.11</v>
      </c>
      <c r="AA27" s="14" t="n">
        <v>0.07000000000000001</v>
      </c>
      <c r="AB27" s="14" t="n">
        <v>0.09</v>
      </c>
      <c r="AC27" s="14" t="n">
        <v>0.1</v>
      </c>
      <c r="AD27" s="14" t="n">
        <v>0.13</v>
      </c>
      <c r="AE27" s="14" t="n">
        <v>0.09</v>
      </c>
      <c r="AF27" s="14" t="n">
        <v>0.09</v>
      </c>
    </row>
    <row r="28">
      <c r="A28" s="20" t="n"/>
      <c r="B28" s="11" t="inlineStr">
        <is>
          <t>L'euro</t>
        </is>
      </c>
      <c r="C28" s="12" t="n">
        <v>1151</v>
      </c>
      <c r="D28" s="12" t="n">
        <v>57</v>
      </c>
      <c r="E28" s="12" t="n">
        <v>40</v>
      </c>
      <c r="F28" s="12" t="n">
        <v>27</v>
      </c>
      <c r="G28" s="12" t="n">
        <v>17</v>
      </c>
      <c r="H28" s="12" t="n">
        <v>54</v>
      </c>
      <c r="I28" s="12" t="n">
        <v>76</v>
      </c>
      <c r="J28" s="12" t="n">
        <v>21</v>
      </c>
      <c r="K28" s="12" t="n">
        <v>58</v>
      </c>
      <c r="L28" s="12" t="n">
        <v>71</v>
      </c>
      <c r="M28" s="12" t="n">
        <v>55</v>
      </c>
      <c r="N28" s="12" t="n">
        <v>38</v>
      </c>
      <c r="O28" s="12" t="n">
        <v>48</v>
      </c>
      <c r="P28" s="12" t="n">
        <v>56</v>
      </c>
      <c r="Q28" s="12" t="n">
        <v>33</v>
      </c>
      <c r="R28" s="12" t="n">
        <v>25</v>
      </c>
      <c r="S28" s="12" t="n">
        <v>49</v>
      </c>
      <c r="T28" s="12" t="n">
        <v>18</v>
      </c>
      <c r="U28" s="12" t="n">
        <v>24</v>
      </c>
      <c r="V28" s="12" t="n">
        <v>100</v>
      </c>
      <c r="W28" s="12" t="n">
        <v>34</v>
      </c>
      <c r="X28" s="12" t="n">
        <v>55</v>
      </c>
      <c r="Y28" s="12" t="n">
        <v>75</v>
      </c>
      <c r="Z28" s="12" t="n">
        <v>21</v>
      </c>
      <c r="AA28" s="12" t="n">
        <v>43</v>
      </c>
      <c r="AB28" s="12" t="n">
        <v>60</v>
      </c>
      <c r="AC28" s="12" t="n">
        <v>75</v>
      </c>
      <c r="AD28" s="12" t="n">
        <v>62</v>
      </c>
      <c r="AE28" s="12" t="n">
        <v>18</v>
      </c>
      <c r="AF28" s="12" t="n">
        <v>22</v>
      </c>
    </row>
    <row r="29">
      <c r="A29" s="20" t="n"/>
      <c r="B29" s="13" t="inlineStr">
        <is>
          <t>The Euro</t>
        </is>
      </c>
      <c r="C29" s="14" t="n">
        <v>0.05</v>
      </c>
      <c r="D29" s="14" t="n">
        <v>0.06</v>
      </c>
      <c r="E29" s="14" t="n">
        <v>0.04</v>
      </c>
      <c r="F29" s="14" t="n">
        <v>0.03</v>
      </c>
      <c r="G29" s="14" t="n">
        <v>0.02</v>
      </c>
      <c r="H29" s="14" t="n">
        <v>0.05</v>
      </c>
      <c r="I29" s="14" t="n">
        <v>0.05</v>
      </c>
      <c r="J29" s="14" t="n">
        <v>0.08</v>
      </c>
      <c r="K29" s="14" t="n">
        <v>0.06</v>
      </c>
      <c r="L29" s="14" t="n">
        <v>0.07000000000000001</v>
      </c>
      <c r="M29" s="14" t="n">
        <v>0.06</v>
      </c>
      <c r="N29" s="14" t="n">
        <v>0.04</v>
      </c>
      <c r="O29" s="14" t="n">
        <v>0.05</v>
      </c>
      <c r="P29" s="14" t="n">
        <v>0.06</v>
      </c>
      <c r="Q29" s="14" t="n">
        <v>0.03</v>
      </c>
      <c r="R29" s="14" t="n">
        <v>0.05</v>
      </c>
      <c r="S29" s="14" t="n">
        <v>0.05</v>
      </c>
      <c r="T29" s="14" t="n">
        <v>0.02</v>
      </c>
      <c r="U29" s="14" t="n">
        <v>0.05</v>
      </c>
      <c r="V29" s="14" t="n">
        <v>0.1</v>
      </c>
      <c r="W29" s="14" t="n">
        <v>0.07000000000000001</v>
      </c>
      <c r="X29" s="14" t="n">
        <v>0.06</v>
      </c>
      <c r="Y29" s="14" t="n">
        <v>0.08</v>
      </c>
      <c r="Z29" s="14" t="n">
        <v>0.02</v>
      </c>
      <c r="AA29" s="14" t="n">
        <v>0.05</v>
      </c>
      <c r="AB29" s="14" t="n">
        <v>0.06</v>
      </c>
      <c r="AC29" s="14" t="n">
        <v>0.08</v>
      </c>
      <c r="AD29" s="14" t="n">
        <v>0.06</v>
      </c>
      <c r="AE29" s="14" t="n">
        <v>0.02</v>
      </c>
      <c r="AF29" s="14" t="n">
        <v>0.02</v>
      </c>
    </row>
    <row r="30">
      <c r="A30" s="20" t="n"/>
      <c r="B30" s="11" t="inlineStr">
        <is>
          <t>L'action pour le climat et la réduction des émissions de gaz à effet de serre</t>
        </is>
      </c>
      <c r="C30" s="12" t="n">
        <v>2786</v>
      </c>
      <c r="D30" s="12" t="n">
        <v>120</v>
      </c>
      <c r="E30" s="12" t="n">
        <v>65</v>
      </c>
      <c r="F30" s="12" t="n">
        <v>62</v>
      </c>
      <c r="G30" s="12" t="n">
        <v>164</v>
      </c>
      <c r="H30" s="12" t="n">
        <v>129</v>
      </c>
      <c r="I30" s="12" t="n">
        <v>159</v>
      </c>
      <c r="J30" s="12" t="n">
        <v>30</v>
      </c>
      <c r="K30" s="12" t="n">
        <v>36</v>
      </c>
      <c r="L30" s="12" t="n">
        <v>118</v>
      </c>
      <c r="M30" s="12" t="n">
        <v>101</v>
      </c>
      <c r="N30" s="12" t="n">
        <v>87</v>
      </c>
      <c r="O30" s="12" t="n">
        <v>108</v>
      </c>
      <c r="P30" s="12" t="n">
        <v>116</v>
      </c>
      <c r="Q30" s="12" t="n">
        <v>125</v>
      </c>
      <c r="R30" s="12" t="n">
        <v>19</v>
      </c>
      <c r="S30" s="12" t="n">
        <v>26</v>
      </c>
      <c r="T30" s="12" t="n">
        <v>40</v>
      </c>
      <c r="U30" s="12" t="n">
        <v>44</v>
      </c>
      <c r="V30" s="12" t="n">
        <v>124</v>
      </c>
      <c r="W30" s="12" t="n">
        <v>80</v>
      </c>
      <c r="X30" s="12" t="n">
        <v>154</v>
      </c>
      <c r="Y30" s="12" t="n">
        <v>119</v>
      </c>
      <c r="Z30" s="12" t="n">
        <v>89</v>
      </c>
      <c r="AA30" s="12" t="n">
        <v>97</v>
      </c>
      <c r="AB30" s="12" t="n">
        <v>70</v>
      </c>
      <c r="AC30" s="12" t="n">
        <v>75</v>
      </c>
      <c r="AD30" s="12" t="n">
        <v>49</v>
      </c>
      <c r="AE30" s="12" t="n">
        <v>135</v>
      </c>
      <c r="AF30" s="12" t="n">
        <v>242</v>
      </c>
    </row>
    <row r="31">
      <c r="A31" s="20" t="n"/>
      <c r="B31" s="13" t="inlineStr">
        <is>
          <t>Climate action and emissions reductions</t>
        </is>
      </c>
      <c r="C31" s="14" t="n">
        <v>0.11</v>
      </c>
      <c r="D31" s="14" t="n">
        <v>0.13</v>
      </c>
      <c r="E31" s="14" t="n">
        <v>0.07000000000000001</v>
      </c>
      <c r="F31" s="14" t="n">
        <v>0.06</v>
      </c>
      <c r="G31" s="14" t="n">
        <v>0.18</v>
      </c>
      <c r="H31" s="14" t="n">
        <v>0.11</v>
      </c>
      <c r="I31" s="14" t="n">
        <v>0.11</v>
      </c>
      <c r="J31" s="14" t="n">
        <v>0.11</v>
      </c>
      <c r="K31" s="14" t="n">
        <v>0.04</v>
      </c>
      <c r="L31" s="14" t="n">
        <v>0.12</v>
      </c>
      <c r="M31" s="14" t="n">
        <v>0.1</v>
      </c>
      <c r="N31" s="14" t="n">
        <v>0.09</v>
      </c>
      <c r="O31" s="14" t="n">
        <v>0.12</v>
      </c>
      <c r="P31" s="14" t="n">
        <v>0.12</v>
      </c>
      <c r="Q31" s="14" t="n">
        <v>0.13</v>
      </c>
      <c r="R31" s="14" t="n">
        <v>0.04</v>
      </c>
      <c r="S31" s="14" t="n">
        <v>0.03</v>
      </c>
      <c r="T31" s="14" t="n">
        <v>0.04</v>
      </c>
      <c r="U31" s="14" t="n">
        <v>0.09</v>
      </c>
      <c r="V31" s="14" t="n">
        <v>0.13</v>
      </c>
      <c r="W31" s="14" t="n">
        <v>0.17</v>
      </c>
      <c r="X31" s="14" t="n">
        <v>0.16</v>
      </c>
      <c r="Y31" s="14" t="n">
        <v>0.12</v>
      </c>
      <c r="Z31" s="14" t="n">
        <v>0.09</v>
      </c>
      <c r="AA31" s="14" t="n">
        <v>0.1</v>
      </c>
      <c r="AB31" s="14" t="n">
        <v>0.07000000000000001</v>
      </c>
      <c r="AC31" s="14" t="n">
        <v>0.08</v>
      </c>
      <c r="AD31" s="14" t="n">
        <v>0.05</v>
      </c>
      <c r="AE31" s="14" t="n">
        <v>0.14</v>
      </c>
      <c r="AF31" s="14" t="n">
        <v>0.26</v>
      </c>
    </row>
    <row r="32">
      <c r="A32" s="20" t="n"/>
      <c r="B32" s="11" t="inlineStr">
        <is>
          <t>La sécurité alimentaire et l’agriculture</t>
        </is>
      </c>
      <c r="C32" s="12" t="n">
        <v>4026</v>
      </c>
      <c r="D32" s="12" t="n">
        <v>152</v>
      </c>
      <c r="E32" s="12" t="n">
        <v>162</v>
      </c>
      <c r="F32" s="12" t="n">
        <v>163</v>
      </c>
      <c r="G32" s="12" t="n">
        <v>122</v>
      </c>
      <c r="H32" s="12" t="n">
        <v>124</v>
      </c>
      <c r="I32" s="12" t="n">
        <v>183</v>
      </c>
      <c r="J32" s="12" t="n">
        <v>59</v>
      </c>
      <c r="K32" s="12" t="n">
        <v>152</v>
      </c>
      <c r="L32" s="12" t="n">
        <v>183</v>
      </c>
      <c r="M32" s="12" t="n">
        <v>181</v>
      </c>
      <c r="N32" s="12" t="n">
        <v>129</v>
      </c>
      <c r="O32" s="12" t="n">
        <v>136</v>
      </c>
      <c r="P32" s="12" t="n">
        <v>172</v>
      </c>
      <c r="Q32" s="12" t="n">
        <v>160</v>
      </c>
      <c r="R32" s="12" t="n">
        <v>48</v>
      </c>
      <c r="S32" s="12" t="n">
        <v>77</v>
      </c>
      <c r="T32" s="12" t="n">
        <v>98</v>
      </c>
      <c r="U32" s="12" t="n">
        <v>79</v>
      </c>
      <c r="V32" s="12" t="n">
        <v>217</v>
      </c>
      <c r="W32" s="12" t="n">
        <v>67</v>
      </c>
      <c r="X32" s="12" t="n">
        <v>176</v>
      </c>
      <c r="Y32" s="12" t="n">
        <v>200</v>
      </c>
      <c r="Z32" s="12" t="n">
        <v>213</v>
      </c>
      <c r="AA32" s="12" t="n">
        <v>183</v>
      </c>
      <c r="AB32" s="12" t="n">
        <v>168</v>
      </c>
      <c r="AC32" s="12" t="n">
        <v>229</v>
      </c>
      <c r="AD32" s="12" t="n">
        <v>235</v>
      </c>
      <c r="AE32" s="12" t="n">
        <v>195</v>
      </c>
      <c r="AF32" s="12" t="n">
        <v>176</v>
      </c>
    </row>
    <row r="33">
      <c r="A33" s="20" t="n"/>
      <c r="B33" s="13" t="inlineStr">
        <is>
          <t>Food security and agriculture</t>
        </is>
      </c>
      <c r="C33" s="14" t="n">
        <v>0.17</v>
      </c>
      <c r="D33" s="14" t="n">
        <v>0.16</v>
      </c>
      <c r="E33" s="14" t="n">
        <v>0.19</v>
      </c>
      <c r="F33" s="14" t="n">
        <v>0.18</v>
      </c>
      <c r="G33" s="14" t="n">
        <v>0.13</v>
      </c>
      <c r="H33" s="14" t="n">
        <v>0.11</v>
      </c>
      <c r="I33" s="14" t="n">
        <v>0.13</v>
      </c>
      <c r="J33" s="14" t="n">
        <v>0.21</v>
      </c>
      <c r="K33" s="14" t="n">
        <v>0.17</v>
      </c>
      <c r="L33" s="14" t="n">
        <v>0.21</v>
      </c>
      <c r="M33" s="14" t="n">
        <v>0.2</v>
      </c>
      <c r="N33" s="14" t="n">
        <v>0.15</v>
      </c>
      <c r="O33" s="14" t="n">
        <v>0.15</v>
      </c>
      <c r="P33" s="14" t="n">
        <v>0.21</v>
      </c>
      <c r="Q33" s="14" t="n">
        <v>0.17</v>
      </c>
      <c r="R33" s="14" t="n">
        <v>0.1</v>
      </c>
      <c r="S33" s="14" t="n">
        <v>0.08</v>
      </c>
      <c r="T33" s="14" t="n">
        <v>0.1</v>
      </c>
      <c r="U33" s="14" t="n">
        <v>0.17</v>
      </c>
      <c r="V33" s="14" t="n">
        <v>0.24</v>
      </c>
      <c r="W33" s="14" t="n">
        <v>0.14</v>
      </c>
      <c r="X33" s="14" t="n">
        <v>0.18</v>
      </c>
      <c r="Y33" s="14" t="n">
        <v>0.23</v>
      </c>
      <c r="Z33" s="14" t="n">
        <v>0.25</v>
      </c>
      <c r="AA33" s="14" t="n">
        <v>0.2</v>
      </c>
      <c r="AB33" s="14" t="n">
        <v>0.18</v>
      </c>
      <c r="AC33" s="14" t="n">
        <v>0.27</v>
      </c>
      <c r="AD33" s="14" t="n">
        <v>0.27</v>
      </c>
      <c r="AE33" s="14" t="n">
        <v>0.21</v>
      </c>
      <c r="AF33" s="14" t="n">
        <v>0.19</v>
      </c>
    </row>
    <row r="34">
      <c r="A34" s="20" t="n"/>
      <c r="B34" s="11" t="inlineStr">
        <is>
          <t>L'éducation et la recherche</t>
        </is>
      </c>
      <c r="C34" s="12" t="n">
        <v>3910</v>
      </c>
      <c r="D34" s="12" t="n">
        <v>159</v>
      </c>
      <c r="E34" s="12" t="n">
        <v>93</v>
      </c>
      <c r="F34" s="12" t="n">
        <v>146</v>
      </c>
      <c r="G34" s="12" t="n">
        <v>133</v>
      </c>
      <c r="H34" s="12" t="n">
        <v>163</v>
      </c>
      <c r="I34" s="12" t="n">
        <v>209</v>
      </c>
      <c r="J34" s="12" t="n">
        <v>46</v>
      </c>
      <c r="K34" s="12" t="n">
        <v>129</v>
      </c>
      <c r="L34" s="12" t="n">
        <v>156</v>
      </c>
      <c r="M34" s="12" t="n">
        <v>167</v>
      </c>
      <c r="N34" s="12" t="n">
        <v>201</v>
      </c>
      <c r="O34" s="12" t="n">
        <v>190</v>
      </c>
      <c r="P34" s="12" t="n">
        <v>102</v>
      </c>
      <c r="Q34" s="12" t="n">
        <v>136</v>
      </c>
      <c r="R34" s="12" t="n">
        <v>139</v>
      </c>
      <c r="S34" s="12" t="n">
        <v>119</v>
      </c>
      <c r="T34" s="12" t="n">
        <v>100</v>
      </c>
      <c r="U34" s="12" t="n">
        <v>94</v>
      </c>
      <c r="V34" s="12" t="n">
        <v>90</v>
      </c>
      <c r="W34" s="12" t="n">
        <v>81</v>
      </c>
      <c r="X34" s="12" t="n">
        <v>124</v>
      </c>
      <c r="Y34" s="12" t="n">
        <v>124</v>
      </c>
      <c r="Z34" s="12" t="n">
        <v>68</v>
      </c>
      <c r="AA34" s="12" t="n">
        <v>194</v>
      </c>
      <c r="AB34" s="12" t="n">
        <v>173</v>
      </c>
      <c r="AC34" s="12" t="n">
        <v>84</v>
      </c>
      <c r="AD34" s="12" t="n">
        <v>136</v>
      </c>
      <c r="AE34" s="12" t="n">
        <v>189</v>
      </c>
      <c r="AF34" s="12" t="n">
        <v>213</v>
      </c>
    </row>
    <row r="35">
      <c r="A35" s="20" t="n"/>
      <c r="B35" s="13" t="inlineStr">
        <is>
          <t>Education and research</t>
        </is>
      </c>
      <c r="C35" s="14" t="n">
        <v>0.16</v>
      </c>
      <c r="D35" s="14" t="n">
        <v>0.17</v>
      </c>
      <c r="E35" s="14" t="n">
        <v>0.1</v>
      </c>
      <c r="F35" s="14" t="n">
        <v>0.15</v>
      </c>
      <c r="G35" s="14" t="n">
        <v>0.14</v>
      </c>
      <c r="H35" s="14" t="n">
        <v>0.14</v>
      </c>
      <c r="I35" s="14" t="n">
        <v>0.15</v>
      </c>
      <c r="J35" s="14" t="n">
        <v>0.17</v>
      </c>
      <c r="K35" s="14" t="n">
        <v>0.14</v>
      </c>
      <c r="L35" s="14" t="n">
        <v>0.17</v>
      </c>
      <c r="M35" s="14" t="n">
        <v>0.18</v>
      </c>
      <c r="N35" s="14" t="n">
        <v>0.24</v>
      </c>
      <c r="O35" s="14" t="n">
        <v>0.21</v>
      </c>
      <c r="P35" s="14" t="n">
        <v>0.11</v>
      </c>
      <c r="Q35" s="14" t="n">
        <v>0.14</v>
      </c>
      <c r="R35" s="14" t="n">
        <v>0.32</v>
      </c>
      <c r="S35" s="14" t="n">
        <v>0.13</v>
      </c>
      <c r="T35" s="14" t="n">
        <v>0.1</v>
      </c>
      <c r="U35" s="14" t="n">
        <v>0.2</v>
      </c>
      <c r="V35" s="14" t="n">
        <v>0.09</v>
      </c>
      <c r="W35" s="14" t="n">
        <v>0.18</v>
      </c>
      <c r="X35" s="14" t="n">
        <v>0.13</v>
      </c>
      <c r="Y35" s="14" t="n">
        <v>0.13</v>
      </c>
      <c r="Z35" s="14" t="n">
        <v>0.07000000000000001</v>
      </c>
      <c r="AA35" s="14" t="n">
        <v>0.21</v>
      </c>
      <c r="AB35" s="14" t="n">
        <v>0.18</v>
      </c>
      <c r="AC35" s="14" t="n">
        <v>0.09</v>
      </c>
      <c r="AD35" s="14" t="n">
        <v>0.14</v>
      </c>
      <c r="AE35" s="14" t="n">
        <v>0.2</v>
      </c>
      <c r="AF35" s="14" t="n">
        <v>0.22</v>
      </c>
    </row>
    <row r="36">
      <c r="A36" s="20" t="n"/>
      <c r="B36" s="11" t="inlineStr">
        <is>
          <t>La démographie, la migration et le vieillissement de la population</t>
        </is>
      </c>
      <c r="C36" s="12" t="n">
        <v>3024</v>
      </c>
      <c r="D36" s="12" t="n">
        <v>83</v>
      </c>
      <c r="E36" s="12" t="n">
        <v>181</v>
      </c>
      <c r="F36" s="12" t="n">
        <v>89</v>
      </c>
      <c r="G36" s="12" t="n">
        <v>53</v>
      </c>
      <c r="H36" s="12" t="n">
        <v>132</v>
      </c>
      <c r="I36" s="12" t="n">
        <v>166</v>
      </c>
      <c r="J36" s="12" t="n">
        <v>34</v>
      </c>
      <c r="K36" s="12" t="n">
        <v>103</v>
      </c>
      <c r="L36" s="12" t="n">
        <v>92</v>
      </c>
      <c r="M36" s="12" t="n">
        <v>191</v>
      </c>
      <c r="N36" s="12" t="n">
        <v>130</v>
      </c>
      <c r="O36" s="12" t="n">
        <v>104</v>
      </c>
      <c r="P36" s="12" t="n">
        <v>227</v>
      </c>
      <c r="Q36" s="12" t="n">
        <v>120</v>
      </c>
      <c r="R36" s="12" t="n">
        <v>67</v>
      </c>
      <c r="S36" s="12" t="n">
        <v>157</v>
      </c>
      <c r="T36" s="12" t="n">
        <v>156</v>
      </c>
      <c r="U36" s="12" t="n">
        <v>42</v>
      </c>
      <c r="V36" s="12" t="n">
        <v>125</v>
      </c>
      <c r="W36" s="12" t="n">
        <v>56</v>
      </c>
      <c r="X36" s="12" t="n">
        <v>97</v>
      </c>
      <c r="Y36" s="12" t="n">
        <v>147</v>
      </c>
      <c r="Z36" s="12" t="n">
        <v>113</v>
      </c>
      <c r="AA36" s="12" t="n">
        <v>167</v>
      </c>
      <c r="AB36" s="12" t="n">
        <v>116</v>
      </c>
      <c r="AC36" s="12" t="n">
        <v>81</v>
      </c>
      <c r="AD36" s="12" t="n">
        <v>112</v>
      </c>
      <c r="AE36" s="12" t="n">
        <v>71</v>
      </c>
      <c r="AF36" s="12" t="n">
        <v>82</v>
      </c>
    </row>
    <row r="37">
      <c r="A37" s="20" t="n"/>
      <c r="B37" s="13" t="inlineStr">
        <is>
          <t>Demography, migration and population ageing</t>
        </is>
      </c>
      <c r="C37" s="14" t="n">
        <v>0.12</v>
      </c>
      <c r="D37" s="14" t="n">
        <v>0.09</v>
      </c>
      <c r="E37" s="14" t="n">
        <v>0.21</v>
      </c>
      <c r="F37" s="14" t="n">
        <v>0.09</v>
      </c>
      <c r="G37" s="14" t="n">
        <v>0.05</v>
      </c>
      <c r="H37" s="14" t="n">
        <v>0.12</v>
      </c>
      <c r="I37" s="14" t="n">
        <v>0.12</v>
      </c>
      <c r="J37" s="14" t="n">
        <v>0.12</v>
      </c>
      <c r="K37" s="14" t="n">
        <v>0.11</v>
      </c>
      <c r="L37" s="14" t="n">
        <v>0.1</v>
      </c>
      <c r="M37" s="14" t="n">
        <v>0.21</v>
      </c>
      <c r="N37" s="14" t="n">
        <v>0.14</v>
      </c>
      <c r="O37" s="14" t="n">
        <v>0.11</v>
      </c>
      <c r="P37" s="14" t="n">
        <v>0.25</v>
      </c>
      <c r="Q37" s="14" t="n">
        <v>0.12</v>
      </c>
      <c r="R37" s="14" t="n">
        <v>0.15</v>
      </c>
      <c r="S37" s="14" t="n">
        <v>0.17</v>
      </c>
      <c r="T37" s="14" t="n">
        <v>0.16</v>
      </c>
      <c r="U37" s="14" t="n">
        <v>0.09</v>
      </c>
      <c r="V37" s="14" t="n">
        <v>0.13</v>
      </c>
      <c r="W37" s="14" t="n">
        <v>0.12</v>
      </c>
      <c r="X37" s="14" t="n">
        <v>0.1</v>
      </c>
      <c r="Y37" s="14" t="n">
        <v>0.16</v>
      </c>
      <c r="Z37" s="14" t="n">
        <v>0.12</v>
      </c>
      <c r="AA37" s="14" t="n">
        <v>0.17</v>
      </c>
      <c r="AB37" s="14" t="n">
        <v>0.12</v>
      </c>
      <c r="AC37" s="14" t="n">
        <v>0.09</v>
      </c>
      <c r="AD37" s="14" t="n">
        <v>0.12</v>
      </c>
      <c r="AE37" s="14" t="n">
        <v>0.07000000000000001</v>
      </c>
      <c r="AF37" s="14" t="n">
        <v>0.08</v>
      </c>
    </row>
    <row r="38">
      <c r="A38" s="20" t="n"/>
      <c r="B38" s="11" t="inlineStr">
        <is>
          <t>La culture</t>
        </is>
      </c>
      <c r="C38" s="12" t="n">
        <v>1399</v>
      </c>
      <c r="D38" s="12" t="n">
        <v>60</v>
      </c>
      <c r="E38" s="12" t="n">
        <v>49</v>
      </c>
      <c r="F38" s="12" t="n">
        <v>45</v>
      </c>
      <c r="G38" s="12" t="n">
        <v>25</v>
      </c>
      <c r="H38" s="12" t="n">
        <v>37</v>
      </c>
      <c r="I38" s="12" t="n">
        <v>42</v>
      </c>
      <c r="J38" s="12" t="n">
        <v>5</v>
      </c>
      <c r="K38" s="12" t="n">
        <v>72</v>
      </c>
      <c r="L38" s="12" t="n">
        <v>45</v>
      </c>
      <c r="M38" s="12" t="n">
        <v>69</v>
      </c>
      <c r="N38" s="12" t="n">
        <v>86</v>
      </c>
      <c r="O38" s="12" t="n">
        <v>69</v>
      </c>
      <c r="P38" s="12" t="n">
        <v>44</v>
      </c>
      <c r="Q38" s="12" t="n">
        <v>67</v>
      </c>
      <c r="R38" s="12" t="n">
        <v>28</v>
      </c>
      <c r="S38" s="12" t="n">
        <v>66</v>
      </c>
      <c r="T38" s="12" t="n">
        <v>34</v>
      </c>
      <c r="U38" s="12" t="n">
        <v>21</v>
      </c>
      <c r="V38" s="12" t="n">
        <v>53</v>
      </c>
      <c r="W38" s="12" t="n">
        <v>44</v>
      </c>
      <c r="X38" s="12" t="n">
        <v>40</v>
      </c>
      <c r="Y38" s="12" t="n">
        <v>45</v>
      </c>
      <c r="Z38" s="12" t="n">
        <v>42</v>
      </c>
      <c r="AA38" s="12" t="n">
        <v>62</v>
      </c>
      <c r="AB38" s="12" t="n">
        <v>61</v>
      </c>
      <c r="AC38" s="12" t="n">
        <v>28</v>
      </c>
      <c r="AD38" s="12" t="n">
        <v>39</v>
      </c>
      <c r="AE38" s="12" t="n">
        <v>31</v>
      </c>
      <c r="AF38" s="12" t="n">
        <v>28</v>
      </c>
    </row>
    <row r="39">
      <c r="A39" s="20" t="n"/>
      <c r="B39" s="13" t="inlineStr">
        <is>
          <t>Culture</t>
        </is>
      </c>
      <c r="C39" s="14" t="n">
        <v>0.05</v>
      </c>
      <c r="D39" s="14" t="n">
        <v>0.06</v>
      </c>
      <c r="E39" s="14" t="n">
        <v>0.05</v>
      </c>
      <c r="F39" s="14" t="n">
        <v>0.05</v>
      </c>
      <c r="G39" s="14" t="n">
        <v>0.03</v>
      </c>
      <c r="H39" s="14" t="n">
        <v>0.03</v>
      </c>
      <c r="I39" s="14" t="n">
        <v>0.03</v>
      </c>
      <c r="J39" s="14" t="n">
        <v>0.02</v>
      </c>
      <c r="K39" s="14" t="n">
        <v>0.08</v>
      </c>
      <c r="L39" s="14" t="n">
        <v>0.05</v>
      </c>
      <c r="M39" s="14" t="n">
        <v>0.07000000000000001</v>
      </c>
      <c r="N39" s="14" t="n">
        <v>0.09</v>
      </c>
      <c r="O39" s="14" t="n">
        <v>0.07000000000000001</v>
      </c>
      <c r="P39" s="14" t="n">
        <v>0.04</v>
      </c>
      <c r="Q39" s="14" t="n">
        <v>0.07000000000000001</v>
      </c>
      <c r="R39" s="14" t="n">
        <v>0.06</v>
      </c>
      <c r="S39" s="14" t="n">
        <v>0.07000000000000001</v>
      </c>
      <c r="T39" s="14" t="n">
        <v>0.03</v>
      </c>
      <c r="U39" s="14" t="n">
        <v>0.04</v>
      </c>
      <c r="V39" s="14" t="n">
        <v>0.05</v>
      </c>
      <c r="W39" s="14" t="n">
        <v>0.09</v>
      </c>
      <c r="X39" s="14" t="n">
        <v>0.04</v>
      </c>
      <c r="Y39" s="14" t="n">
        <v>0.05</v>
      </c>
      <c r="Z39" s="14" t="n">
        <v>0.04</v>
      </c>
      <c r="AA39" s="14" t="n">
        <v>0.06</v>
      </c>
      <c r="AB39" s="14" t="n">
        <v>0.06</v>
      </c>
      <c r="AC39" s="14" t="n">
        <v>0.03</v>
      </c>
      <c r="AD39" s="14" t="n">
        <v>0.04</v>
      </c>
      <c r="AE39" s="14" t="n">
        <v>0.03</v>
      </c>
      <c r="AF39" s="14" t="n">
        <v>0.03</v>
      </c>
    </row>
    <row r="40">
      <c r="A40" s="20" t="n"/>
      <c r="B40" s="11" t="inlineStr">
        <is>
          <t>Autre (SPONTANÉ)</t>
        </is>
      </c>
      <c r="C40" s="12" t="n">
        <v>149</v>
      </c>
      <c r="D40" s="12" t="n">
        <v>0</v>
      </c>
      <c r="E40" s="12" t="n">
        <v>3</v>
      </c>
      <c r="F40" s="12" t="n">
        <v>0</v>
      </c>
      <c r="G40" s="12" t="n">
        <v>1</v>
      </c>
      <c r="H40" s="12" t="n">
        <v>14</v>
      </c>
      <c r="I40" s="12" t="n">
        <v>14</v>
      </c>
      <c r="J40" s="12" t="n">
        <v>0</v>
      </c>
      <c r="K40" s="12" t="n">
        <v>10</v>
      </c>
      <c r="L40" s="12" t="n">
        <v>4</v>
      </c>
      <c r="M40" s="12" t="n">
        <v>3</v>
      </c>
      <c r="N40" s="12" t="n">
        <v>6</v>
      </c>
      <c r="O40" s="12" t="n">
        <v>8</v>
      </c>
      <c r="P40" s="12" t="n">
        <v>0</v>
      </c>
      <c r="Q40" s="12" t="n">
        <v>6</v>
      </c>
      <c r="R40" s="12" t="n">
        <v>0</v>
      </c>
      <c r="S40" s="12" t="n">
        <v>1</v>
      </c>
      <c r="T40" s="12" t="n">
        <v>13</v>
      </c>
      <c r="U40" s="12" t="n">
        <v>1</v>
      </c>
      <c r="V40" s="12" t="n">
        <v>2</v>
      </c>
      <c r="W40" s="12" t="n">
        <v>2</v>
      </c>
      <c r="X40" s="12" t="n">
        <v>3</v>
      </c>
      <c r="Y40" s="12" t="n">
        <v>18</v>
      </c>
      <c r="Z40" s="12" t="n">
        <v>2</v>
      </c>
      <c r="AA40" s="12" t="n">
        <v>1</v>
      </c>
      <c r="AB40" s="12" t="n">
        <v>4</v>
      </c>
      <c r="AC40" s="12" t="n">
        <v>2</v>
      </c>
      <c r="AD40" s="12" t="n">
        <v>4</v>
      </c>
      <c r="AE40" s="12" t="n">
        <v>1</v>
      </c>
      <c r="AF40" s="12" t="n">
        <v>1</v>
      </c>
    </row>
    <row r="41">
      <c r="A41" s="20" t="n"/>
      <c r="B41" s="13" t="inlineStr">
        <is>
          <t>Other (SPONTANEOUS)</t>
        </is>
      </c>
      <c r="C41" s="14" t="n">
        <v>0.01</v>
      </c>
      <c r="D41" s="15" t="inlineStr">
        <is>
          <t>-</t>
        </is>
      </c>
      <c r="E41" s="15" t="inlineStr">
        <is>
          <t>-</t>
        </is>
      </c>
      <c r="F41" s="15" t="inlineStr">
        <is>
          <t>-</t>
        </is>
      </c>
      <c r="G41" s="15" t="inlineStr">
        <is>
          <t>-</t>
        </is>
      </c>
      <c r="H41" s="14" t="n">
        <v>0.01</v>
      </c>
      <c r="I41" s="14" t="n">
        <v>0.01</v>
      </c>
      <c r="J41" s="15" t="inlineStr">
        <is>
          <t>-</t>
        </is>
      </c>
      <c r="K41" s="14" t="n">
        <v>0.01</v>
      </c>
      <c r="L41" s="15" t="inlineStr">
        <is>
          <t>-</t>
        </is>
      </c>
      <c r="M41" s="15" t="inlineStr">
        <is>
          <t>-</t>
        </is>
      </c>
      <c r="N41" s="14" t="n">
        <v>0.01</v>
      </c>
      <c r="O41" s="14" t="n">
        <v>0.01</v>
      </c>
      <c r="P41" s="15" t="inlineStr">
        <is>
          <t>-</t>
        </is>
      </c>
      <c r="Q41" s="14" t="n">
        <v>0.01</v>
      </c>
      <c r="R41" s="15" t="inlineStr">
        <is>
          <t>-</t>
        </is>
      </c>
      <c r="S41" s="15" t="inlineStr">
        <is>
          <t>-</t>
        </is>
      </c>
      <c r="T41" s="14" t="n">
        <v>0.01</v>
      </c>
      <c r="U41" s="15" t="inlineStr">
        <is>
          <t>-</t>
        </is>
      </c>
      <c r="V41" s="15" t="inlineStr">
        <is>
          <t>-</t>
        </is>
      </c>
      <c r="W41" s="15" t="inlineStr">
        <is>
          <t>-</t>
        </is>
      </c>
      <c r="X41" s="15" t="inlineStr">
        <is>
          <t>-</t>
        </is>
      </c>
      <c r="Y41" s="14" t="n">
        <v>0.02</v>
      </c>
      <c r="Z41" s="15" t="inlineStr">
        <is>
          <t>-</t>
        </is>
      </c>
      <c r="AA41" s="15" t="inlineStr">
        <is>
          <t>-</t>
        </is>
      </c>
      <c r="AB41" s="15" t="inlineStr">
        <is>
          <t>-</t>
        </is>
      </c>
      <c r="AC41" s="15" t="inlineStr">
        <is>
          <t>-</t>
        </is>
      </c>
      <c r="AD41" s="15" t="inlineStr">
        <is>
          <t>-</t>
        </is>
      </c>
      <c r="AE41" s="15" t="inlineStr">
        <is>
          <t>-</t>
        </is>
      </c>
      <c r="AF41" s="15" t="inlineStr">
        <is>
          <t>-</t>
        </is>
      </c>
    </row>
    <row r="42">
      <c r="A42" s="20" t="n"/>
      <c r="B42" s="11" t="inlineStr">
        <is>
          <t>Aucun (SPONTANÉ)</t>
        </is>
      </c>
      <c r="C42" s="12" t="n">
        <v>104</v>
      </c>
      <c r="D42" s="12" t="n">
        <v>2</v>
      </c>
      <c r="E42" s="12" t="n">
        <v>2</v>
      </c>
      <c r="F42" s="12" t="n">
        <v>5</v>
      </c>
      <c r="G42" s="12" t="n">
        <v>11</v>
      </c>
      <c r="H42" s="12" t="n">
        <v>1</v>
      </c>
      <c r="I42" s="12" t="n">
        <v>2</v>
      </c>
      <c r="J42" s="12" t="n">
        <v>1</v>
      </c>
      <c r="K42" s="12" t="n">
        <v>2</v>
      </c>
      <c r="L42" s="12" t="n">
        <v>4</v>
      </c>
      <c r="M42" s="12" t="n">
        <v>0</v>
      </c>
      <c r="N42" s="12" t="n">
        <v>12</v>
      </c>
      <c r="O42" s="12" t="n">
        <v>6</v>
      </c>
      <c r="P42" s="12" t="n">
        <v>0</v>
      </c>
      <c r="Q42" s="12" t="n">
        <v>3</v>
      </c>
      <c r="R42" s="12" t="n">
        <v>3</v>
      </c>
      <c r="S42" s="12" t="n">
        <v>0</v>
      </c>
      <c r="T42" s="12" t="n">
        <v>2</v>
      </c>
      <c r="U42" s="12" t="n">
        <v>2</v>
      </c>
      <c r="V42" s="12" t="n">
        <v>0</v>
      </c>
      <c r="W42" s="12" t="n">
        <v>5</v>
      </c>
      <c r="X42" s="12" t="n">
        <v>3</v>
      </c>
      <c r="Y42" s="12" t="n">
        <v>5</v>
      </c>
      <c r="Z42" s="12" t="n">
        <v>0</v>
      </c>
      <c r="AA42" s="12" t="n">
        <v>1</v>
      </c>
      <c r="AB42" s="12" t="n">
        <v>7</v>
      </c>
      <c r="AC42" s="12" t="n">
        <v>4</v>
      </c>
      <c r="AD42" s="12" t="n">
        <v>0</v>
      </c>
      <c r="AE42" s="12" t="n">
        <v>4</v>
      </c>
      <c r="AF42" s="12" t="n">
        <v>6</v>
      </c>
    </row>
    <row r="43">
      <c r="A43" s="20" t="n"/>
      <c r="B43" s="13" t="inlineStr">
        <is>
          <t>None (SPONTANEOUS)</t>
        </is>
      </c>
      <c r="C43" s="15" t="inlineStr">
        <is>
          <t>-</t>
        </is>
      </c>
      <c r="D43" s="15" t="inlineStr">
        <is>
          <t>-</t>
        </is>
      </c>
      <c r="E43" s="15" t="inlineStr">
        <is>
          <t>-</t>
        </is>
      </c>
      <c r="F43" s="15" t="inlineStr">
        <is>
          <t>-</t>
        </is>
      </c>
      <c r="G43" s="14" t="n">
        <v>0.01</v>
      </c>
      <c r="H43" s="15" t="inlineStr">
        <is>
          <t>-</t>
        </is>
      </c>
      <c r="I43" s="15" t="inlineStr">
        <is>
          <t>-</t>
        </is>
      </c>
      <c r="J43" s="15" t="inlineStr">
        <is>
          <t>-</t>
        </is>
      </c>
      <c r="K43" s="15" t="inlineStr">
        <is>
          <t>-</t>
        </is>
      </c>
      <c r="L43" s="15" t="inlineStr">
        <is>
          <t>-</t>
        </is>
      </c>
      <c r="M43" s="15" t="inlineStr">
        <is>
          <t>-</t>
        </is>
      </c>
      <c r="N43" s="14" t="n">
        <v>0.01</v>
      </c>
      <c r="O43" s="14" t="n">
        <v>0.01</v>
      </c>
      <c r="P43" s="15" t="inlineStr">
        <is>
          <t>-</t>
        </is>
      </c>
      <c r="Q43" s="15" t="inlineStr">
        <is>
          <t>-</t>
        </is>
      </c>
      <c r="R43" s="14" t="n">
        <v>0.01</v>
      </c>
      <c r="S43" s="15" t="inlineStr">
        <is>
          <t>-</t>
        </is>
      </c>
      <c r="T43" s="15" t="inlineStr">
        <is>
          <t>-</t>
        </is>
      </c>
      <c r="U43" s="15" t="inlineStr">
        <is>
          <t>-</t>
        </is>
      </c>
      <c r="V43" s="15" t="inlineStr">
        <is>
          <t>-</t>
        </is>
      </c>
      <c r="W43" s="14" t="n">
        <v>0.01</v>
      </c>
      <c r="X43" s="15" t="inlineStr">
        <is>
          <t>-</t>
        </is>
      </c>
      <c r="Y43" s="15" t="inlineStr">
        <is>
          <t>-</t>
        </is>
      </c>
      <c r="Z43" s="15" t="inlineStr">
        <is>
          <t>-</t>
        </is>
      </c>
      <c r="AA43" s="15" t="inlineStr">
        <is>
          <t>-</t>
        </is>
      </c>
      <c r="AB43" s="14" t="n">
        <v>0.01</v>
      </c>
      <c r="AC43" s="15" t="inlineStr">
        <is>
          <t>-</t>
        </is>
      </c>
      <c r="AD43" s="15" t="inlineStr">
        <is>
          <t>-</t>
        </is>
      </c>
      <c r="AE43" s="15" t="inlineStr">
        <is>
          <t>-</t>
        </is>
      </c>
      <c r="AF43" s="14" t="n">
        <v>0.01</v>
      </c>
    </row>
    <row r="44">
      <c r="A44" s="20" t="n"/>
      <c r="B44" s="11" t="inlineStr">
        <is>
          <t>Ne sait pas</t>
        </is>
      </c>
      <c r="C44" s="12" t="n">
        <v>299</v>
      </c>
      <c r="D44" s="12" t="n">
        <v>1</v>
      </c>
      <c r="E44" s="12" t="n">
        <v>5</v>
      </c>
      <c r="F44" s="12" t="n">
        <v>10</v>
      </c>
      <c r="G44" s="12" t="n">
        <v>8</v>
      </c>
      <c r="H44" s="12" t="n">
        <v>8</v>
      </c>
      <c r="I44" s="12" t="n">
        <v>9</v>
      </c>
      <c r="J44" s="12" t="n">
        <v>0</v>
      </c>
      <c r="K44" s="12" t="n">
        <v>6</v>
      </c>
      <c r="L44" s="12" t="n">
        <v>7</v>
      </c>
      <c r="M44" s="12" t="n">
        <v>3</v>
      </c>
      <c r="N44" s="12" t="n">
        <v>30</v>
      </c>
      <c r="O44" s="12" t="n">
        <v>26</v>
      </c>
      <c r="P44" s="12" t="n">
        <v>3</v>
      </c>
      <c r="Q44" s="12" t="n">
        <v>9</v>
      </c>
      <c r="R44" s="12" t="n">
        <v>11</v>
      </c>
      <c r="S44" s="12" t="n">
        <v>24</v>
      </c>
      <c r="T44" s="12" t="n">
        <v>7</v>
      </c>
      <c r="U44" s="12" t="n">
        <v>1</v>
      </c>
      <c r="V44" s="12" t="n">
        <v>0</v>
      </c>
      <c r="W44" s="12" t="n">
        <v>9</v>
      </c>
      <c r="X44" s="12" t="n">
        <v>1</v>
      </c>
      <c r="Y44" s="12" t="n">
        <v>3</v>
      </c>
      <c r="Z44" s="12" t="n">
        <v>7</v>
      </c>
      <c r="AA44" s="12" t="n">
        <v>7</v>
      </c>
      <c r="AB44" s="12" t="n">
        <v>5</v>
      </c>
      <c r="AC44" s="12" t="n">
        <v>1</v>
      </c>
      <c r="AD44" s="12" t="n">
        <v>1</v>
      </c>
      <c r="AE44" s="12" t="n">
        <v>7</v>
      </c>
      <c r="AF44" s="12" t="n">
        <v>1</v>
      </c>
    </row>
    <row r="45">
      <c r="A45" s="23" t="n"/>
      <c r="B45" s="13" t="inlineStr">
        <is>
          <t>Don't know</t>
        </is>
      </c>
      <c r="C45" s="14" t="n">
        <v>0.01</v>
      </c>
      <c r="D45" s="15" t="inlineStr">
        <is>
          <t>-</t>
        </is>
      </c>
      <c r="E45" s="14" t="n">
        <v>0.01</v>
      </c>
      <c r="F45" s="14" t="n">
        <v>0.01</v>
      </c>
      <c r="G45" s="14" t="n">
        <v>0.01</v>
      </c>
      <c r="H45" s="14" t="n">
        <v>0.01</v>
      </c>
      <c r="I45" s="14" t="n">
        <v>0.01</v>
      </c>
      <c r="J45" s="15" t="inlineStr">
        <is>
          <t>-</t>
        </is>
      </c>
      <c r="K45" s="14" t="n">
        <v>0.01</v>
      </c>
      <c r="L45" s="14" t="n">
        <v>0.01</v>
      </c>
      <c r="M45" s="15" t="inlineStr">
        <is>
          <t>-</t>
        </is>
      </c>
      <c r="N45" s="14" t="n">
        <v>0.03</v>
      </c>
      <c r="O45" s="14" t="n">
        <v>0.03</v>
      </c>
      <c r="P45" s="15" t="inlineStr">
        <is>
          <t>-</t>
        </is>
      </c>
      <c r="Q45" s="14" t="n">
        <v>0.01</v>
      </c>
      <c r="R45" s="14" t="n">
        <v>0.02</v>
      </c>
      <c r="S45" s="14" t="n">
        <v>0.02</v>
      </c>
      <c r="T45" s="14" t="n">
        <v>0.01</v>
      </c>
      <c r="U45" s="15" t="inlineStr">
        <is>
          <t>-</t>
        </is>
      </c>
      <c r="V45" s="15" t="inlineStr">
        <is>
          <t>-</t>
        </is>
      </c>
      <c r="W45" s="14" t="n">
        <v>0.02</v>
      </c>
      <c r="X45" s="15" t="inlineStr">
        <is>
          <t>-</t>
        </is>
      </c>
      <c r="Y45" s="15" t="inlineStr">
        <is>
          <t>-</t>
        </is>
      </c>
      <c r="Z45" s="14" t="n">
        <v>0.01</v>
      </c>
      <c r="AA45" s="14" t="n">
        <v>0.01</v>
      </c>
      <c r="AB45" s="15" t="inlineStr">
        <is>
          <t>-</t>
        </is>
      </c>
      <c r="AC45" s="15" t="inlineStr">
        <is>
          <t>-</t>
        </is>
      </c>
      <c r="AD45" s="15" t="inlineStr">
        <is>
          <t>-</t>
        </is>
      </c>
      <c r="AE45" s="14" t="n">
        <v>0.01</v>
      </c>
      <c r="AF45" s="15" t="inlineStr">
        <is>
          <t>-</t>
        </is>
      </c>
    </row>
  </sheetData>
  <mergeCells count="9">
    <mergeCell ref="B4:F4"/>
    <mergeCell ref="H3:L3"/>
    <mergeCell ref="C8:AF8"/>
    <mergeCell ref="A10:A45"/>
    <mergeCell ref="B3:F3"/>
    <mergeCell ref="B5:F5"/>
    <mergeCell ref="H5:L5"/>
    <mergeCell ref="B10:B11"/>
    <mergeCell ref="H4:L4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F45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36" customHeight="1" s="18">
      <c r="B3" s="21" t="inlineStr">
        <is>
          <t>QA11ab. En pensant à l’avenir, à quels aspects parmi les suivants l’UE devrait-elle accorder la priorité pour renforcer sa position dans le monde ? En premier ? Et ensuite ? (3 RÉPONSES MAX.)</t>
        </is>
      </c>
      <c r="H3" s="21" t="inlineStr">
        <is>
          <t>QA11ab. Thinking about the future, which of the following aspects should the EU focus on in order to strengthen its position in the world? Firstly? And then? (MAX. 3 ANSWERS)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HYPERLINK("#Content!A31","&lt;&lt;Back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L’indépendance énergétique, les ressources et les infrastructures</t>
        </is>
      </c>
      <c r="C12" s="12" t="n">
        <v>9350</v>
      </c>
      <c r="D12" s="12" t="n">
        <v>396</v>
      </c>
      <c r="E12" s="12" t="n">
        <v>368</v>
      </c>
      <c r="F12" s="12" t="n">
        <v>413</v>
      </c>
      <c r="G12" s="12" t="n">
        <v>408</v>
      </c>
      <c r="H12" s="12" t="n">
        <v>504</v>
      </c>
      <c r="I12" s="12" t="n">
        <v>613</v>
      </c>
      <c r="J12" s="12" t="n">
        <v>109</v>
      </c>
      <c r="K12" s="12" t="n">
        <v>353</v>
      </c>
      <c r="L12" s="12" t="n">
        <v>341</v>
      </c>
      <c r="M12" s="12" t="n">
        <v>326</v>
      </c>
      <c r="N12" s="12" t="n">
        <v>248</v>
      </c>
      <c r="O12" s="12" t="n">
        <v>295</v>
      </c>
      <c r="P12" s="12" t="n">
        <v>360</v>
      </c>
      <c r="Q12" s="12" t="n">
        <v>451</v>
      </c>
      <c r="R12" s="12" t="n">
        <v>150</v>
      </c>
      <c r="S12" s="12" t="n">
        <v>329</v>
      </c>
      <c r="T12" s="12" t="n">
        <v>326</v>
      </c>
      <c r="U12" s="12" t="n">
        <v>194</v>
      </c>
      <c r="V12" s="12" t="n">
        <v>372</v>
      </c>
      <c r="W12" s="12" t="n">
        <v>129</v>
      </c>
      <c r="X12" s="12" t="n">
        <v>427</v>
      </c>
      <c r="Y12" s="12" t="n">
        <v>335</v>
      </c>
      <c r="Z12" s="12" t="n">
        <v>359</v>
      </c>
      <c r="AA12" s="12" t="n">
        <v>338</v>
      </c>
      <c r="AB12" s="12" t="n">
        <v>272</v>
      </c>
      <c r="AC12" s="12" t="n">
        <v>406</v>
      </c>
      <c r="AD12" s="12" t="n">
        <v>405</v>
      </c>
      <c r="AE12" s="12" t="n">
        <v>357</v>
      </c>
      <c r="AF12" s="12" t="n">
        <v>375</v>
      </c>
    </row>
    <row r="13">
      <c r="A13" s="20" t="n"/>
      <c r="B13" s="13" t="inlineStr">
        <is>
          <t>Energy independence, resources and infrastructures</t>
        </is>
      </c>
      <c r="C13" s="14" t="n">
        <v>0.35</v>
      </c>
      <c r="D13" s="14" t="n">
        <v>0.39</v>
      </c>
      <c r="E13" s="14" t="n">
        <v>0.36</v>
      </c>
      <c r="F13" s="14" t="n">
        <v>0.39</v>
      </c>
      <c r="G13" s="14" t="n">
        <v>0.4</v>
      </c>
      <c r="H13" s="14" t="n">
        <v>0.41</v>
      </c>
      <c r="I13" s="14" t="n">
        <v>0.41</v>
      </c>
      <c r="J13" s="14" t="n">
        <v>0.37</v>
      </c>
      <c r="K13" s="14" t="n">
        <v>0.35</v>
      </c>
      <c r="L13" s="14" t="n">
        <v>0.34</v>
      </c>
      <c r="M13" s="14" t="n">
        <v>0.32</v>
      </c>
      <c r="N13" s="14" t="n">
        <v>0.25</v>
      </c>
      <c r="O13" s="14" t="n">
        <v>0.29</v>
      </c>
      <c r="P13" s="14" t="n">
        <v>0.36</v>
      </c>
      <c r="Q13" s="14" t="n">
        <v>0.44</v>
      </c>
      <c r="R13" s="14" t="n">
        <v>0.3</v>
      </c>
      <c r="S13" s="14" t="n">
        <v>0.33</v>
      </c>
      <c r="T13" s="14" t="n">
        <v>0.32</v>
      </c>
      <c r="U13" s="14" t="n">
        <v>0.38</v>
      </c>
      <c r="V13" s="14" t="n">
        <v>0.36</v>
      </c>
      <c r="W13" s="14" t="n">
        <v>0.25</v>
      </c>
      <c r="X13" s="14" t="n">
        <v>0.42</v>
      </c>
      <c r="Y13" s="14" t="n">
        <v>0.33</v>
      </c>
      <c r="Z13" s="14" t="n">
        <v>0.35</v>
      </c>
      <c r="AA13" s="14" t="n">
        <v>0.33</v>
      </c>
      <c r="AB13" s="14" t="n">
        <v>0.26</v>
      </c>
      <c r="AC13" s="14" t="n">
        <v>0.4</v>
      </c>
      <c r="AD13" s="14" t="n">
        <v>0.4</v>
      </c>
      <c r="AE13" s="14" t="n">
        <v>0.35</v>
      </c>
      <c r="AF13" s="14" t="n">
        <v>0.36</v>
      </c>
    </row>
    <row r="14">
      <c r="A14" s="20" t="n"/>
      <c r="B14" s="11" t="inlineStr">
        <is>
          <t>La défense et la sécurité</t>
        </is>
      </c>
      <c r="C14" s="12" t="n">
        <v>10284</v>
      </c>
      <c r="D14" s="12" t="n">
        <v>385</v>
      </c>
      <c r="E14" s="12" t="n">
        <v>293</v>
      </c>
      <c r="F14" s="12" t="n">
        <v>416</v>
      </c>
      <c r="G14" s="12" t="n">
        <v>513</v>
      </c>
      <c r="H14" s="12" t="n">
        <v>456</v>
      </c>
      <c r="I14" s="12" t="n">
        <v>575</v>
      </c>
      <c r="J14" s="12" t="n">
        <v>118</v>
      </c>
      <c r="K14" s="12" t="n">
        <v>383</v>
      </c>
      <c r="L14" s="12" t="n">
        <v>343</v>
      </c>
      <c r="M14" s="12" t="n">
        <v>368</v>
      </c>
      <c r="N14" s="12" t="n">
        <v>313</v>
      </c>
      <c r="O14" s="12" t="n">
        <v>446</v>
      </c>
      <c r="P14" s="12" t="n">
        <v>296</v>
      </c>
      <c r="Q14" s="12" t="n">
        <v>363</v>
      </c>
      <c r="R14" s="12" t="n">
        <v>269</v>
      </c>
      <c r="S14" s="12" t="n">
        <v>478</v>
      </c>
      <c r="T14" s="12" t="n">
        <v>548</v>
      </c>
      <c r="U14" s="12" t="n">
        <v>210</v>
      </c>
      <c r="V14" s="12" t="n">
        <v>350</v>
      </c>
      <c r="W14" s="12" t="n">
        <v>182</v>
      </c>
      <c r="X14" s="12" t="n">
        <v>557</v>
      </c>
      <c r="Y14" s="12" t="n">
        <v>324</v>
      </c>
      <c r="Z14" s="12" t="n">
        <v>494</v>
      </c>
      <c r="AA14" s="12" t="n">
        <v>389</v>
      </c>
      <c r="AB14" s="12" t="n">
        <v>372</v>
      </c>
      <c r="AC14" s="12" t="n">
        <v>297</v>
      </c>
      <c r="AD14" s="12" t="n">
        <v>283</v>
      </c>
      <c r="AE14" s="12" t="n">
        <v>459</v>
      </c>
      <c r="AF14" s="12" t="n">
        <v>361</v>
      </c>
    </row>
    <row r="15">
      <c r="A15" s="20" t="n"/>
      <c r="B15" s="13" t="inlineStr">
        <is>
          <t>Defence and security</t>
        </is>
      </c>
      <c r="C15" s="14" t="n">
        <v>0.39</v>
      </c>
      <c r="D15" s="14" t="n">
        <v>0.38</v>
      </c>
      <c r="E15" s="14" t="n">
        <v>0.29</v>
      </c>
      <c r="F15" s="14" t="n">
        <v>0.4</v>
      </c>
      <c r="G15" s="14" t="n">
        <v>0.51</v>
      </c>
      <c r="H15" s="14" t="n">
        <v>0.38</v>
      </c>
      <c r="I15" s="14" t="n">
        <v>0.38</v>
      </c>
      <c r="J15" s="14" t="n">
        <v>0.4</v>
      </c>
      <c r="K15" s="14" t="n">
        <v>0.38</v>
      </c>
      <c r="L15" s="14" t="n">
        <v>0.34</v>
      </c>
      <c r="M15" s="14" t="n">
        <v>0.37</v>
      </c>
      <c r="N15" s="14" t="n">
        <v>0.31</v>
      </c>
      <c r="O15" s="14" t="n">
        <v>0.44</v>
      </c>
      <c r="P15" s="14" t="n">
        <v>0.29</v>
      </c>
      <c r="Q15" s="14" t="n">
        <v>0.35</v>
      </c>
      <c r="R15" s="14" t="n">
        <v>0.53</v>
      </c>
      <c r="S15" s="14" t="n">
        <v>0.48</v>
      </c>
      <c r="T15" s="14" t="n">
        <v>0.54</v>
      </c>
      <c r="U15" s="14" t="n">
        <v>0.41</v>
      </c>
      <c r="V15" s="14" t="n">
        <v>0.34</v>
      </c>
      <c r="W15" s="14" t="n">
        <v>0.36</v>
      </c>
      <c r="X15" s="14" t="n">
        <v>0.54</v>
      </c>
      <c r="Y15" s="14" t="n">
        <v>0.32</v>
      </c>
      <c r="Z15" s="14" t="n">
        <v>0.48</v>
      </c>
      <c r="AA15" s="14" t="n">
        <v>0.38</v>
      </c>
      <c r="AB15" s="14" t="n">
        <v>0.36</v>
      </c>
      <c r="AC15" s="14" t="n">
        <v>0.3</v>
      </c>
      <c r="AD15" s="14" t="n">
        <v>0.28</v>
      </c>
      <c r="AE15" s="14" t="n">
        <v>0.45</v>
      </c>
      <c r="AF15" s="14" t="n">
        <v>0.35</v>
      </c>
    </row>
    <row r="16">
      <c r="A16" s="20" t="n"/>
      <c r="B16" s="11" t="inlineStr">
        <is>
          <t>Les relations internationales et la diplomatie</t>
        </is>
      </c>
      <c r="C16" s="12" t="n">
        <v>4618</v>
      </c>
      <c r="D16" s="12" t="n">
        <v>161</v>
      </c>
      <c r="E16" s="12" t="n">
        <v>219</v>
      </c>
      <c r="F16" s="12" t="n">
        <v>213</v>
      </c>
      <c r="G16" s="12" t="n">
        <v>192</v>
      </c>
      <c r="H16" s="12" t="n">
        <v>223</v>
      </c>
      <c r="I16" s="12" t="n">
        <v>259</v>
      </c>
      <c r="J16" s="12" t="n">
        <v>36</v>
      </c>
      <c r="K16" s="12" t="n">
        <v>246</v>
      </c>
      <c r="L16" s="12" t="n">
        <v>124</v>
      </c>
      <c r="M16" s="12" t="n">
        <v>230</v>
      </c>
      <c r="N16" s="12" t="n">
        <v>141</v>
      </c>
      <c r="O16" s="12" t="n">
        <v>159</v>
      </c>
      <c r="P16" s="12" t="n">
        <v>151</v>
      </c>
      <c r="Q16" s="12" t="n">
        <v>237</v>
      </c>
      <c r="R16" s="12" t="n">
        <v>80</v>
      </c>
      <c r="S16" s="12" t="n">
        <v>211</v>
      </c>
      <c r="T16" s="12" t="n">
        <v>273</v>
      </c>
      <c r="U16" s="12" t="n">
        <v>136</v>
      </c>
      <c r="V16" s="12" t="n">
        <v>179</v>
      </c>
      <c r="W16" s="12" t="n">
        <v>85</v>
      </c>
      <c r="X16" s="12" t="n">
        <v>150</v>
      </c>
      <c r="Y16" s="12" t="n">
        <v>210</v>
      </c>
      <c r="Z16" s="12" t="n">
        <v>160</v>
      </c>
      <c r="AA16" s="12" t="n">
        <v>59</v>
      </c>
      <c r="AB16" s="12" t="n">
        <v>198</v>
      </c>
      <c r="AC16" s="12" t="n">
        <v>201</v>
      </c>
      <c r="AD16" s="12" t="n">
        <v>204</v>
      </c>
      <c r="AE16" s="12" t="n">
        <v>193</v>
      </c>
      <c r="AF16" s="12" t="n">
        <v>201</v>
      </c>
    </row>
    <row r="17">
      <c r="A17" s="20" t="n"/>
      <c r="B17" s="13" t="inlineStr">
        <is>
          <t>Foreign relations and diplomacy</t>
        </is>
      </c>
      <c r="C17" s="14" t="n">
        <v>0.17</v>
      </c>
      <c r="D17" s="14" t="n">
        <v>0.16</v>
      </c>
      <c r="E17" s="14" t="n">
        <v>0.22</v>
      </c>
      <c r="F17" s="14" t="n">
        <v>0.2</v>
      </c>
      <c r="G17" s="14" t="n">
        <v>0.19</v>
      </c>
      <c r="H17" s="14" t="n">
        <v>0.18</v>
      </c>
      <c r="I17" s="14" t="n">
        <v>0.17</v>
      </c>
      <c r="J17" s="14" t="n">
        <v>0.12</v>
      </c>
      <c r="K17" s="14" t="n">
        <v>0.24</v>
      </c>
      <c r="L17" s="14" t="n">
        <v>0.12</v>
      </c>
      <c r="M17" s="14" t="n">
        <v>0.23</v>
      </c>
      <c r="N17" s="14" t="n">
        <v>0.14</v>
      </c>
      <c r="O17" s="14" t="n">
        <v>0.16</v>
      </c>
      <c r="P17" s="14" t="n">
        <v>0.15</v>
      </c>
      <c r="Q17" s="14" t="n">
        <v>0.23</v>
      </c>
      <c r="R17" s="14" t="n">
        <v>0.16</v>
      </c>
      <c r="S17" s="14" t="n">
        <v>0.21</v>
      </c>
      <c r="T17" s="14" t="n">
        <v>0.27</v>
      </c>
      <c r="U17" s="14" t="n">
        <v>0.27</v>
      </c>
      <c r="V17" s="14" t="n">
        <v>0.18</v>
      </c>
      <c r="W17" s="14" t="n">
        <v>0.17</v>
      </c>
      <c r="X17" s="14" t="n">
        <v>0.15</v>
      </c>
      <c r="Y17" s="14" t="n">
        <v>0.21</v>
      </c>
      <c r="Z17" s="14" t="n">
        <v>0.16</v>
      </c>
      <c r="AA17" s="14" t="n">
        <v>0.06</v>
      </c>
      <c r="AB17" s="14" t="n">
        <v>0.19</v>
      </c>
      <c r="AC17" s="14" t="n">
        <v>0.2</v>
      </c>
      <c r="AD17" s="14" t="n">
        <v>0.2</v>
      </c>
      <c r="AE17" s="14" t="n">
        <v>0.19</v>
      </c>
      <c r="AF17" s="14" t="n">
        <v>0.19</v>
      </c>
    </row>
    <row r="18">
      <c r="A18" s="20" t="n"/>
      <c r="B18" s="11" t="inlineStr">
        <is>
          <t>L’élargissement de l’UE et les relations avec les pays voisins</t>
        </is>
      </c>
      <c r="C18" s="12" t="n">
        <v>2126</v>
      </c>
      <c r="D18" s="12" t="n">
        <v>75</v>
      </c>
      <c r="E18" s="12" t="n">
        <v>70</v>
      </c>
      <c r="F18" s="12" t="n">
        <v>86</v>
      </c>
      <c r="G18" s="12" t="n">
        <v>83</v>
      </c>
      <c r="H18" s="12" t="n">
        <v>113</v>
      </c>
      <c r="I18" s="12" t="n">
        <v>135</v>
      </c>
      <c r="J18" s="12" t="n">
        <v>21</v>
      </c>
      <c r="K18" s="12" t="n">
        <v>104</v>
      </c>
      <c r="L18" s="12" t="n">
        <v>62</v>
      </c>
      <c r="M18" s="12" t="n">
        <v>63</v>
      </c>
      <c r="N18" s="12" t="n">
        <v>91</v>
      </c>
      <c r="O18" s="12" t="n">
        <v>53</v>
      </c>
      <c r="P18" s="12" t="n">
        <v>93</v>
      </c>
      <c r="Q18" s="12" t="n">
        <v>106</v>
      </c>
      <c r="R18" s="12" t="n">
        <v>29</v>
      </c>
      <c r="S18" s="12" t="n">
        <v>107</v>
      </c>
      <c r="T18" s="12" t="n">
        <v>200</v>
      </c>
      <c r="U18" s="12" t="n">
        <v>33</v>
      </c>
      <c r="V18" s="12" t="n">
        <v>105</v>
      </c>
      <c r="W18" s="12" t="n">
        <v>35</v>
      </c>
      <c r="X18" s="12" t="n">
        <v>29</v>
      </c>
      <c r="Y18" s="12" t="n">
        <v>89</v>
      </c>
      <c r="Z18" s="12" t="n">
        <v>91</v>
      </c>
      <c r="AA18" s="12" t="n">
        <v>46</v>
      </c>
      <c r="AB18" s="12" t="n">
        <v>128</v>
      </c>
      <c r="AC18" s="12" t="n">
        <v>69</v>
      </c>
      <c r="AD18" s="12" t="n">
        <v>53</v>
      </c>
      <c r="AE18" s="12" t="n">
        <v>41</v>
      </c>
      <c r="AF18" s="12" t="n">
        <v>39</v>
      </c>
    </row>
    <row r="19">
      <c r="A19" s="20" t="n"/>
      <c r="B19" s="13" t="inlineStr">
        <is>
          <t>EU enlargement and neighbourhood relations</t>
        </is>
      </c>
      <c r="C19" s="14" t="n">
        <v>0.08</v>
      </c>
      <c r="D19" s="14" t="n">
        <v>0.07000000000000001</v>
      </c>
      <c r="E19" s="14" t="n">
        <v>0.07000000000000001</v>
      </c>
      <c r="F19" s="14" t="n">
        <v>0.08</v>
      </c>
      <c r="G19" s="14" t="n">
        <v>0.08</v>
      </c>
      <c r="H19" s="14" t="n">
        <v>0.09</v>
      </c>
      <c r="I19" s="14" t="n">
        <v>0.09</v>
      </c>
      <c r="J19" s="14" t="n">
        <v>0.07000000000000001</v>
      </c>
      <c r="K19" s="14" t="n">
        <v>0.1</v>
      </c>
      <c r="L19" s="14" t="n">
        <v>0.06</v>
      </c>
      <c r="M19" s="14" t="n">
        <v>0.06</v>
      </c>
      <c r="N19" s="14" t="n">
        <v>0.09</v>
      </c>
      <c r="O19" s="14" t="n">
        <v>0.05</v>
      </c>
      <c r="P19" s="14" t="n">
        <v>0.09</v>
      </c>
      <c r="Q19" s="14" t="n">
        <v>0.1</v>
      </c>
      <c r="R19" s="14" t="n">
        <v>0.06</v>
      </c>
      <c r="S19" s="14" t="n">
        <v>0.11</v>
      </c>
      <c r="T19" s="14" t="n">
        <v>0.2</v>
      </c>
      <c r="U19" s="14" t="n">
        <v>0.06</v>
      </c>
      <c r="V19" s="14" t="n">
        <v>0.1</v>
      </c>
      <c r="W19" s="14" t="n">
        <v>0.07000000000000001</v>
      </c>
      <c r="X19" s="14" t="n">
        <v>0.03</v>
      </c>
      <c r="Y19" s="14" t="n">
        <v>0.09</v>
      </c>
      <c r="Z19" s="14" t="n">
        <v>0.09</v>
      </c>
      <c r="AA19" s="14" t="n">
        <v>0.05</v>
      </c>
      <c r="AB19" s="14" t="n">
        <v>0.12</v>
      </c>
      <c r="AC19" s="14" t="n">
        <v>0.07000000000000001</v>
      </c>
      <c r="AD19" s="14" t="n">
        <v>0.05</v>
      </c>
      <c r="AE19" s="14" t="n">
        <v>0.04</v>
      </c>
      <c r="AF19" s="14" t="n">
        <v>0.04</v>
      </c>
    </row>
    <row r="20">
      <c r="A20" s="20" t="n"/>
      <c r="B20" s="11" t="inlineStr">
        <is>
          <t>La technologie et l’innovation, y compris l’intelligence artificielle (IA)</t>
        </is>
      </c>
      <c r="C20" s="12" t="n">
        <v>3158</v>
      </c>
      <c r="D20" s="12" t="n">
        <v>146</v>
      </c>
      <c r="E20" s="12" t="n">
        <v>123</v>
      </c>
      <c r="F20" s="12" t="n">
        <v>123</v>
      </c>
      <c r="G20" s="12" t="n">
        <v>178</v>
      </c>
      <c r="H20" s="12" t="n">
        <v>162</v>
      </c>
      <c r="I20" s="12" t="n">
        <v>188</v>
      </c>
      <c r="J20" s="12" t="n">
        <v>26</v>
      </c>
      <c r="K20" s="12" t="n">
        <v>160</v>
      </c>
      <c r="L20" s="12" t="n">
        <v>144</v>
      </c>
      <c r="M20" s="12" t="n">
        <v>116</v>
      </c>
      <c r="N20" s="12" t="n">
        <v>93</v>
      </c>
      <c r="O20" s="12" t="n">
        <v>100</v>
      </c>
      <c r="P20" s="12" t="n">
        <v>120</v>
      </c>
      <c r="Q20" s="12" t="n">
        <v>139</v>
      </c>
      <c r="R20" s="12" t="n">
        <v>52</v>
      </c>
      <c r="S20" s="12" t="n">
        <v>103</v>
      </c>
      <c r="T20" s="12" t="n">
        <v>117</v>
      </c>
      <c r="U20" s="12" t="n">
        <v>85</v>
      </c>
      <c r="V20" s="12" t="n">
        <v>114</v>
      </c>
      <c r="W20" s="12" t="n">
        <v>96</v>
      </c>
      <c r="X20" s="12" t="n">
        <v>206</v>
      </c>
      <c r="Y20" s="12" t="n">
        <v>118</v>
      </c>
      <c r="Z20" s="12" t="n">
        <v>108</v>
      </c>
      <c r="AA20" s="12" t="n">
        <v>107</v>
      </c>
      <c r="AB20" s="12" t="n">
        <v>93</v>
      </c>
      <c r="AC20" s="12" t="n">
        <v>117</v>
      </c>
      <c r="AD20" s="12" t="n">
        <v>99</v>
      </c>
      <c r="AE20" s="12" t="n">
        <v>148</v>
      </c>
      <c r="AF20" s="12" t="n">
        <v>166</v>
      </c>
    </row>
    <row r="21">
      <c r="A21" s="20" t="n"/>
      <c r="B21" s="13" t="inlineStr">
        <is>
          <t>Technology and innovation, including Artificial Intelligence (AI)</t>
        </is>
      </c>
      <c r="C21" s="14" t="n">
        <v>0.12</v>
      </c>
      <c r="D21" s="14" t="n">
        <v>0.14</v>
      </c>
      <c r="E21" s="14" t="n">
        <v>0.12</v>
      </c>
      <c r="F21" s="14" t="n">
        <v>0.12</v>
      </c>
      <c r="G21" s="14" t="n">
        <v>0.18</v>
      </c>
      <c r="H21" s="14" t="n">
        <v>0.13</v>
      </c>
      <c r="I21" s="14" t="n">
        <v>0.12</v>
      </c>
      <c r="J21" s="14" t="n">
        <v>0.09</v>
      </c>
      <c r="K21" s="14" t="n">
        <v>0.16</v>
      </c>
      <c r="L21" s="14" t="n">
        <v>0.14</v>
      </c>
      <c r="M21" s="14" t="n">
        <v>0.11</v>
      </c>
      <c r="N21" s="14" t="n">
        <v>0.09</v>
      </c>
      <c r="O21" s="14" t="n">
        <v>0.1</v>
      </c>
      <c r="P21" s="14" t="n">
        <v>0.12</v>
      </c>
      <c r="Q21" s="14" t="n">
        <v>0.14</v>
      </c>
      <c r="R21" s="14" t="n">
        <v>0.1</v>
      </c>
      <c r="S21" s="14" t="n">
        <v>0.1</v>
      </c>
      <c r="T21" s="14" t="n">
        <v>0.12</v>
      </c>
      <c r="U21" s="14" t="n">
        <v>0.17</v>
      </c>
      <c r="V21" s="14" t="n">
        <v>0.11</v>
      </c>
      <c r="W21" s="14" t="n">
        <v>0.19</v>
      </c>
      <c r="X21" s="14" t="n">
        <v>0.2</v>
      </c>
      <c r="Y21" s="14" t="n">
        <v>0.12</v>
      </c>
      <c r="Z21" s="14" t="n">
        <v>0.11</v>
      </c>
      <c r="AA21" s="14" t="n">
        <v>0.1</v>
      </c>
      <c r="AB21" s="14" t="n">
        <v>0.09</v>
      </c>
      <c r="AC21" s="14" t="n">
        <v>0.12</v>
      </c>
      <c r="AD21" s="14" t="n">
        <v>0.1</v>
      </c>
      <c r="AE21" s="14" t="n">
        <v>0.15</v>
      </c>
      <c r="AF21" s="14" t="n">
        <v>0.16</v>
      </c>
    </row>
    <row r="22">
      <c r="A22" s="20" t="n"/>
      <c r="B22" s="11" t="inlineStr">
        <is>
          <t>Les valeurs de l'UE, notamment la démocratie et la protection des droits de l'homme</t>
        </is>
      </c>
      <c r="C22" s="12" t="n">
        <v>5446</v>
      </c>
      <c r="D22" s="12" t="n">
        <v>234</v>
      </c>
      <c r="E22" s="12" t="n">
        <v>229</v>
      </c>
      <c r="F22" s="12" t="n">
        <v>171</v>
      </c>
      <c r="G22" s="12" t="n">
        <v>284</v>
      </c>
      <c r="H22" s="12" t="n">
        <v>292</v>
      </c>
      <c r="I22" s="12" t="n">
        <v>363</v>
      </c>
      <c r="J22" s="12" t="n">
        <v>71</v>
      </c>
      <c r="K22" s="12" t="n">
        <v>145</v>
      </c>
      <c r="L22" s="12" t="n">
        <v>218</v>
      </c>
      <c r="M22" s="12" t="n">
        <v>171</v>
      </c>
      <c r="N22" s="12" t="n">
        <v>258</v>
      </c>
      <c r="O22" s="12" t="n">
        <v>143</v>
      </c>
      <c r="P22" s="12" t="n">
        <v>206</v>
      </c>
      <c r="Q22" s="12" t="n">
        <v>148</v>
      </c>
      <c r="R22" s="12" t="n">
        <v>109</v>
      </c>
      <c r="S22" s="12" t="n">
        <v>133</v>
      </c>
      <c r="T22" s="12" t="n">
        <v>157</v>
      </c>
      <c r="U22" s="12" t="n">
        <v>112</v>
      </c>
      <c r="V22" s="12" t="n">
        <v>246</v>
      </c>
      <c r="W22" s="12" t="n">
        <v>112</v>
      </c>
      <c r="X22" s="12" t="n">
        <v>289</v>
      </c>
      <c r="Y22" s="12" t="n">
        <v>298</v>
      </c>
      <c r="Z22" s="12" t="n">
        <v>158</v>
      </c>
      <c r="AA22" s="12" t="n">
        <v>257</v>
      </c>
      <c r="AB22" s="12" t="n">
        <v>188</v>
      </c>
      <c r="AC22" s="12" t="n">
        <v>222</v>
      </c>
      <c r="AD22" s="12" t="n">
        <v>199</v>
      </c>
      <c r="AE22" s="12" t="n">
        <v>257</v>
      </c>
      <c r="AF22" s="12" t="n">
        <v>422</v>
      </c>
    </row>
    <row r="23">
      <c r="A23" s="20" t="n"/>
      <c r="B23" s="13" t="inlineStr">
        <is>
          <t>EU values, including democracy and the protection of human rights</t>
        </is>
      </c>
      <c r="C23" s="14" t="n">
        <v>0.21</v>
      </c>
      <c r="D23" s="14" t="n">
        <v>0.23</v>
      </c>
      <c r="E23" s="14" t="n">
        <v>0.23</v>
      </c>
      <c r="F23" s="14" t="n">
        <v>0.16</v>
      </c>
      <c r="G23" s="14" t="n">
        <v>0.28</v>
      </c>
      <c r="H23" s="14" t="n">
        <v>0.24</v>
      </c>
      <c r="I23" s="14" t="n">
        <v>0.24</v>
      </c>
      <c r="J23" s="14" t="n">
        <v>0.24</v>
      </c>
      <c r="K23" s="14" t="n">
        <v>0.14</v>
      </c>
      <c r="L23" s="14" t="n">
        <v>0.22</v>
      </c>
      <c r="M23" s="14" t="n">
        <v>0.17</v>
      </c>
      <c r="N23" s="14" t="n">
        <v>0.26</v>
      </c>
      <c r="O23" s="14" t="n">
        <v>0.14</v>
      </c>
      <c r="P23" s="14" t="n">
        <v>0.2</v>
      </c>
      <c r="Q23" s="14" t="n">
        <v>0.14</v>
      </c>
      <c r="R23" s="14" t="n">
        <v>0.22</v>
      </c>
      <c r="S23" s="14" t="n">
        <v>0.13</v>
      </c>
      <c r="T23" s="14" t="n">
        <v>0.15</v>
      </c>
      <c r="U23" s="14" t="n">
        <v>0.22</v>
      </c>
      <c r="V23" s="14" t="n">
        <v>0.24</v>
      </c>
      <c r="W23" s="14" t="n">
        <v>0.22</v>
      </c>
      <c r="X23" s="14" t="n">
        <v>0.28</v>
      </c>
      <c r="Y23" s="14" t="n">
        <v>0.3</v>
      </c>
      <c r="Z23" s="14" t="n">
        <v>0.16</v>
      </c>
      <c r="AA23" s="14" t="n">
        <v>0.25</v>
      </c>
      <c r="AB23" s="14" t="n">
        <v>0.18</v>
      </c>
      <c r="AC23" s="14" t="n">
        <v>0.22</v>
      </c>
      <c r="AD23" s="14" t="n">
        <v>0.2</v>
      </c>
      <c r="AE23" s="14" t="n">
        <v>0.25</v>
      </c>
      <c r="AF23" s="14" t="n">
        <v>0.41</v>
      </c>
    </row>
    <row r="24">
      <c r="A24" s="20" t="n"/>
      <c r="B24" s="11" t="inlineStr">
        <is>
          <t>La compétitivité, l'économie et l'industrie</t>
        </is>
      </c>
      <c r="C24" s="12" t="n">
        <v>8541</v>
      </c>
      <c r="D24" s="12" t="n">
        <v>251</v>
      </c>
      <c r="E24" s="12" t="n">
        <v>404</v>
      </c>
      <c r="F24" s="12" t="n">
        <v>363</v>
      </c>
      <c r="G24" s="12" t="n">
        <v>263</v>
      </c>
      <c r="H24" s="12" t="n">
        <v>442</v>
      </c>
      <c r="I24" s="12" t="n">
        <v>551</v>
      </c>
      <c r="J24" s="12" t="n">
        <v>109</v>
      </c>
      <c r="K24" s="12" t="n">
        <v>323</v>
      </c>
      <c r="L24" s="12" t="n">
        <v>263</v>
      </c>
      <c r="M24" s="12" t="n">
        <v>425</v>
      </c>
      <c r="N24" s="12" t="n">
        <v>317</v>
      </c>
      <c r="O24" s="12" t="n">
        <v>343</v>
      </c>
      <c r="P24" s="12" t="n">
        <v>347</v>
      </c>
      <c r="Q24" s="12" t="n">
        <v>349</v>
      </c>
      <c r="R24" s="12" t="n">
        <v>116</v>
      </c>
      <c r="S24" s="12" t="n">
        <v>375</v>
      </c>
      <c r="T24" s="12" t="n">
        <v>312</v>
      </c>
      <c r="U24" s="12" t="n">
        <v>156</v>
      </c>
      <c r="V24" s="12" t="n">
        <v>330</v>
      </c>
      <c r="W24" s="12" t="n">
        <v>127</v>
      </c>
      <c r="X24" s="12" t="n">
        <v>183</v>
      </c>
      <c r="Y24" s="12" t="n">
        <v>283</v>
      </c>
      <c r="Z24" s="12" t="n">
        <v>250</v>
      </c>
      <c r="AA24" s="12" t="n">
        <v>446</v>
      </c>
      <c r="AB24" s="12" t="n">
        <v>283</v>
      </c>
      <c r="AC24" s="12" t="n">
        <v>397</v>
      </c>
      <c r="AD24" s="12" t="n">
        <v>409</v>
      </c>
      <c r="AE24" s="12" t="n">
        <v>380</v>
      </c>
      <c r="AF24" s="12" t="n">
        <v>281</v>
      </c>
    </row>
    <row r="25">
      <c r="A25" s="20" t="n"/>
      <c r="B25" s="13" t="inlineStr">
        <is>
          <t>Competitiveness, economy and industry</t>
        </is>
      </c>
      <c r="C25" s="14" t="n">
        <v>0.32</v>
      </c>
      <c r="D25" s="14" t="n">
        <v>0.25</v>
      </c>
      <c r="E25" s="14" t="n">
        <v>0.4</v>
      </c>
      <c r="F25" s="14" t="n">
        <v>0.35</v>
      </c>
      <c r="G25" s="14" t="n">
        <v>0.26</v>
      </c>
      <c r="H25" s="14" t="n">
        <v>0.36</v>
      </c>
      <c r="I25" s="14" t="n">
        <v>0.37</v>
      </c>
      <c r="J25" s="14" t="n">
        <v>0.37</v>
      </c>
      <c r="K25" s="14" t="n">
        <v>0.32</v>
      </c>
      <c r="L25" s="14" t="n">
        <v>0.26</v>
      </c>
      <c r="M25" s="14" t="n">
        <v>0.42</v>
      </c>
      <c r="N25" s="14" t="n">
        <v>0.31</v>
      </c>
      <c r="O25" s="14" t="n">
        <v>0.34</v>
      </c>
      <c r="P25" s="14" t="n">
        <v>0.34</v>
      </c>
      <c r="Q25" s="14" t="n">
        <v>0.34</v>
      </c>
      <c r="R25" s="14" t="n">
        <v>0.23</v>
      </c>
      <c r="S25" s="14" t="n">
        <v>0.37</v>
      </c>
      <c r="T25" s="14" t="n">
        <v>0.31</v>
      </c>
      <c r="U25" s="14" t="n">
        <v>0.31</v>
      </c>
      <c r="V25" s="14" t="n">
        <v>0.32</v>
      </c>
      <c r="W25" s="14" t="n">
        <v>0.25</v>
      </c>
      <c r="X25" s="14" t="n">
        <v>0.18</v>
      </c>
      <c r="Y25" s="14" t="n">
        <v>0.28</v>
      </c>
      <c r="Z25" s="14" t="n">
        <v>0.25</v>
      </c>
      <c r="AA25" s="14" t="n">
        <v>0.43</v>
      </c>
      <c r="AB25" s="14" t="n">
        <v>0.27</v>
      </c>
      <c r="AC25" s="14" t="n">
        <v>0.39</v>
      </c>
      <c r="AD25" s="14" t="n">
        <v>0.41</v>
      </c>
      <c r="AE25" s="14" t="n">
        <v>0.37</v>
      </c>
      <c r="AF25" s="14" t="n">
        <v>0.27</v>
      </c>
    </row>
    <row r="26">
      <c r="A26" s="20" t="n"/>
      <c r="B26" s="11" t="inlineStr">
        <is>
          <t>Le commerce international</t>
        </is>
      </c>
      <c r="C26" s="12" t="n">
        <v>3772</v>
      </c>
      <c r="D26" s="12" t="n">
        <v>170</v>
      </c>
      <c r="E26" s="12" t="n">
        <v>133</v>
      </c>
      <c r="F26" s="12" t="n">
        <v>180</v>
      </c>
      <c r="G26" s="12" t="n">
        <v>170</v>
      </c>
      <c r="H26" s="12" t="n">
        <v>195</v>
      </c>
      <c r="I26" s="12" t="n">
        <v>250</v>
      </c>
      <c r="J26" s="12" t="n">
        <v>55</v>
      </c>
      <c r="K26" s="12" t="n">
        <v>142</v>
      </c>
      <c r="L26" s="12" t="n">
        <v>196</v>
      </c>
      <c r="M26" s="12" t="n">
        <v>152</v>
      </c>
      <c r="N26" s="12" t="n">
        <v>125</v>
      </c>
      <c r="O26" s="12" t="n">
        <v>117</v>
      </c>
      <c r="P26" s="12" t="n">
        <v>160</v>
      </c>
      <c r="Q26" s="12" t="n">
        <v>160</v>
      </c>
      <c r="R26" s="12" t="n">
        <v>48</v>
      </c>
      <c r="S26" s="12" t="n">
        <v>137</v>
      </c>
      <c r="T26" s="12" t="n">
        <v>103</v>
      </c>
      <c r="U26" s="12" t="n">
        <v>51</v>
      </c>
      <c r="V26" s="12" t="n">
        <v>157</v>
      </c>
      <c r="W26" s="12" t="n">
        <v>61</v>
      </c>
      <c r="X26" s="12" t="n">
        <v>146</v>
      </c>
      <c r="Y26" s="12" t="n">
        <v>171</v>
      </c>
      <c r="Z26" s="12" t="n">
        <v>147</v>
      </c>
      <c r="AA26" s="12" t="n">
        <v>92</v>
      </c>
      <c r="AB26" s="12" t="n">
        <v>133</v>
      </c>
      <c r="AC26" s="12" t="n">
        <v>126</v>
      </c>
      <c r="AD26" s="12" t="n">
        <v>161</v>
      </c>
      <c r="AE26" s="12" t="n">
        <v>122</v>
      </c>
      <c r="AF26" s="12" t="n">
        <v>126</v>
      </c>
    </row>
    <row r="27">
      <c r="A27" s="20" t="n"/>
      <c r="B27" s="13" t="inlineStr">
        <is>
          <t>International trade</t>
        </is>
      </c>
      <c r="C27" s="14" t="n">
        <v>0.14</v>
      </c>
      <c r="D27" s="14" t="n">
        <v>0.17</v>
      </c>
      <c r="E27" s="14" t="n">
        <v>0.13</v>
      </c>
      <c r="F27" s="14" t="n">
        <v>0.17</v>
      </c>
      <c r="G27" s="14" t="n">
        <v>0.17</v>
      </c>
      <c r="H27" s="14" t="n">
        <v>0.16</v>
      </c>
      <c r="I27" s="14" t="n">
        <v>0.17</v>
      </c>
      <c r="J27" s="14" t="n">
        <v>0.19</v>
      </c>
      <c r="K27" s="14" t="n">
        <v>0.14</v>
      </c>
      <c r="L27" s="14" t="n">
        <v>0.19</v>
      </c>
      <c r="M27" s="14" t="n">
        <v>0.15</v>
      </c>
      <c r="N27" s="14" t="n">
        <v>0.12</v>
      </c>
      <c r="O27" s="14" t="n">
        <v>0.11</v>
      </c>
      <c r="P27" s="14" t="n">
        <v>0.16</v>
      </c>
      <c r="Q27" s="14" t="n">
        <v>0.16</v>
      </c>
      <c r="R27" s="14" t="n">
        <v>0.1</v>
      </c>
      <c r="S27" s="14" t="n">
        <v>0.14</v>
      </c>
      <c r="T27" s="14" t="n">
        <v>0.1</v>
      </c>
      <c r="U27" s="14" t="n">
        <v>0.1</v>
      </c>
      <c r="V27" s="14" t="n">
        <v>0.15</v>
      </c>
      <c r="W27" s="14" t="n">
        <v>0.12</v>
      </c>
      <c r="X27" s="14" t="n">
        <v>0.14</v>
      </c>
      <c r="Y27" s="14" t="n">
        <v>0.17</v>
      </c>
      <c r="Z27" s="14" t="n">
        <v>0.14</v>
      </c>
      <c r="AA27" s="14" t="n">
        <v>0.09</v>
      </c>
      <c r="AB27" s="14" t="n">
        <v>0.13</v>
      </c>
      <c r="AC27" s="14" t="n">
        <v>0.12</v>
      </c>
      <c r="AD27" s="14" t="n">
        <v>0.16</v>
      </c>
      <c r="AE27" s="14" t="n">
        <v>0.12</v>
      </c>
      <c r="AF27" s="14" t="n">
        <v>0.12</v>
      </c>
    </row>
    <row r="28">
      <c r="A28" s="20" t="n"/>
      <c r="B28" s="11" t="inlineStr">
        <is>
          <t>L'euro</t>
        </is>
      </c>
      <c r="C28" s="12" t="n">
        <v>1890</v>
      </c>
      <c r="D28" s="12" t="n">
        <v>100</v>
      </c>
      <c r="E28" s="12" t="n">
        <v>73</v>
      </c>
      <c r="F28" s="12" t="n">
        <v>51</v>
      </c>
      <c r="G28" s="12" t="n">
        <v>23</v>
      </c>
      <c r="H28" s="12" t="n">
        <v>77</v>
      </c>
      <c r="I28" s="12" t="n">
        <v>111</v>
      </c>
      <c r="J28" s="12" t="n">
        <v>34</v>
      </c>
      <c r="K28" s="12" t="n">
        <v>85</v>
      </c>
      <c r="L28" s="12" t="n">
        <v>109</v>
      </c>
      <c r="M28" s="12" t="n">
        <v>70</v>
      </c>
      <c r="N28" s="12" t="n">
        <v>68</v>
      </c>
      <c r="O28" s="12" t="n">
        <v>89</v>
      </c>
      <c r="P28" s="12" t="n">
        <v>79</v>
      </c>
      <c r="Q28" s="12" t="n">
        <v>63</v>
      </c>
      <c r="R28" s="12" t="n">
        <v>41</v>
      </c>
      <c r="S28" s="12" t="n">
        <v>70</v>
      </c>
      <c r="T28" s="12" t="n">
        <v>25</v>
      </c>
      <c r="U28" s="12" t="n">
        <v>36</v>
      </c>
      <c r="V28" s="12" t="n">
        <v>125</v>
      </c>
      <c r="W28" s="12" t="n">
        <v>45</v>
      </c>
      <c r="X28" s="12" t="n">
        <v>71</v>
      </c>
      <c r="Y28" s="12" t="n">
        <v>121</v>
      </c>
      <c r="Z28" s="12" t="n">
        <v>28</v>
      </c>
      <c r="AA28" s="12" t="n">
        <v>106</v>
      </c>
      <c r="AB28" s="12" t="n">
        <v>105</v>
      </c>
      <c r="AC28" s="12" t="n">
        <v>127</v>
      </c>
      <c r="AD28" s="12" t="n">
        <v>95</v>
      </c>
      <c r="AE28" s="12" t="n">
        <v>34</v>
      </c>
      <c r="AF28" s="12" t="n">
        <v>30</v>
      </c>
    </row>
    <row r="29">
      <c r="A29" s="20" t="n"/>
      <c r="B29" s="13" t="inlineStr">
        <is>
          <t>The Euro</t>
        </is>
      </c>
      <c r="C29" s="14" t="n">
        <v>0.07000000000000001</v>
      </c>
      <c r="D29" s="14" t="n">
        <v>0.1</v>
      </c>
      <c r="E29" s="14" t="n">
        <v>0.07000000000000001</v>
      </c>
      <c r="F29" s="14" t="n">
        <v>0.05</v>
      </c>
      <c r="G29" s="14" t="n">
        <v>0.02</v>
      </c>
      <c r="H29" s="14" t="n">
        <v>0.06</v>
      </c>
      <c r="I29" s="14" t="n">
        <v>0.07000000000000001</v>
      </c>
      <c r="J29" s="14" t="n">
        <v>0.12</v>
      </c>
      <c r="K29" s="14" t="n">
        <v>0.08</v>
      </c>
      <c r="L29" s="14" t="n">
        <v>0.11</v>
      </c>
      <c r="M29" s="14" t="n">
        <v>0.07000000000000001</v>
      </c>
      <c r="N29" s="14" t="n">
        <v>0.07000000000000001</v>
      </c>
      <c r="O29" s="14" t="n">
        <v>0.09</v>
      </c>
      <c r="P29" s="14" t="n">
        <v>0.08</v>
      </c>
      <c r="Q29" s="14" t="n">
        <v>0.06</v>
      </c>
      <c r="R29" s="14" t="n">
        <v>0.08</v>
      </c>
      <c r="S29" s="14" t="n">
        <v>0.07000000000000001</v>
      </c>
      <c r="T29" s="14" t="n">
        <v>0.02</v>
      </c>
      <c r="U29" s="14" t="n">
        <v>0.07000000000000001</v>
      </c>
      <c r="V29" s="14" t="n">
        <v>0.12</v>
      </c>
      <c r="W29" s="14" t="n">
        <v>0.09</v>
      </c>
      <c r="X29" s="14" t="n">
        <v>0.07000000000000001</v>
      </c>
      <c r="Y29" s="14" t="n">
        <v>0.12</v>
      </c>
      <c r="Z29" s="14" t="n">
        <v>0.03</v>
      </c>
      <c r="AA29" s="14" t="n">
        <v>0.1</v>
      </c>
      <c r="AB29" s="14" t="n">
        <v>0.1</v>
      </c>
      <c r="AC29" s="14" t="n">
        <v>0.13</v>
      </c>
      <c r="AD29" s="14" t="n">
        <v>0.09</v>
      </c>
      <c r="AE29" s="14" t="n">
        <v>0.03</v>
      </c>
      <c r="AF29" s="14" t="n">
        <v>0.03</v>
      </c>
    </row>
    <row r="30">
      <c r="A30" s="20" t="n"/>
      <c r="B30" s="11" t="inlineStr">
        <is>
          <t>L'action pour le climat et la réduction des émissions de gaz à effet de serre</t>
        </is>
      </c>
      <c r="C30" s="12" t="n">
        <v>4003</v>
      </c>
      <c r="D30" s="12" t="n">
        <v>200</v>
      </c>
      <c r="E30" s="12" t="n">
        <v>87</v>
      </c>
      <c r="F30" s="12" t="n">
        <v>88</v>
      </c>
      <c r="G30" s="12" t="n">
        <v>230</v>
      </c>
      <c r="H30" s="12" t="n">
        <v>195</v>
      </c>
      <c r="I30" s="12" t="n">
        <v>236</v>
      </c>
      <c r="J30" s="12" t="n">
        <v>41</v>
      </c>
      <c r="K30" s="12" t="n">
        <v>60</v>
      </c>
      <c r="L30" s="12" t="n">
        <v>165</v>
      </c>
      <c r="M30" s="12" t="n">
        <v>123</v>
      </c>
      <c r="N30" s="12" t="n">
        <v>103</v>
      </c>
      <c r="O30" s="12" t="n">
        <v>175</v>
      </c>
      <c r="P30" s="12" t="n">
        <v>149</v>
      </c>
      <c r="Q30" s="12" t="n">
        <v>181</v>
      </c>
      <c r="R30" s="12" t="n">
        <v>32</v>
      </c>
      <c r="S30" s="12" t="n">
        <v>29</v>
      </c>
      <c r="T30" s="12" t="n">
        <v>57</v>
      </c>
      <c r="U30" s="12" t="n">
        <v>61</v>
      </c>
      <c r="V30" s="12" t="n">
        <v>173</v>
      </c>
      <c r="W30" s="12" t="n">
        <v>103</v>
      </c>
      <c r="X30" s="12" t="n">
        <v>198</v>
      </c>
      <c r="Y30" s="12" t="n">
        <v>161</v>
      </c>
      <c r="Z30" s="12" t="n">
        <v>127</v>
      </c>
      <c r="AA30" s="12" t="n">
        <v>115</v>
      </c>
      <c r="AB30" s="12" t="n">
        <v>116</v>
      </c>
      <c r="AC30" s="12" t="n">
        <v>97</v>
      </c>
      <c r="AD30" s="12" t="n">
        <v>68</v>
      </c>
      <c r="AE30" s="12" t="n">
        <v>176</v>
      </c>
      <c r="AF30" s="12" t="n">
        <v>347</v>
      </c>
    </row>
    <row r="31">
      <c r="A31" s="20" t="n"/>
      <c r="B31" s="13" t="inlineStr">
        <is>
          <t>Climate action and emissions reductions</t>
        </is>
      </c>
      <c r="C31" s="14" t="n">
        <v>0.15</v>
      </c>
      <c r="D31" s="14" t="n">
        <v>0.2</v>
      </c>
      <c r="E31" s="14" t="n">
        <v>0.09</v>
      </c>
      <c r="F31" s="14" t="n">
        <v>0.08</v>
      </c>
      <c r="G31" s="14" t="n">
        <v>0.23</v>
      </c>
      <c r="H31" s="14" t="n">
        <v>0.16</v>
      </c>
      <c r="I31" s="14" t="n">
        <v>0.16</v>
      </c>
      <c r="J31" s="14" t="n">
        <v>0.14</v>
      </c>
      <c r="K31" s="14" t="n">
        <v>0.06</v>
      </c>
      <c r="L31" s="14" t="n">
        <v>0.16</v>
      </c>
      <c r="M31" s="14" t="n">
        <v>0.12</v>
      </c>
      <c r="N31" s="14" t="n">
        <v>0.1</v>
      </c>
      <c r="O31" s="14" t="n">
        <v>0.17</v>
      </c>
      <c r="P31" s="14" t="n">
        <v>0.15</v>
      </c>
      <c r="Q31" s="14" t="n">
        <v>0.18</v>
      </c>
      <c r="R31" s="14" t="n">
        <v>0.06</v>
      </c>
      <c r="S31" s="14" t="n">
        <v>0.03</v>
      </c>
      <c r="T31" s="14" t="n">
        <v>0.06</v>
      </c>
      <c r="U31" s="14" t="n">
        <v>0.12</v>
      </c>
      <c r="V31" s="14" t="n">
        <v>0.17</v>
      </c>
      <c r="W31" s="14" t="n">
        <v>0.2</v>
      </c>
      <c r="X31" s="14" t="n">
        <v>0.19</v>
      </c>
      <c r="Y31" s="14" t="n">
        <v>0.16</v>
      </c>
      <c r="Z31" s="14" t="n">
        <v>0.12</v>
      </c>
      <c r="AA31" s="14" t="n">
        <v>0.11</v>
      </c>
      <c r="AB31" s="14" t="n">
        <v>0.11</v>
      </c>
      <c r="AC31" s="14" t="n">
        <v>0.1</v>
      </c>
      <c r="AD31" s="14" t="n">
        <v>0.07000000000000001</v>
      </c>
      <c r="AE31" s="14" t="n">
        <v>0.17</v>
      </c>
      <c r="AF31" s="14" t="n">
        <v>0.33</v>
      </c>
    </row>
    <row r="32">
      <c r="A32" s="20" t="n"/>
      <c r="B32" s="11" t="inlineStr">
        <is>
          <t>La sécurité alimentaire et l’agriculture</t>
        </is>
      </c>
      <c r="C32" s="12" t="n">
        <v>6159</v>
      </c>
      <c r="D32" s="12" t="n">
        <v>219</v>
      </c>
      <c r="E32" s="12" t="n">
        <v>285</v>
      </c>
      <c r="F32" s="12" t="n">
        <v>245</v>
      </c>
      <c r="G32" s="12" t="n">
        <v>176</v>
      </c>
      <c r="H32" s="12" t="n">
        <v>174</v>
      </c>
      <c r="I32" s="12" t="n">
        <v>251</v>
      </c>
      <c r="J32" s="12" t="n">
        <v>77</v>
      </c>
      <c r="K32" s="12" t="n">
        <v>212</v>
      </c>
      <c r="L32" s="12" t="n">
        <v>300</v>
      </c>
      <c r="M32" s="12" t="n">
        <v>274</v>
      </c>
      <c r="N32" s="12" t="n">
        <v>222</v>
      </c>
      <c r="O32" s="12" t="n">
        <v>216</v>
      </c>
      <c r="P32" s="12" t="n">
        <v>349</v>
      </c>
      <c r="Q32" s="12" t="n">
        <v>231</v>
      </c>
      <c r="R32" s="12" t="n">
        <v>68</v>
      </c>
      <c r="S32" s="12" t="n">
        <v>128</v>
      </c>
      <c r="T32" s="12" t="n">
        <v>145</v>
      </c>
      <c r="U32" s="12" t="n">
        <v>103</v>
      </c>
      <c r="V32" s="12" t="n">
        <v>329</v>
      </c>
      <c r="W32" s="12" t="n">
        <v>91</v>
      </c>
      <c r="X32" s="12" t="n">
        <v>225</v>
      </c>
      <c r="Y32" s="12" t="n">
        <v>304</v>
      </c>
      <c r="Z32" s="12" t="n">
        <v>355</v>
      </c>
      <c r="AA32" s="12" t="n">
        <v>285</v>
      </c>
      <c r="AB32" s="12" t="n">
        <v>270</v>
      </c>
      <c r="AC32" s="12" t="n">
        <v>372</v>
      </c>
      <c r="AD32" s="12" t="n">
        <v>375</v>
      </c>
      <c r="AE32" s="12" t="n">
        <v>268</v>
      </c>
      <c r="AF32" s="12" t="n">
        <v>259</v>
      </c>
    </row>
    <row r="33">
      <c r="A33" s="20" t="n"/>
      <c r="B33" s="13" t="inlineStr">
        <is>
          <t>Food security and agriculture</t>
        </is>
      </c>
      <c r="C33" s="14" t="n">
        <v>0.23</v>
      </c>
      <c r="D33" s="14" t="n">
        <v>0.21</v>
      </c>
      <c r="E33" s="14" t="n">
        <v>0.28</v>
      </c>
      <c r="F33" s="14" t="n">
        <v>0.23</v>
      </c>
      <c r="G33" s="14" t="n">
        <v>0.17</v>
      </c>
      <c r="H33" s="14" t="n">
        <v>0.14</v>
      </c>
      <c r="I33" s="14" t="n">
        <v>0.17</v>
      </c>
      <c r="J33" s="14" t="n">
        <v>0.26</v>
      </c>
      <c r="K33" s="14" t="n">
        <v>0.21</v>
      </c>
      <c r="L33" s="14" t="n">
        <v>0.3</v>
      </c>
      <c r="M33" s="14" t="n">
        <v>0.27</v>
      </c>
      <c r="N33" s="14" t="n">
        <v>0.22</v>
      </c>
      <c r="O33" s="14" t="n">
        <v>0.21</v>
      </c>
      <c r="P33" s="14" t="n">
        <v>0.35</v>
      </c>
      <c r="Q33" s="14" t="n">
        <v>0.22</v>
      </c>
      <c r="R33" s="14" t="n">
        <v>0.13</v>
      </c>
      <c r="S33" s="14" t="n">
        <v>0.13</v>
      </c>
      <c r="T33" s="14" t="n">
        <v>0.14</v>
      </c>
      <c r="U33" s="14" t="n">
        <v>0.2</v>
      </c>
      <c r="V33" s="14" t="n">
        <v>0.32</v>
      </c>
      <c r="W33" s="14" t="n">
        <v>0.18</v>
      </c>
      <c r="X33" s="14" t="n">
        <v>0.22</v>
      </c>
      <c r="Y33" s="14" t="n">
        <v>0.3</v>
      </c>
      <c r="Z33" s="14" t="n">
        <v>0.35</v>
      </c>
      <c r="AA33" s="14" t="n">
        <v>0.28</v>
      </c>
      <c r="AB33" s="14" t="n">
        <v>0.26</v>
      </c>
      <c r="AC33" s="14" t="n">
        <v>0.37</v>
      </c>
      <c r="AD33" s="14" t="n">
        <v>0.37</v>
      </c>
      <c r="AE33" s="14" t="n">
        <v>0.26</v>
      </c>
      <c r="AF33" s="14" t="n">
        <v>0.25</v>
      </c>
    </row>
    <row r="34">
      <c r="A34" s="20" t="n"/>
      <c r="B34" s="11" t="inlineStr">
        <is>
          <t>L'éducation et la recherche</t>
        </is>
      </c>
      <c r="C34" s="12" t="n">
        <v>5617</v>
      </c>
      <c r="D34" s="12" t="n">
        <v>219</v>
      </c>
      <c r="E34" s="12" t="n">
        <v>117</v>
      </c>
      <c r="F34" s="12" t="n">
        <v>188</v>
      </c>
      <c r="G34" s="12" t="n">
        <v>173</v>
      </c>
      <c r="H34" s="12" t="n">
        <v>222</v>
      </c>
      <c r="I34" s="12" t="n">
        <v>290</v>
      </c>
      <c r="J34" s="12" t="n">
        <v>68</v>
      </c>
      <c r="K34" s="12" t="n">
        <v>188</v>
      </c>
      <c r="L34" s="12" t="n">
        <v>215</v>
      </c>
      <c r="M34" s="12" t="n">
        <v>257</v>
      </c>
      <c r="N34" s="12" t="n">
        <v>342</v>
      </c>
      <c r="O34" s="12" t="n">
        <v>273</v>
      </c>
      <c r="P34" s="12" t="n">
        <v>144</v>
      </c>
      <c r="Q34" s="12" t="n">
        <v>184</v>
      </c>
      <c r="R34" s="12" t="n">
        <v>205</v>
      </c>
      <c r="S34" s="12" t="n">
        <v>194</v>
      </c>
      <c r="T34" s="12" t="n">
        <v>149</v>
      </c>
      <c r="U34" s="12" t="n">
        <v>134</v>
      </c>
      <c r="V34" s="12" t="n">
        <v>130</v>
      </c>
      <c r="W34" s="12" t="n">
        <v>124</v>
      </c>
      <c r="X34" s="12" t="n">
        <v>165</v>
      </c>
      <c r="Y34" s="12" t="n">
        <v>178</v>
      </c>
      <c r="Z34" s="12" t="n">
        <v>96</v>
      </c>
      <c r="AA34" s="12" t="n">
        <v>261</v>
      </c>
      <c r="AB34" s="12" t="n">
        <v>245</v>
      </c>
      <c r="AC34" s="12" t="n">
        <v>111</v>
      </c>
      <c r="AD34" s="12" t="n">
        <v>188</v>
      </c>
      <c r="AE34" s="12" t="n">
        <v>246</v>
      </c>
      <c r="AF34" s="12" t="n">
        <v>270</v>
      </c>
    </row>
    <row r="35">
      <c r="A35" s="20" t="n"/>
      <c r="B35" s="13" t="inlineStr">
        <is>
          <t>Education and research</t>
        </is>
      </c>
      <c r="C35" s="14" t="n">
        <v>0.21</v>
      </c>
      <c r="D35" s="14" t="n">
        <v>0.21</v>
      </c>
      <c r="E35" s="14" t="n">
        <v>0.12</v>
      </c>
      <c r="F35" s="14" t="n">
        <v>0.18</v>
      </c>
      <c r="G35" s="14" t="n">
        <v>0.17</v>
      </c>
      <c r="H35" s="14" t="n">
        <v>0.18</v>
      </c>
      <c r="I35" s="14" t="n">
        <v>0.19</v>
      </c>
      <c r="J35" s="14" t="n">
        <v>0.23</v>
      </c>
      <c r="K35" s="14" t="n">
        <v>0.19</v>
      </c>
      <c r="L35" s="14" t="n">
        <v>0.21</v>
      </c>
      <c r="M35" s="14" t="n">
        <v>0.25</v>
      </c>
      <c r="N35" s="14" t="n">
        <v>0.34</v>
      </c>
      <c r="O35" s="14" t="n">
        <v>0.27</v>
      </c>
      <c r="P35" s="14" t="n">
        <v>0.14</v>
      </c>
      <c r="Q35" s="14" t="n">
        <v>0.18</v>
      </c>
      <c r="R35" s="14" t="n">
        <v>0.41</v>
      </c>
      <c r="S35" s="14" t="n">
        <v>0.19</v>
      </c>
      <c r="T35" s="14" t="n">
        <v>0.15</v>
      </c>
      <c r="U35" s="14" t="n">
        <v>0.26</v>
      </c>
      <c r="V35" s="14" t="n">
        <v>0.13</v>
      </c>
      <c r="W35" s="14" t="n">
        <v>0.25</v>
      </c>
      <c r="X35" s="14" t="n">
        <v>0.16</v>
      </c>
      <c r="Y35" s="14" t="n">
        <v>0.18</v>
      </c>
      <c r="Z35" s="14" t="n">
        <v>0.09</v>
      </c>
      <c r="AA35" s="14" t="n">
        <v>0.25</v>
      </c>
      <c r="AB35" s="14" t="n">
        <v>0.23</v>
      </c>
      <c r="AC35" s="14" t="n">
        <v>0.11</v>
      </c>
      <c r="AD35" s="14" t="n">
        <v>0.19</v>
      </c>
      <c r="AE35" s="14" t="n">
        <v>0.24</v>
      </c>
      <c r="AF35" s="14" t="n">
        <v>0.26</v>
      </c>
    </row>
    <row r="36">
      <c r="A36" s="20" t="n"/>
      <c r="B36" s="11" t="inlineStr">
        <is>
          <t>La démographie, la migration et le vieillissement de la population</t>
        </is>
      </c>
      <c r="C36" s="12" t="n">
        <v>4387</v>
      </c>
      <c r="D36" s="12" t="n">
        <v>133</v>
      </c>
      <c r="E36" s="12" t="n">
        <v>300</v>
      </c>
      <c r="F36" s="12" t="n">
        <v>123</v>
      </c>
      <c r="G36" s="12" t="n">
        <v>72</v>
      </c>
      <c r="H36" s="12" t="n">
        <v>181</v>
      </c>
      <c r="I36" s="12" t="n">
        <v>230</v>
      </c>
      <c r="J36" s="12" t="n">
        <v>49</v>
      </c>
      <c r="K36" s="12" t="n">
        <v>158</v>
      </c>
      <c r="L36" s="12" t="n">
        <v>152</v>
      </c>
      <c r="M36" s="12" t="n">
        <v>281</v>
      </c>
      <c r="N36" s="12" t="n">
        <v>198</v>
      </c>
      <c r="O36" s="12" t="n">
        <v>154</v>
      </c>
      <c r="P36" s="12" t="n">
        <v>337</v>
      </c>
      <c r="Q36" s="12" t="n">
        <v>164</v>
      </c>
      <c r="R36" s="12" t="n">
        <v>120</v>
      </c>
      <c r="S36" s="12" t="n">
        <v>245</v>
      </c>
      <c r="T36" s="12" t="n">
        <v>208</v>
      </c>
      <c r="U36" s="12" t="n">
        <v>57</v>
      </c>
      <c r="V36" s="12" t="n">
        <v>180</v>
      </c>
      <c r="W36" s="12" t="n">
        <v>93</v>
      </c>
      <c r="X36" s="12" t="n">
        <v>126</v>
      </c>
      <c r="Y36" s="12" t="n">
        <v>208</v>
      </c>
      <c r="Z36" s="12" t="n">
        <v>180</v>
      </c>
      <c r="AA36" s="12" t="n">
        <v>223</v>
      </c>
      <c r="AB36" s="12" t="n">
        <v>184</v>
      </c>
      <c r="AC36" s="12" t="n">
        <v>114</v>
      </c>
      <c r="AD36" s="12" t="n">
        <v>166</v>
      </c>
      <c r="AE36" s="12" t="n">
        <v>91</v>
      </c>
      <c r="AF36" s="12" t="n">
        <v>103</v>
      </c>
    </row>
    <row r="37">
      <c r="A37" s="20" t="n"/>
      <c r="B37" s="13" t="inlineStr">
        <is>
          <t>Demography, migration and population ageing</t>
        </is>
      </c>
      <c r="C37" s="14" t="n">
        <v>0.17</v>
      </c>
      <c r="D37" s="14" t="n">
        <v>0.13</v>
      </c>
      <c r="E37" s="14" t="n">
        <v>0.3</v>
      </c>
      <c r="F37" s="14" t="n">
        <v>0.12</v>
      </c>
      <c r="G37" s="14" t="n">
        <v>0.07000000000000001</v>
      </c>
      <c r="H37" s="14" t="n">
        <v>0.15</v>
      </c>
      <c r="I37" s="14" t="n">
        <v>0.15</v>
      </c>
      <c r="J37" s="14" t="n">
        <v>0.17</v>
      </c>
      <c r="K37" s="14" t="n">
        <v>0.16</v>
      </c>
      <c r="L37" s="14" t="n">
        <v>0.15</v>
      </c>
      <c r="M37" s="14" t="n">
        <v>0.28</v>
      </c>
      <c r="N37" s="14" t="n">
        <v>0.2</v>
      </c>
      <c r="O37" s="14" t="n">
        <v>0.15</v>
      </c>
      <c r="P37" s="14" t="n">
        <v>0.33</v>
      </c>
      <c r="Q37" s="14" t="n">
        <v>0.16</v>
      </c>
      <c r="R37" s="14" t="n">
        <v>0.24</v>
      </c>
      <c r="S37" s="14" t="n">
        <v>0.24</v>
      </c>
      <c r="T37" s="14" t="n">
        <v>0.2</v>
      </c>
      <c r="U37" s="14" t="n">
        <v>0.11</v>
      </c>
      <c r="V37" s="14" t="n">
        <v>0.18</v>
      </c>
      <c r="W37" s="14" t="n">
        <v>0.18</v>
      </c>
      <c r="X37" s="14" t="n">
        <v>0.12</v>
      </c>
      <c r="Y37" s="14" t="n">
        <v>0.21</v>
      </c>
      <c r="Z37" s="14" t="n">
        <v>0.18</v>
      </c>
      <c r="AA37" s="14" t="n">
        <v>0.22</v>
      </c>
      <c r="AB37" s="14" t="n">
        <v>0.18</v>
      </c>
      <c r="AC37" s="14" t="n">
        <v>0.11</v>
      </c>
      <c r="AD37" s="14" t="n">
        <v>0.17</v>
      </c>
      <c r="AE37" s="14" t="n">
        <v>0.09</v>
      </c>
      <c r="AF37" s="14" t="n">
        <v>0.1</v>
      </c>
    </row>
    <row r="38">
      <c r="A38" s="20" t="n"/>
      <c r="B38" s="11" t="inlineStr">
        <is>
          <t>La culture</t>
        </is>
      </c>
      <c r="C38" s="12" t="n">
        <v>1903</v>
      </c>
      <c r="D38" s="12" t="n">
        <v>81</v>
      </c>
      <c r="E38" s="12" t="n">
        <v>69</v>
      </c>
      <c r="F38" s="12" t="n">
        <v>62</v>
      </c>
      <c r="G38" s="12" t="n">
        <v>41</v>
      </c>
      <c r="H38" s="12" t="n">
        <v>46</v>
      </c>
      <c r="I38" s="12" t="n">
        <v>59</v>
      </c>
      <c r="J38" s="12" t="n">
        <v>13</v>
      </c>
      <c r="K38" s="12" t="n">
        <v>109</v>
      </c>
      <c r="L38" s="12" t="n">
        <v>64</v>
      </c>
      <c r="M38" s="12" t="n">
        <v>87</v>
      </c>
      <c r="N38" s="12" t="n">
        <v>109</v>
      </c>
      <c r="O38" s="12" t="n">
        <v>88</v>
      </c>
      <c r="P38" s="12" t="n">
        <v>66</v>
      </c>
      <c r="Q38" s="12" t="n">
        <v>97</v>
      </c>
      <c r="R38" s="12" t="n">
        <v>57</v>
      </c>
      <c r="S38" s="12" t="n">
        <v>82</v>
      </c>
      <c r="T38" s="12" t="n">
        <v>47</v>
      </c>
      <c r="U38" s="12" t="n">
        <v>30</v>
      </c>
      <c r="V38" s="12" t="n">
        <v>77</v>
      </c>
      <c r="W38" s="12" t="n">
        <v>74</v>
      </c>
      <c r="X38" s="12" t="n">
        <v>57</v>
      </c>
      <c r="Y38" s="12" t="n">
        <v>63</v>
      </c>
      <c r="Z38" s="12" t="n">
        <v>55</v>
      </c>
      <c r="AA38" s="12" t="n">
        <v>99</v>
      </c>
      <c r="AB38" s="12" t="n">
        <v>92</v>
      </c>
      <c r="AC38" s="12" t="n">
        <v>44</v>
      </c>
      <c r="AD38" s="12" t="n">
        <v>52</v>
      </c>
      <c r="AE38" s="12" t="n">
        <v>36</v>
      </c>
      <c r="AF38" s="12" t="n">
        <v>32</v>
      </c>
    </row>
    <row r="39">
      <c r="A39" s="20" t="n"/>
      <c r="B39" s="13" t="inlineStr">
        <is>
          <t>Culture</t>
        </is>
      </c>
      <c r="C39" s="14" t="n">
        <v>0.07000000000000001</v>
      </c>
      <c r="D39" s="14" t="n">
        <v>0.08</v>
      </c>
      <c r="E39" s="14" t="n">
        <v>0.07000000000000001</v>
      </c>
      <c r="F39" s="14" t="n">
        <v>0.06</v>
      </c>
      <c r="G39" s="14" t="n">
        <v>0.04</v>
      </c>
      <c r="H39" s="14" t="n">
        <v>0.04</v>
      </c>
      <c r="I39" s="14" t="n">
        <v>0.04</v>
      </c>
      <c r="J39" s="14" t="n">
        <v>0.05</v>
      </c>
      <c r="K39" s="14" t="n">
        <v>0.11</v>
      </c>
      <c r="L39" s="14" t="n">
        <v>0.06</v>
      </c>
      <c r="M39" s="14" t="n">
        <v>0.09</v>
      </c>
      <c r="N39" s="14" t="n">
        <v>0.11</v>
      </c>
      <c r="O39" s="14" t="n">
        <v>0.09</v>
      </c>
      <c r="P39" s="14" t="n">
        <v>0.07000000000000001</v>
      </c>
      <c r="Q39" s="14" t="n">
        <v>0.09</v>
      </c>
      <c r="R39" s="14" t="n">
        <v>0.11</v>
      </c>
      <c r="S39" s="14" t="n">
        <v>0.08</v>
      </c>
      <c r="T39" s="14" t="n">
        <v>0.05</v>
      </c>
      <c r="U39" s="14" t="n">
        <v>0.06</v>
      </c>
      <c r="V39" s="14" t="n">
        <v>0.08</v>
      </c>
      <c r="W39" s="14" t="n">
        <v>0.15</v>
      </c>
      <c r="X39" s="14" t="n">
        <v>0.06</v>
      </c>
      <c r="Y39" s="14" t="n">
        <v>0.06</v>
      </c>
      <c r="Z39" s="14" t="n">
        <v>0.05</v>
      </c>
      <c r="AA39" s="14" t="n">
        <v>0.1</v>
      </c>
      <c r="AB39" s="14" t="n">
        <v>0.09</v>
      </c>
      <c r="AC39" s="14" t="n">
        <v>0.04</v>
      </c>
      <c r="AD39" s="14" t="n">
        <v>0.05</v>
      </c>
      <c r="AE39" s="14" t="n">
        <v>0.04</v>
      </c>
      <c r="AF39" s="14" t="n">
        <v>0.03</v>
      </c>
    </row>
    <row r="40">
      <c r="A40" s="20" t="n"/>
      <c r="B40" s="11" t="inlineStr">
        <is>
          <t>Autre (SPONTANÉ)</t>
        </is>
      </c>
      <c r="C40" s="12" t="n">
        <v>207</v>
      </c>
      <c r="D40" s="12" t="n">
        <v>1</v>
      </c>
      <c r="E40" s="12" t="n">
        <v>4</v>
      </c>
      <c r="F40" s="12" t="n">
        <v>0</v>
      </c>
      <c r="G40" s="12" t="n">
        <v>1</v>
      </c>
      <c r="H40" s="12" t="n">
        <v>23</v>
      </c>
      <c r="I40" s="12" t="n">
        <v>23</v>
      </c>
      <c r="J40" s="12" t="n">
        <v>0</v>
      </c>
      <c r="K40" s="12" t="n">
        <v>12</v>
      </c>
      <c r="L40" s="12" t="n">
        <v>6</v>
      </c>
      <c r="M40" s="12" t="n">
        <v>4</v>
      </c>
      <c r="N40" s="12" t="n">
        <v>9</v>
      </c>
      <c r="O40" s="12" t="n">
        <v>8</v>
      </c>
      <c r="P40" s="12" t="n">
        <v>0</v>
      </c>
      <c r="Q40" s="12" t="n">
        <v>9</v>
      </c>
      <c r="R40" s="12" t="n">
        <v>0</v>
      </c>
      <c r="S40" s="12" t="n">
        <v>5</v>
      </c>
      <c r="T40" s="12" t="n">
        <v>13</v>
      </c>
      <c r="U40" s="12" t="n">
        <v>1</v>
      </c>
      <c r="V40" s="12" t="n">
        <v>2</v>
      </c>
      <c r="W40" s="12" t="n">
        <v>4</v>
      </c>
      <c r="X40" s="12" t="n">
        <v>4</v>
      </c>
      <c r="Y40" s="12" t="n">
        <v>20</v>
      </c>
      <c r="Z40" s="12" t="n">
        <v>2</v>
      </c>
      <c r="AA40" s="12" t="n">
        <v>1</v>
      </c>
      <c r="AB40" s="12" t="n">
        <v>6</v>
      </c>
      <c r="AC40" s="12" t="n">
        <v>2</v>
      </c>
      <c r="AD40" s="12" t="n">
        <v>4</v>
      </c>
      <c r="AE40" s="12" t="n">
        <v>2</v>
      </c>
      <c r="AF40" s="12" t="n">
        <v>2</v>
      </c>
    </row>
    <row r="41">
      <c r="A41" s="20" t="n"/>
      <c r="B41" s="13" t="inlineStr">
        <is>
          <t>Other (SPONTANEOUS)</t>
        </is>
      </c>
      <c r="C41" s="14" t="n">
        <v>0.01</v>
      </c>
      <c r="D41" s="15" t="inlineStr">
        <is>
          <t>-</t>
        </is>
      </c>
      <c r="E41" s="15" t="inlineStr">
        <is>
          <t>-</t>
        </is>
      </c>
      <c r="F41" s="15" t="inlineStr">
        <is>
          <t>-</t>
        </is>
      </c>
      <c r="G41" s="15" t="inlineStr">
        <is>
          <t>-</t>
        </is>
      </c>
      <c r="H41" s="14" t="n">
        <v>0.02</v>
      </c>
      <c r="I41" s="14" t="n">
        <v>0.02</v>
      </c>
      <c r="J41" s="15" t="inlineStr">
        <is>
          <t>-</t>
        </is>
      </c>
      <c r="K41" s="14" t="n">
        <v>0.01</v>
      </c>
      <c r="L41" s="14" t="n">
        <v>0.01</v>
      </c>
      <c r="M41" s="15" t="inlineStr">
        <is>
          <t>-</t>
        </is>
      </c>
      <c r="N41" s="14" t="n">
        <v>0.01</v>
      </c>
      <c r="O41" s="14" t="n">
        <v>0.01</v>
      </c>
      <c r="P41" s="15" t="inlineStr">
        <is>
          <t>-</t>
        </is>
      </c>
      <c r="Q41" s="14" t="n">
        <v>0.01</v>
      </c>
      <c r="R41" s="15" t="inlineStr">
        <is>
          <t>-</t>
        </is>
      </c>
      <c r="S41" s="15" t="inlineStr">
        <is>
          <t>-</t>
        </is>
      </c>
      <c r="T41" s="14" t="n">
        <v>0.01</v>
      </c>
      <c r="U41" s="15" t="inlineStr">
        <is>
          <t>-</t>
        </is>
      </c>
      <c r="V41" s="15" t="inlineStr">
        <is>
          <t>-</t>
        </is>
      </c>
      <c r="W41" s="14" t="n">
        <v>0.01</v>
      </c>
      <c r="X41" s="15" t="inlineStr">
        <is>
          <t>-</t>
        </is>
      </c>
      <c r="Y41" s="14" t="n">
        <v>0.02</v>
      </c>
      <c r="Z41" s="15" t="inlineStr">
        <is>
          <t>-</t>
        </is>
      </c>
      <c r="AA41" s="15" t="inlineStr">
        <is>
          <t>-</t>
        </is>
      </c>
      <c r="AB41" s="14" t="n">
        <v>0.01</v>
      </c>
      <c r="AC41" s="15" t="inlineStr">
        <is>
          <t>-</t>
        </is>
      </c>
      <c r="AD41" s="15" t="inlineStr">
        <is>
          <t>-</t>
        </is>
      </c>
      <c r="AE41" s="15" t="inlineStr">
        <is>
          <t>-</t>
        </is>
      </c>
      <c r="AF41" s="15" t="inlineStr">
        <is>
          <t>-</t>
        </is>
      </c>
    </row>
    <row r="42">
      <c r="A42" s="20" t="n"/>
      <c r="B42" s="11" t="inlineStr">
        <is>
          <t>Aucun (SPONTANÉ)</t>
        </is>
      </c>
      <c r="C42" s="12" t="n">
        <v>138</v>
      </c>
      <c r="D42" s="12" t="n">
        <v>2</v>
      </c>
      <c r="E42" s="12" t="n">
        <v>9</v>
      </c>
      <c r="F42" s="12" t="n">
        <v>13</v>
      </c>
      <c r="G42" s="12" t="n">
        <v>2</v>
      </c>
      <c r="H42" s="12" t="n">
        <v>13</v>
      </c>
      <c r="I42" s="12" t="n">
        <v>13</v>
      </c>
      <c r="J42" s="12" t="n">
        <v>0</v>
      </c>
      <c r="K42" s="12" t="n">
        <v>9</v>
      </c>
      <c r="L42" s="12" t="n">
        <v>1</v>
      </c>
      <c r="M42" s="12" t="n">
        <v>2</v>
      </c>
      <c r="N42" s="12" t="n">
        <v>4</v>
      </c>
      <c r="O42" s="12" t="n">
        <v>7</v>
      </c>
      <c r="P42" s="12" t="n">
        <v>1</v>
      </c>
      <c r="Q42" s="12" t="n">
        <v>2</v>
      </c>
      <c r="R42" s="12" t="n">
        <v>0</v>
      </c>
      <c r="S42" s="12" t="n">
        <v>5</v>
      </c>
      <c r="T42" s="12" t="n">
        <v>1</v>
      </c>
      <c r="U42" s="12" t="n">
        <v>1</v>
      </c>
      <c r="V42" s="12" t="n">
        <v>0</v>
      </c>
      <c r="W42" s="12" t="n">
        <v>0</v>
      </c>
      <c r="X42" s="12" t="n">
        <v>17</v>
      </c>
      <c r="Y42" s="12" t="n">
        <v>7</v>
      </c>
      <c r="Z42" s="12" t="n">
        <v>3</v>
      </c>
      <c r="AA42" s="12" t="n">
        <v>2</v>
      </c>
      <c r="AB42" s="12" t="n">
        <v>4</v>
      </c>
      <c r="AC42" s="12" t="n">
        <v>14</v>
      </c>
      <c r="AD42" s="12" t="n">
        <v>2</v>
      </c>
      <c r="AE42" s="12" t="n">
        <v>2</v>
      </c>
      <c r="AF42" s="12" t="n">
        <v>0</v>
      </c>
    </row>
    <row r="43">
      <c r="A43" s="20" t="n"/>
      <c r="B43" s="13" t="inlineStr">
        <is>
          <t>None (SPONTANEOUS)</t>
        </is>
      </c>
      <c r="C43" s="14" t="n">
        <v>0.01</v>
      </c>
      <c r="D43" s="15" t="inlineStr">
        <is>
          <t>-</t>
        </is>
      </c>
      <c r="E43" s="14" t="n">
        <v>0.01</v>
      </c>
      <c r="F43" s="14" t="n">
        <v>0.01</v>
      </c>
      <c r="G43" s="15" t="inlineStr">
        <is>
          <t>-</t>
        </is>
      </c>
      <c r="H43" s="14" t="n">
        <v>0.01</v>
      </c>
      <c r="I43" s="14" t="n">
        <v>0.01</v>
      </c>
      <c r="J43" s="15" t="inlineStr">
        <is>
          <t>-</t>
        </is>
      </c>
      <c r="K43" s="14" t="n">
        <v>0.01</v>
      </c>
      <c r="L43" s="15" t="inlineStr">
        <is>
          <t>-</t>
        </is>
      </c>
      <c r="M43" s="15" t="inlineStr">
        <is>
          <t>-</t>
        </is>
      </c>
      <c r="N43" s="15" t="inlineStr">
        <is>
          <t>-</t>
        </is>
      </c>
      <c r="O43" s="14" t="n">
        <v>0.01</v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15" t="inlineStr">
        <is>
          <t>-</t>
        </is>
      </c>
      <c r="T43" s="15" t="inlineStr">
        <is>
          <t>-</t>
        </is>
      </c>
      <c r="U43" s="15" t="inlineStr">
        <is>
          <t>-</t>
        </is>
      </c>
      <c r="V43" s="15" t="inlineStr">
        <is>
          <t>-</t>
        </is>
      </c>
      <c r="W43" s="15" t="inlineStr">
        <is>
          <t>-</t>
        </is>
      </c>
      <c r="X43" s="14" t="n">
        <v>0.02</v>
      </c>
      <c r="Y43" s="14" t="n">
        <v>0.01</v>
      </c>
      <c r="Z43" s="15" t="inlineStr">
        <is>
          <t>-</t>
        </is>
      </c>
      <c r="AA43" s="15" t="inlineStr">
        <is>
          <t>-</t>
        </is>
      </c>
      <c r="AB43" s="15" t="inlineStr">
        <is>
          <t>-</t>
        </is>
      </c>
      <c r="AC43" s="14" t="n">
        <v>0.01</v>
      </c>
      <c r="AD43" s="15" t="inlineStr">
        <is>
          <t>-</t>
        </is>
      </c>
      <c r="AE43" s="15" t="inlineStr">
        <is>
          <t>-</t>
        </is>
      </c>
      <c r="AF43" s="15" t="inlineStr">
        <is>
          <t>-</t>
        </is>
      </c>
    </row>
    <row r="44">
      <c r="A44" s="20" t="n"/>
      <c r="B44" s="11" t="inlineStr">
        <is>
          <t>Ne sait pas</t>
        </is>
      </c>
      <c r="C44" s="12" t="n">
        <v>318</v>
      </c>
      <c r="D44" s="12" t="n">
        <v>3</v>
      </c>
      <c r="E44" s="12" t="n">
        <v>27</v>
      </c>
      <c r="F44" s="12" t="n">
        <v>27</v>
      </c>
      <c r="G44" s="12" t="n">
        <v>7</v>
      </c>
      <c r="H44" s="12" t="n">
        <v>10</v>
      </c>
      <c r="I44" s="12" t="n">
        <v>10</v>
      </c>
      <c r="J44" s="12" t="n">
        <v>0</v>
      </c>
      <c r="K44" s="12" t="n">
        <v>16</v>
      </c>
      <c r="L44" s="12" t="n">
        <v>14</v>
      </c>
      <c r="M44" s="12" t="n">
        <v>8</v>
      </c>
      <c r="N44" s="12" t="n">
        <v>20</v>
      </c>
      <c r="O44" s="12" t="n">
        <v>25</v>
      </c>
      <c r="P44" s="12" t="n">
        <v>4</v>
      </c>
      <c r="Q44" s="12" t="n">
        <v>3</v>
      </c>
      <c r="R44" s="12" t="n">
        <v>7</v>
      </c>
      <c r="S44" s="12" t="n">
        <v>12</v>
      </c>
      <c r="T44" s="12" t="n">
        <v>11</v>
      </c>
      <c r="U44" s="12" t="n">
        <v>5</v>
      </c>
      <c r="V44" s="12" t="n">
        <v>1</v>
      </c>
      <c r="W44" s="12" t="n">
        <v>5</v>
      </c>
      <c r="X44" s="12" t="n">
        <v>4</v>
      </c>
      <c r="Y44" s="12" t="n">
        <v>5</v>
      </c>
      <c r="Z44" s="12" t="n">
        <v>10</v>
      </c>
      <c r="AA44" s="12" t="n">
        <v>20</v>
      </c>
      <c r="AB44" s="12" t="n">
        <v>27</v>
      </c>
      <c r="AC44" s="12" t="n">
        <v>5</v>
      </c>
      <c r="AD44" s="12" t="n">
        <v>2</v>
      </c>
      <c r="AE44" s="12" t="n">
        <v>9</v>
      </c>
      <c r="AF44" s="12" t="n">
        <v>2</v>
      </c>
    </row>
    <row r="45">
      <c r="A45" s="23" t="n"/>
      <c r="B45" s="13" t="inlineStr">
        <is>
          <t>Don't know</t>
        </is>
      </c>
      <c r="C45" s="14" t="n">
        <v>0.01</v>
      </c>
      <c r="D45" s="15" t="inlineStr">
        <is>
          <t>-</t>
        </is>
      </c>
      <c r="E45" s="14" t="n">
        <v>0.03</v>
      </c>
      <c r="F45" s="14" t="n">
        <v>0.03</v>
      </c>
      <c r="G45" s="14" t="n">
        <v>0.01</v>
      </c>
      <c r="H45" s="14" t="n">
        <v>0.01</v>
      </c>
      <c r="I45" s="14" t="n">
        <v>0.01</v>
      </c>
      <c r="J45" s="15" t="inlineStr">
        <is>
          <t>-</t>
        </is>
      </c>
      <c r="K45" s="14" t="n">
        <v>0.02</v>
      </c>
      <c r="L45" s="14" t="n">
        <v>0.01</v>
      </c>
      <c r="M45" s="14" t="n">
        <v>0.01</v>
      </c>
      <c r="N45" s="14" t="n">
        <v>0.02</v>
      </c>
      <c r="O45" s="14" t="n">
        <v>0.02</v>
      </c>
      <c r="P45" s="15" t="inlineStr">
        <is>
          <t>-</t>
        </is>
      </c>
      <c r="Q45" s="15" t="inlineStr">
        <is>
          <t>-</t>
        </is>
      </c>
      <c r="R45" s="14" t="n">
        <v>0.01</v>
      </c>
      <c r="S45" s="14" t="n">
        <v>0.01</v>
      </c>
      <c r="T45" s="14" t="n">
        <v>0.01</v>
      </c>
      <c r="U45" s="14" t="n">
        <v>0.01</v>
      </c>
      <c r="V45" s="15" t="inlineStr">
        <is>
          <t>-</t>
        </is>
      </c>
      <c r="W45" s="14" t="n">
        <v>0.01</v>
      </c>
      <c r="X45" s="15" t="inlineStr">
        <is>
          <t>-</t>
        </is>
      </c>
      <c r="Y45" s="15" t="inlineStr">
        <is>
          <t>-</t>
        </is>
      </c>
      <c r="Z45" s="14" t="n">
        <v>0.01</v>
      </c>
      <c r="AA45" s="14" t="n">
        <v>0.02</v>
      </c>
      <c r="AB45" s="14" t="n">
        <v>0.03</v>
      </c>
      <c r="AC45" s="14" t="n">
        <v>0.01</v>
      </c>
      <c r="AD45" s="15" t="inlineStr">
        <is>
          <t>-</t>
        </is>
      </c>
      <c r="AE45" s="14" t="n">
        <v>0.01</v>
      </c>
      <c r="AF45" s="15" t="inlineStr">
        <is>
          <t>-</t>
        </is>
      </c>
    </row>
  </sheetData>
  <mergeCells count="9">
    <mergeCell ref="B4:F4"/>
    <mergeCell ref="H3:L3"/>
    <mergeCell ref="C8:AF8"/>
    <mergeCell ref="A10:A45"/>
    <mergeCell ref="B3:F3"/>
    <mergeCell ref="B5:F5"/>
    <mergeCell ref="H5:L5"/>
    <mergeCell ref="B10:B11"/>
    <mergeCell ref="H4:L4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24" customHeight="1" s="18">
      <c r="B3" s="21" t="inlineStr">
        <is>
          <t>QA12.1. Diriez-vous que vous êtes très optimiste, plutôt optimiste, plutôt pessimiste ou très pessimiste concernant le futur de/du… ?</t>
        </is>
      </c>
      <c r="H3" s="21" t="inlineStr">
        <is>
          <t>QA12.1. Would you say that you are very optimistic, fairly optimistic, fairly pessimistic or very pessimistic about the future of ...?</t>
        </is>
      </c>
    </row>
    <row r="4" ht="27" customHeight="1" s="18">
      <c r="B4" s="21" t="inlineStr">
        <is>
          <t>Votre famille et vous-même</t>
        </is>
      </c>
      <c r="H4" s="21" t="inlineStr">
        <is>
          <t>Your family and yourself</t>
        </is>
      </c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HYPERLINK("#Content!A32","&lt;&lt;Back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Très optimiste</t>
        </is>
      </c>
      <c r="C12" s="12" t="n">
        <v>4551</v>
      </c>
      <c r="D12" s="12" t="n">
        <v>123</v>
      </c>
      <c r="E12" s="12" t="n">
        <v>191</v>
      </c>
      <c r="F12" s="12" t="n">
        <v>252</v>
      </c>
      <c r="G12" s="12" t="n">
        <v>393</v>
      </c>
      <c r="H12" s="12" t="n">
        <v>169</v>
      </c>
      <c r="I12" s="12" t="n">
        <v>214</v>
      </c>
      <c r="J12" s="12" t="n">
        <v>45</v>
      </c>
      <c r="K12" s="12" t="n">
        <v>145</v>
      </c>
      <c r="L12" s="12" t="n">
        <v>320</v>
      </c>
      <c r="M12" s="12" t="n">
        <v>176</v>
      </c>
      <c r="N12" s="12" t="n">
        <v>283</v>
      </c>
      <c r="O12" s="12" t="n">
        <v>91</v>
      </c>
      <c r="P12" s="12" t="n">
        <v>233</v>
      </c>
      <c r="Q12" s="12" t="n">
        <v>77</v>
      </c>
      <c r="R12" s="12" t="n">
        <v>72</v>
      </c>
      <c r="S12" s="12" t="n">
        <v>117</v>
      </c>
      <c r="T12" s="12" t="n">
        <v>252</v>
      </c>
      <c r="U12" s="12" t="n">
        <v>90</v>
      </c>
      <c r="V12" s="12" t="n">
        <v>131</v>
      </c>
      <c r="W12" s="12" t="n">
        <v>123</v>
      </c>
      <c r="X12" s="12" t="n">
        <v>247</v>
      </c>
      <c r="Y12" s="12" t="n">
        <v>309</v>
      </c>
      <c r="Z12" s="12" t="n">
        <v>169</v>
      </c>
      <c r="AA12" s="12" t="n">
        <v>121</v>
      </c>
      <c r="AB12" s="12" t="n">
        <v>300</v>
      </c>
      <c r="AC12" s="12" t="n">
        <v>344</v>
      </c>
      <c r="AD12" s="12" t="n">
        <v>221</v>
      </c>
      <c r="AE12" s="12" t="n">
        <v>358</v>
      </c>
      <c r="AF12" s="12" t="n">
        <v>276</v>
      </c>
    </row>
    <row r="13">
      <c r="A13" s="20" t="n"/>
      <c r="B13" s="13" t="inlineStr">
        <is>
          <t>Very optimistic</t>
        </is>
      </c>
      <c r="C13" s="14" t="n">
        <v>0.17</v>
      </c>
      <c r="D13" s="14" t="n">
        <v>0.12</v>
      </c>
      <c r="E13" s="14" t="n">
        <v>0.19</v>
      </c>
      <c r="F13" s="14" t="n">
        <v>0.24</v>
      </c>
      <c r="G13" s="14" t="n">
        <v>0.39</v>
      </c>
      <c r="H13" s="14" t="n">
        <v>0.14</v>
      </c>
      <c r="I13" s="14" t="n">
        <v>0.14</v>
      </c>
      <c r="J13" s="14" t="n">
        <v>0.16</v>
      </c>
      <c r="K13" s="14" t="n">
        <v>0.14</v>
      </c>
      <c r="L13" s="14" t="n">
        <v>0.32</v>
      </c>
      <c r="M13" s="14" t="n">
        <v>0.17</v>
      </c>
      <c r="N13" s="14" t="n">
        <v>0.28</v>
      </c>
      <c r="O13" s="14" t="n">
        <v>0.09</v>
      </c>
      <c r="P13" s="14" t="n">
        <v>0.23</v>
      </c>
      <c r="Q13" s="14" t="n">
        <v>0.07000000000000001</v>
      </c>
      <c r="R13" s="14" t="n">
        <v>0.14</v>
      </c>
      <c r="S13" s="14" t="n">
        <v>0.12</v>
      </c>
      <c r="T13" s="14" t="n">
        <v>0.25</v>
      </c>
      <c r="U13" s="14" t="n">
        <v>0.18</v>
      </c>
      <c r="V13" s="14" t="n">
        <v>0.13</v>
      </c>
      <c r="W13" s="14" t="n">
        <v>0.24</v>
      </c>
      <c r="X13" s="14" t="n">
        <v>0.24</v>
      </c>
      <c r="Y13" s="14" t="n">
        <v>0.31</v>
      </c>
      <c r="Z13" s="14" t="n">
        <v>0.17</v>
      </c>
      <c r="AA13" s="14" t="n">
        <v>0.12</v>
      </c>
      <c r="AB13" s="14" t="n">
        <v>0.29</v>
      </c>
      <c r="AC13" s="14" t="n">
        <v>0.34</v>
      </c>
      <c r="AD13" s="14" t="n">
        <v>0.22</v>
      </c>
      <c r="AE13" s="14" t="n">
        <v>0.35</v>
      </c>
      <c r="AF13" s="14" t="n">
        <v>0.27</v>
      </c>
    </row>
    <row r="14">
      <c r="A14" s="20" t="n"/>
      <c r="B14" s="11" t="inlineStr">
        <is>
          <t>Plutôt optimiste</t>
        </is>
      </c>
      <c r="C14" s="12" t="n">
        <v>15551</v>
      </c>
      <c r="D14" s="12" t="n">
        <v>607</v>
      </c>
      <c r="E14" s="12" t="n">
        <v>506</v>
      </c>
      <c r="F14" s="12" t="n">
        <v>612</v>
      </c>
      <c r="G14" s="12" t="n">
        <v>519</v>
      </c>
      <c r="H14" s="12" t="n">
        <v>746</v>
      </c>
      <c r="I14" s="12" t="n">
        <v>898</v>
      </c>
      <c r="J14" s="12" t="n">
        <v>152</v>
      </c>
      <c r="K14" s="12" t="n">
        <v>641</v>
      </c>
      <c r="L14" s="12" t="n">
        <v>539</v>
      </c>
      <c r="M14" s="12" t="n">
        <v>549</v>
      </c>
      <c r="N14" s="12" t="n">
        <v>544</v>
      </c>
      <c r="O14" s="12" t="n">
        <v>539</v>
      </c>
      <c r="P14" s="12" t="n">
        <v>558</v>
      </c>
      <c r="Q14" s="12" t="n">
        <v>700</v>
      </c>
      <c r="R14" s="12" t="n">
        <v>300</v>
      </c>
      <c r="S14" s="12" t="n">
        <v>605</v>
      </c>
      <c r="T14" s="12" t="n">
        <v>566</v>
      </c>
      <c r="U14" s="12" t="n">
        <v>328</v>
      </c>
      <c r="V14" s="12" t="n">
        <v>683</v>
      </c>
      <c r="W14" s="12" t="n">
        <v>308</v>
      </c>
      <c r="X14" s="12" t="n">
        <v>589</v>
      </c>
      <c r="Y14" s="12" t="n">
        <v>504</v>
      </c>
      <c r="Z14" s="12" t="n">
        <v>730</v>
      </c>
      <c r="AA14" s="12" t="n">
        <v>596</v>
      </c>
      <c r="AB14" s="12" t="n">
        <v>494</v>
      </c>
      <c r="AC14" s="12" t="n">
        <v>569</v>
      </c>
      <c r="AD14" s="12" t="n">
        <v>622</v>
      </c>
      <c r="AE14" s="12" t="n">
        <v>541</v>
      </c>
      <c r="AF14" s="12" t="n">
        <v>608</v>
      </c>
    </row>
    <row r="15">
      <c r="A15" s="20" t="n"/>
      <c r="B15" s="13" t="inlineStr">
        <is>
          <t>Fairly optimistic</t>
        </is>
      </c>
      <c r="C15" s="14" t="n">
        <v>0.59</v>
      </c>
      <c r="D15" s="14" t="n">
        <v>0.6</v>
      </c>
      <c r="E15" s="14" t="n">
        <v>0.5</v>
      </c>
      <c r="F15" s="14" t="n">
        <v>0.58</v>
      </c>
      <c r="G15" s="14" t="n">
        <v>0.52</v>
      </c>
      <c r="H15" s="14" t="n">
        <v>0.62</v>
      </c>
      <c r="I15" s="14" t="n">
        <v>0.6</v>
      </c>
      <c r="J15" s="14" t="n">
        <v>0.52</v>
      </c>
      <c r="K15" s="14" t="n">
        <v>0.64</v>
      </c>
      <c r="L15" s="14" t="n">
        <v>0.53</v>
      </c>
      <c r="M15" s="14" t="n">
        <v>0.54</v>
      </c>
      <c r="N15" s="14" t="n">
        <v>0.54</v>
      </c>
      <c r="O15" s="14" t="n">
        <v>0.53</v>
      </c>
      <c r="P15" s="14" t="n">
        <v>0.55</v>
      </c>
      <c r="Q15" s="14" t="n">
        <v>0.68</v>
      </c>
      <c r="R15" s="14" t="n">
        <v>0.6</v>
      </c>
      <c r="S15" s="14" t="n">
        <v>0.6</v>
      </c>
      <c r="T15" s="14" t="n">
        <v>0.5600000000000001</v>
      </c>
      <c r="U15" s="14" t="n">
        <v>0.64</v>
      </c>
      <c r="V15" s="14" t="n">
        <v>0.67</v>
      </c>
      <c r="W15" s="14" t="n">
        <v>0.61</v>
      </c>
      <c r="X15" s="14" t="n">
        <v>0.58</v>
      </c>
      <c r="Y15" s="14" t="n">
        <v>0.5</v>
      </c>
      <c r="Z15" s="14" t="n">
        <v>0.71</v>
      </c>
      <c r="AA15" s="14" t="n">
        <v>0.58</v>
      </c>
      <c r="AB15" s="14" t="n">
        <v>0.47</v>
      </c>
      <c r="AC15" s="14" t="n">
        <v>0.5700000000000001</v>
      </c>
      <c r="AD15" s="14" t="n">
        <v>0.62</v>
      </c>
      <c r="AE15" s="14" t="n">
        <v>0.53</v>
      </c>
      <c r="AF15" s="14" t="n">
        <v>0.59</v>
      </c>
    </row>
    <row r="16">
      <c r="A16" s="20" t="n"/>
      <c r="B16" s="11" t="inlineStr">
        <is>
          <t>Plutôt pessimiste</t>
        </is>
      </c>
      <c r="C16" s="12" t="n">
        <v>5197</v>
      </c>
      <c r="D16" s="12" t="n">
        <v>258</v>
      </c>
      <c r="E16" s="12" t="n">
        <v>221</v>
      </c>
      <c r="F16" s="12" t="n">
        <v>151</v>
      </c>
      <c r="G16" s="12" t="n">
        <v>75</v>
      </c>
      <c r="H16" s="12" t="n">
        <v>244</v>
      </c>
      <c r="I16" s="12" t="n">
        <v>324</v>
      </c>
      <c r="J16" s="12" t="n">
        <v>80</v>
      </c>
      <c r="K16" s="12" t="n">
        <v>153</v>
      </c>
      <c r="L16" s="12" t="n">
        <v>130</v>
      </c>
      <c r="M16" s="12" t="n">
        <v>231</v>
      </c>
      <c r="N16" s="12" t="n">
        <v>152</v>
      </c>
      <c r="O16" s="12" t="n">
        <v>303</v>
      </c>
      <c r="P16" s="12" t="n">
        <v>162</v>
      </c>
      <c r="Q16" s="12" t="n">
        <v>223</v>
      </c>
      <c r="R16" s="12" t="n">
        <v>92</v>
      </c>
      <c r="S16" s="12" t="n">
        <v>249</v>
      </c>
      <c r="T16" s="12" t="n">
        <v>168</v>
      </c>
      <c r="U16" s="12" t="n">
        <v>76</v>
      </c>
      <c r="V16" s="12" t="n">
        <v>173</v>
      </c>
      <c r="W16" s="12" t="n">
        <v>58</v>
      </c>
      <c r="X16" s="12" t="n">
        <v>155</v>
      </c>
      <c r="Y16" s="12" t="n">
        <v>134</v>
      </c>
      <c r="Z16" s="12" t="n">
        <v>89</v>
      </c>
      <c r="AA16" s="12" t="n">
        <v>293</v>
      </c>
      <c r="AB16" s="12" t="n">
        <v>208</v>
      </c>
      <c r="AC16" s="12" t="n">
        <v>84</v>
      </c>
      <c r="AD16" s="12" t="n">
        <v>140</v>
      </c>
      <c r="AE16" s="12" t="n">
        <v>94</v>
      </c>
      <c r="AF16" s="12" t="n">
        <v>136</v>
      </c>
    </row>
    <row r="17">
      <c r="A17" s="20" t="n"/>
      <c r="B17" s="13" t="inlineStr">
        <is>
          <t>Fairly pessimistic</t>
        </is>
      </c>
      <c r="C17" s="14" t="n">
        <v>0.2</v>
      </c>
      <c r="D17" s="14" t="n">
        <v>0.25</v>
      </c>
      <c r="E17" s="14" t="n">
        <v>0.22</v>
      </c>
      <c r="F17" s="14" t="n">
        <v>0.15</v>
      </c>
      <c r="G17" s="14" t="n">
        <v>0.07000000000000001</v>
      </c>
      <c r="H17" s="14" t="n">
        <v>0.2</v>
      </c>
      <c r="I17" s="14" t="n">
        <v>0.21</v>
      </c>
      <c r="J17" s="14" t="n">
        <v>0.27</v>
      </c>
      <c r="K17" s="14" t="n">
        <v>0.15</v>
      </c>
      <c r="L17" s="14" t="n">
        <v>0.13</v>
      </c>
      <c r="M17" s="14" t="n">
        <v>0.23</v>
      </c>
      <c r="N17" s="14" t="n">
        <v>0.15</v>
      </c>
      <c r="O17" s="14" t="n">
        <v>0.3</v>
      </c>
      <c r="P17" s="14" t="n">
        <v>0.16</v>
      </c>
      <c r="Q17" s="14" t="n">
        <v>0.22</v>
      </c>
      <c r="R17" s="14" t="n">
        <v>0.18</v>
      </c>
      <c r="S17" s="14" t="n">
        <v>0.25</v>
      </c>
      <c r="T17" s="14" t="n">
        <v>0.16</v>
      </c>
      <c r="U17" s="14" t="n">
        <v>0.15</v>
      </c>
      <c r="V17" s="14" t="n">
        <v>0.17</v>
      </c>
      <c r="W17" s="14" t="n">
        <v>0.12</v>
      </c>
      <c r="X17" s="14" t="n">
        <v>0.15</v>
      </c>
      <c r="Y17" s="14" t="n">
        <v>0.13</v>
      </c>
      <c r="Z17" s="14" t="n">
        <v>0.09</v>
      </c>
      <c r="AA17" s="14" t="n">
        <v>0.28</v>
      </c>
      <c r="AB17" s="14" t="n">
        <v>0.2</v>
      </c>
      <c r="AC17" s="14" t="n">
        <v>0.08</v>
      </c>
      <c r="AD17" s="14" t="n">
        <v>0.14</v>
      </c>
      <c r="AE17" s="14" t="n">
        <v>0.09</v>
      </c>
      <c r="AF17" s="14" t="n">
        <v>0.13</v>
      </c>
    </row>
    <row r="18">
      <c r="A18" s="20" t="n"/>
      <c r="B18" s="11" t="inlineStr">
        <is>
          <t>Très pessimiste</t>
        </is>
      </c>
      <c r="C18" s="12" t="n">
        <v>746</v>
      </c>
      <c r="D18" s="12" t="n">
        <v>24</v>
      </c>
      <c r="E18" s="12" t="n">
        <v>55</v>
      </c>
      <c r="F18" s="12" t="n">
        <v>20</v>
      </c>
      <c r="G18" s="12" t="n">
        <v>8</v>
      </c>
      <c r="H18" s="12" t="n">
        <v>42</v>
      </c>
      <c r="I18" s="12" t="n">
        <v>55</v>
      </c>
      <c r="J18" s="12" t="n">
        <v>12</v>
      </c>
      <c r="K18" s="12" t="n">
        <v>22</v>
      </c>
      <c r="L18" s="12" t="n">
        <v>8</v>
      </c>
      <c r="M18" s="12" t="n">
        <v>45</v>
      </c>
      <c r="N18" s="12" t="n">
        <v>21</v>
      </c>
      <c r="O18" s="12" t="n">
        <v>60</v>
      </c>
      <c r="P18" s="12" t="n">
        <v>46</v>
      </c>
      <c r="Q18" s="12" t="n">
        <v>14</v>
      </c>
      <c r="R18" s="12" t="n">
        <v>31</v>
      </c>
      <c r="S18" s="12" t="n">
        <v>19</v>
      </c>
      <c r="T18" s="12" t="n">
        <v>14</v>
      </c>
      <c r="U18" s="12" t="n">
        <v>8</v>
      </c>
      <c r="V18" s="12" t="n">
        <v>22</v>
      </c>
      <c r="W18" s="12" t="n">
        <v>4</v>
      </c>
      <c r="X18" s="12" t="n">
        <v>20</v>
      </c>
      <c r="Y18" s="12" t="n">
        <v>25</v>
      </c>
      <c r="Z18" s="12" t="n">
        <v>11</v>
      </c>
      <c r="AA18" s="12" t="n">
        <v>5</v>
      </c>
      <c r="AB18" s="12" t="n">
        <v>35</v>
      </c>
      <c r="AC18" s="12" t="n">
        <v>6</v>
      </c>
      <c r="AD18" s="12" t="n">
        <v>14</v>
      </c>
      <c r="AE18" s="12" t="n">
        <v>7</v>
      </c>
      <c r="AF18" s="12" t="n">
        <v>15</v>
      </c>
    </row>
    <row r="19">
      <c r="A19" s="20" t="n"/>
      <c r="B19" s="13" t="inlineStr">
        <is>
          <t>Very pessimistic</t>
        </is>
      </c>
      <c r="C19" s="14" t="n">
        <v>0.03</v>
      </c>
      <c r="D19" s="14" t="n">
        <v>0.02</v>
      </c>
      <c r="E19" s="14" t="n">
        <v>0.05</v>
      </c>
      <c r="F19" s="14" t="n">
        <v>0.02</v>
      </c>
      <c r="G19" s="14" t="n">
        <v>0.01</v>
      </c>
      <c r="H19" s="14" t="n">
        <v>0.03</v>
      </c>
      <c r="I19" s="14" t="n">
        <v>0.04</v>
      </c>
      <c r="J19" s="14" t="n">
        <v>0.04</v>
      </c>
      <c r="K19" s="14" t="n">
        <v>0.02</v>
      </c>
      <c r="L19" s="14" t="n">
        <v>0.01</v>
      </c>
      <c r="M19" s="14" t="n">
        <v>0.05</v>
      </c>
      <c r="N19" s="14" t="n">
        <v>0.02</v>
      </c>
      <c r="O19" s="14" t="n">
        <v>0.06</v>
      </c>
      <c r="P19" s="14" t="n">
        <v>0.05</v>
      </c>
      <c r="Q19" s="14" t="n">
        <v>0.01</v>
      </c>
      <c r="R19" s="14" t="n">
        <v>0.06</v>
      </c>
      <c r="S19" s="14" t="n">
        <v>0.02</v>
      </c>
      <c r="T19" s="14" t="n">
        <v>0.01</v>
      </c>
      <c r="U19" s="14" t="n">
        <v>0.02</v>
      </c>
      <c r="V19" s="14" t="n">
        <v>0.02</v>
      </c>
      <c r="W19" s="14" t="n">
        <v>0.01</v>
      </c>
      <c r="X19" s="14" t="n">
        <v>0.02</v>
      </c>
      <c r="Y19" s="14" t="n">
        <v>0.03</v>
      </c>
      <c r="Z19" s="14" t="n">
        <v>0.01</v>
      </c>
      <c r="AA19" s="15" t="inlineStr">
        <is>
          <t>-</t>
        </is>
      </c>
      <c r="AB19" s="14" t="n">
        <v>0.03</v>
      </c>
      <c r="AC19" s="14" t="n">
        <v>0.01</v>
      </c>
      <c r="AD19" s="14" t="n">
        <v>0.02</v>
      </c>
      <c r="AE19" s="14" t="n">
        <v>0.01</v>
      </c>
      <c r="AF19" s="14" t="n">
        <v>0.01</v>
      </c>
    </row>
    <row r="20">
      <c r="A20" s="20" t="n"/>
      <c r="B20" s="11" t="inlineStr">
        <is>
          <t>Ne sait pas</t>
        </is>
      </c>
      <c r="C20" s="12" t="n">
        <v>376</v>
      </c>
      <c r="D20" s="12" t="n">
        <v>8</v>
      </c>
      <c r="E20" s="12" t="n">
        <v>41</v>
      </c>
      <c r="F20" s="12" t="n">
        <v>14</v>
      </c>
      <c r="G20" s="12" t="n">
        <v>12</v>
      </c>
      <c r="H20" s="12" t="n">
        <v>13</v>
      </c>
      <c r="I20" s="12" t="n">
        <v>17</v>
      </c>
      <c r="J20" s="12" t="n">
        <v>4</v>
      </c>
      <c r="K20" s="12" t="n">
        <v>45</v>
      </c>
      <c r="L20" s="12" t="n">
        <v>13</v>
      </c>
      <c r="M20" s="12" t="n">
        <v>6</v>
      </c>
      <c r="N20" s="12" t="n">
        <v>6</v>
      </c>
      <c r="O20" s="12" t="n">
        <v>23</v>
      </c>
      <c r="P20" s="12" t="n">
        <v>8</v>
      </c>
      <c r="Q20" s="12" t="n">
        <v>16</v>
      </c>
      <c r="R20" s="12" t="n">
        <v>9</v>
      </c>
      <c r="S20" s="12" t="n">
        <v>16</v>
      </c>
      <c r="T20" s="12" t="n">
        <v>17</v>
      </c>
      <c r="U20" s="12" t="n">
        <v>6</v>
      </c>
      <c r="V20" s="12" t="n">
        <v>12</v>
      </c>
      <c r="W20" s="12" t="n">
        <v>12</v>
      </c>
      <c r="X20" s="12" t="n">
        <v>12</v>
      </c>
      <c r="Y20" s="12" t="n">
        <v>32</v>
      </c>
      <c r="Z20" s="12" t="n">
        <v>21</v>
      </c>
      <c r="AA20" s="12" t="n">
        <v>16</v>
      </c>
      <c r="AB20" s="12" t="n">
        <v>7</v>
      </c>
      <c r="AC20" s="12" t="n">
        <v>4</v>
      </c>
      <c r="AD20" s="12" t="n">
        <v>4</v>
      </c>
      <c r="AE20" s="12" t="n">
        <v>16</v>
      </c>
      <c r="AF20" s="12" t="n">
        <v>2</v>
      </c>
    </row>
    <row r="21">
      <c r="A21" s="23" t="n"/>
      <c r="B21" s="13" t="inlineStr">
        <is>
          <t>Don't know</t>
        </is>
      </c>
      <c r="C21" s="14" t="n">
        <v>0.01</v>
      </c>
      <c r="D21" s="14" t="n">
        <v>0.01</v>
      </c>
      <c r="E21" s="14" t="n">
        <v>0.04</v>
      </c>
      <c r="F21" s="14" t="n">
        <v>0.01</v>
      </c>
      <c r="G21" s="14" t="n">
        <v>0.01</v>
      </c>
      <c r="H21" s="14" t="n">
        <v>0.01</v>
      </c>
      <c r="I21" s="14" t="n">
        <v>0.01</v>
      </c>
      <c r="J21" s="14" t="n">
        <v>0.01</v>
      </c>
      <c r="K21" s="14" t="n">
        <v>0.05</v>
      </c>
      <c r="L21" s="14" t="n">
        <v>0.01</v>
      </c>
      <c r="M21" s="14" t="n">
        <v>0.01</v>
      </c>
      <c r="N21" s="14" t="n">
        <v>0.01</v>
      </c>
      <c r="O21" s="14" t="n">
        <v>0.02</v>
      </c>
      <c r="P21" s="14" t="n">
        <v>0.01</v>
      </c>
      <c r="Q21" s="14" t="n">
        <v>0.02</v>
      </c>
      <c r="R21" s="14" t="n">
        <v>0.02</v>
      </c>
      <c r="S21" s="14" t="n">
        <v>0.01</v>
      </c>
      <c r="T21" s="14" t="n">
        <v>0.02</v>
      </c>
      <c r="U21" s="14" t="n">
        <v>0.01</v>
      </c>
      <c r="V21" s="14" t="n">
        <v>0.01</v>
      </c>
      <c r="W21" s="14" t="n">
        <v>0.02</v>
      </c>
      <c r="X21" s="14" t="n">
        <v>0.01</v>
      </c>
      <c r="Y21" s="14" t="n">
        <v>0.03</v>
      </c>
      <c r="Z21" s="14" t="n">
        <v>0.02</v>
      </c>
      <c r="AA21" s="14" t="n">
        <v>0.02</v>
      </c>
      <c r="AB21" s="14" t="n">
        <v>0.01</v>
      </c>
      <c r="AC21" s="15" t="inlineStr">
        <is>
          <t>-</t>
        </is>
      </c>
      <c r="AD21" s="15" t="inlineStr">
        <is>
          <t>-</t>
        </is>
      </c>
      <c r="AE21" s="14" t="n">
        <v>0.02</v>
      </c>
      <c r="AF21" s="15" t="inlineStr">
        <is>
          <t>-</t>
        </is>
      </c>
    </row>
    <row r="22">
      <c r="A22" s="19" t="n"/>
      <c r="B22" s="11" t="inlineStr">
        <is>
          <t>Total 'Optimiste'</t>
        </is>
      </c>
      <c r="C22" s="12" t="n">
        <v>20102</v>
      </c>
      <c r="D22" s="12" t="n">
        <v>730</v>
      </c>
      <c r="E22" s="12" t="n">
        <v>697</v>
      </c>
      <c r="F22" s="12" t="n">
        <v>864</v>
      </c>
      <c r="G22" s="12" t="n">
        <v>912</v>
      </c>
      <c r="H22" s="12" t="n">
        <v>915</v>
      </c>
      <c r="I22" s="12" t="n">
        <v>1112</v>
      </c>
      <c r="J22" s="12" t="n">
        <v>197</v>
      </c>
      <c r="K22" s="12" t="n">
        <v>786</v>
      </c>
      <c r="L22" s="12" t="n">
        <v>859</v>
      </c>
      <c r="M22" s="12" t="n">
        <v>725</v>
      </c>
      <c r="N22" s="12" t="n">
        <v>827</v>
      </c>
      <c r="O22" s="12" t="n">
        <v>630</v>
      </c>
      <c r="P22" s="12" t="n">
        <v>791</v>
      </c>
      <c r="Q22" s="12" t="n">
        <v>777</v>
      </c>
      <c r="R22" s="12" t="n">
        <v>372</v>
      </c>
      <c r="S22" s="12" t="n">
        <v>722</v>
      </c>
      <c r="T22" s="12" t="n">
        <v>818</v>
      </c>
      <c r="U22" s="12" t="n">
        <v>418</v>
      </c>
      <c r="V22" s="12" t="n">
        <v>814</v>
      </c>
      <c r="W22" s="12" t="n">
        <v>431</v>
      </c>
      <c r="X22" s="12" t="n">
        <v>836</v>
      </c>
      <c r="Y22" s="12" t="n">
        <v>813</v>
      </c>
      <c r="Z22" s="12" t="n">
        <v>899</v>
      </c>
      <c r="AA22" s="12" t="n">
        <v>717</v>
      </c>
      <c r="AB22" s="12" t="n">
        <v>794</v>
      </c>
      <c r="AC22" s="12" t="n">
        <v>913</v>
      </c>
      <c r="AD22" s="12" t="n">
        <v>843</v>
      </c>
      <c r="AE22" s="12" t="n">
        <v>899</v>
      </c>
      <c r="AF22" s="12" t="n">
        <v>884</v>
      </c>
    </row>
    <row r="23">
      <c r="A23" s="20" t="n"/>
      <c r="B23" s="13" t="inlineStr">
        <is>
          <t>Total 'Optimistic'</t>
        </is>
      </c>
      <c r="C23" s="14" t="n">
        <v>0.76</v>
      </c>
      <c r="D23" s="14" t="n">
        <v>0.72</v>
      </c>
      <c r="E23" s="14" t="n">
        <v>0.6900000000000001</v>
      </c>
      <c r="F23" s="14" t="n">
        <v>0.8200000000000001</v>
      </c>
      <c r="G23" s="14" t="n">
        <v>0.91</v>
      </c>
      <c r="H23" s="14" t="n">
        <v>0.76</v>
      </c>
      <c r="I23" s="14" t="n">
        <v>0.74</v>
      </c>
      <c r="J23" s="14" t="n">
        <v>0.68</v>
      </c>
      <c r="K23" s="14" t="n">
        <v>0.78</v>
      </c>
      <c r="L23" s="14" t="n">
        <v>0.85</v>
      </c>
      <c r="M23" s="14" t="n">
        <v>0.71</v>
      </c>
      <c r="N23" s="14" t="n">
        <v>0.8200000000000001</v>
      </c>
      <c r="O23" s="14" t="n">
        <v>0.62</v>
      </c>
      <c r="P23" s="14" t="n">
        <v>0.78</v>
      </c>
      <c r="Q23" s="14" t="n">
        <v>0.75</v>
      </c>
      <c r="R23" s="14" t="n">
        <v>0.74</v>
      </c>
      <c r="S23" s="14" t="n">
        <v>0.72</v>
      </c>
      <c r="T23" s="14" t="n">
        <v>0.8100000000000001</v>
      </c>
      <c r="U23" s="14" t="n">
        <v>0.8200000000000001</v>
      </c>
      <c r="V23" s="14" t="n">
        <v>0.8</v>
      </c>
      <c r="W23" s="14" t="n">
        <v>0.85</v>
      </c>
      <c r="X23" s="14" t="n">
        <v>0.8200000000000001</v>
      </c>
      <c r="Y23" s="14" t="n">
        <v>0.8100000000000001</v>
      </c>
      <c r="Z23" s="14" t="n">
        <v>0.88</v>
      </c>
      <c r="AA23" s="14" t="n">
        <v>0.7000000000000001</v>
      </c>
      <c r="AB23" s="14" t="n">
        <v>0.76</v>
      </c>
      <c r="AC23" s="14" t="n">
        <v>0.91</v>
      </c>
      <c r="AD23" s="14" t="n">
        <v>0.84</v>
      </c>
      <c r="AE23" s="14" t="n">
        <v>0.88</v>
      </c>
      <c r="AF23" s="14" t="n">
        <v>0.86</v>
      </c>
    </row>
    <row r="24">
      <c r="A24" s="20" t="n"/>
      <c r="B24" s="11" t="inlineStr">
        <is>
          <t>Total 'Pessimiste'</t>
        </is>
      </c>
      <c r="C24" s="12" t="n">
        <v>5943</v>
      </c>
      <c r="D24" s="12" t="n">
        <v>282</v>
      </c>
      <c r="E24" s="12" t="n">
        <v>276</v>
      </c>
      <c r="F24" s="12" t="n">
        <v>171</v>
      </c>
      <c r="G24" s="12" t="n">
        <v>83</v>
      </c>
      <c r="H24" s="12" t="n">
        <v>286</v>
      </c>
      <c r="I24" s="12" t="n">
        <v>379</v>
      </c>
      <c r="J24" s="12" t="n">
        <v>92</v>
      </c>
      <c r="K24" s="12" t="n">
        <v>175</v>
      </c>
      <c r="L24" s="12" t="n">
        <v>138</v>
      </c>
      <c r="M24" s="12" t="n">
        <v>276</v>
      </c>
      <c r="N24" s="12" t="n">
        <v>173</v>
      </c>
      <c r="O24" s="12" t="n">
        <v>363</v>
      </c>
      <c r="P24" s="12" t="n">
        <v>208</v>
      </c>
      <c r="Q24" s="12" t="n">
        <v>237</v>
      </c>
      <c r="R24" s="12" t="n">
        <v>123</v>
      </c>
      <c r="S24" s="12" t="n">
        <v>268</v>
      </c>
      <c r="T24" s="12" t="n">
        <v>182</v>
      </c>
      <c r="U24" s="12" t="n">
        <v>84</v>
      </c>
      <c r="V24" s="12" t="n">
        <v>195</v>
      </c>
      <c r="W24" s="12" t="n">
        <v>62</v>
      </c>
      <c r="X24" s="12" t="n">
        <v>175</v>
      </c>
      <c r="Y24" s="12" t="n">
        <v>159</v>
      </c>
      <c r="Z24" s="12" t="n">
        <v>100</v>
      </c>
      <c r="AA24" s="12" t="n">
        <v>298</v>
      </c>
      <c r="AB24" s="12" t="n">
        <v>243</v>
      </c>
      <c r="AC24" s="12" t="n">
        <v>90</v>
      </c>
      <c r="AD24" s="12" t="n">
        <v>154</v>
      </c>
      <c r="AE24" s="12" t="n">
        <v>101</v>
      </c>
      <c r="AF24" s="12" t="n">
        <v>151</v>
      </c>
    </row>
    <row r="25">
      <c r="A25" s="23" t="n"/>
      <c r="B25" s="13" t="inlineStr">
        <is>
          <t>Total 'Pessimistic'</t>
        </is>
      </c>
      <c r="C25" s="14" t="n">
        <v>0.23</v>
      </c>
      <c r="D25" s="14" t="n">
        <v>0.27</v>
      </c>
      <c r="E25" s="14" t="n">
        <v>0.27</v>
      </c>
      <c r="F25" s="14" t="n">
        <v>0.17</v>
      </c>
      <c r="G25" s="14" t="n">
        <v>0.08</v>
      </c>
      <c r="H25" s="14" t="n">
        <v>0.23</v>
      </c>
      <c r="I25" s="14" t="n">
        <v>0.25</v>
      </c>
      <c r="J25" s="14" t="n">
        <v>0.31</v>
      </c>
      <c r="K25" s="14" t="n">
        <v>0.17</v>
      </c>
      <c r="L25" s="14" t="n">
        <v>0.14</v>
      </c>
      <c r="M25" s="14" t="n">
        <v>0.28</v>
      </c>
      <c r="N25" s="14" t="n">
        <v>0.17</v>
      </c>
      <c r="O25" s="14" t="n">
        <v>0.36</v>
      </c>
      <c r="P25" s="14" t="n">
        <v>0.21</v>
      </c>
      <c r="Q25" s="14" t="n">
        <v>0.23</v>
      </c>
      <c r="R25" s="14" t="n">
        <v>0.24</v>
      </c>
      <c r="S25" s="14" t="n">
        <v>0.27</v>
      </c>
      <c r="T25" s="14" t="n">
        <v>0.17</v>
      </c>
      <c r="U25" s="14" t="n">
        <v>0.17</v>
      </c>
      <c r="V25" s="14" t="n">
        <v>0.19</v>
      </c>
      <c r="W25" s="14" t="n">
        <v>0.13</v>
      </c>
      <c r="X25" s="14" t="n">
        <v>0.17</v>
      </c>
      <c r="Y25" s="14" t="n">
        <v>0.16</v>
      </c>
      <c r="Z25" s="14" t="n">
        <v>0.1</v>
      </c>
      <c r="AA25" s="14" t="n">
        <v>0.28</v>
      </c>
      <c r="AB25" s="14" t="n">
        <v>0.23</v>
      </c>
      <c r="AC25" s="14" t="n">
        <v>0.09</v>
      </c>
      <c r="AD25" s="14" t="n">
        <v>0.16</v>
      </c>
      <c r="AE25" s="14" t="n">
        <v>0.1</v>
      </c>
      <c r="AF25" s="14" t="n">
        <v>0.14</v>
      </c>
    </row>
  </sheetData>
  <mergeCells count="10">
    <mergeCell ref="B4:F4"/>
    <mergeCell ref="H3:L3"/>
    <mergeCell ref="A10:A21"/>
    <mergeCell ref="C8:AF8"/>
    <mergeCell ref="B3:F3"/>
    <mergeCell ref="B5:F5"/>
    <mergeCell ref="H5:L5"/>
    <mergeCell ref="B10:B11"/>
    <mergeCell ref="H4:L4"/>
    <mergeCell ref="A22:A2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24" customHeight="1" s="18">
      <c r="B3" s="21" t="inlineStr">
        <is>
          <t>QA12.2. Diriez-vous que vous êtes très optimiste, plutôt optimiste, plutôt pessimiste ou très pessimiste concernant le futur de/du… ?</t>
        </is>
      </c>
      <c r="H3" s="21" t="inlineStr">
        <is>
          <t>QA12.2. Would you say that you are very optimistic, fairly optimistic, fairly pessimistic or very pessimistic about the future of ...?</t>
        </is>
      </c>
    </row>
    <row r="4" ht="27" customHeight="1" s="18">
      <c r="B4" s="21" t="inlineStr">
        <is>
          <t>(NOTRE PAYS)</t>
        </is>
      </c>
      <c r="H4" s="21" t="inlineStr">
        <is>
          <t>(OUR COUNTRY)</t>
        </is>
      </c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HYPERLINK("#Content!A33","&lt;&lt;Back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Très optimiste</t>
        </is>
      </c>
      <c r="C12" s="12" t="n">
        <v>2465</v>
      </c>
      <c r="D12" s="12" t="n">
        <v>47</v>
      </c>
      <c r="E12" s="12" t="n">
        <v>135</v>
      </c>
      <c r="F12" s="12" t="n">
        <v>143</v>
      </c>
      <c r="G12" s="12" t="n">
        <v>266</v>
      </c>
      <c r="H12" s="12" t="n">
        <v>57</v>
      </c>
      <c r="I12" s="12" t="n">
        <v>64</v>
      </c>
      <c r="J12" s="12" t="n">
        <v>8</v>
      </c>
      <c r="K12" s="12" t="n">
        <v>73</v>
      </c>
      <c r="L12" s="12" t="n">
        <v>246</v>
      </c>
      <c r="M12" s="12" t="n">
        <v>69</v>
      </c>
      <c r="N12" s="12" t="n">
        <v>139</v>
      </c>
      <c r="O12" s="12" t="n">
        <v>35</v>
      </c>
      <c r="P12" s="12" t="n">
        <v>169</v>
      </c>
      <c r="Q12" s="12" t="n">
        <v>78</v>
      </c>
      <c r="R12" s="12" t="n">
        <v>33</v>
      </c>
      <c r="S12" s="12" t="n">
        <v>75</v>
      </c>
      <c r="T12" s="12" t="n">
        <v>152</v>
      </c>
      <c r="U12" s="12" t="n">
        <v>83</v>
      </c>
      <c r="V12" s="12" t="n">
        <v>144</v>
      </c>
      <c r="W12" s="12" t="n">
        <v>88</v>
      </c>
      <c r="X12" s="12" t="n">
        <v>54</v>
      </c>
      <c r="Y12" s="12" t="n">
        <v>215</v>
      </c>
      <c r="Z12" s="12" t="n">
        <v>164</v>
      </c>
      <c r="AA12" s="12" t="n">
        <v>53</v>
      </c>
      <c r="AB12" s="12" t="n">
        <v>195</v>
      </c>
      <c r="AC12" s="12" t="n">
        <v>128</v>
      </c>
      <c r="AD12" s="12" t="n">
        <v>96</v>
      </c>
      <c r="AE12" s="12" t="n">
        <v>87</v>
      </c>
      <c r="AF12" s="12" t="n">
        <v>122</v>
      </c>
    </row>
    <row r="13">
      <c r="A13" s="20" t="n"/>
      <c r="B13" s="13" t="inlineStr">
        <is>
          <t>Very optimistic</t>
        </is>
      </c>
      <c r="C13" s="14" t="n">
        <v>0.09</v>
      </c>
      <c r="D13" s="14" t="n">
        <v>0.05</v>
      </c>
      <c r="E13" s="14" t="n">
        <v>0.13</v>
      </c>
      <c r="F13" s="14" t="n">
        <v>0.14</v>
      </c>
      <c r="G13" s="14" t="n">
        <v>0.27</v>
      </c>
      <c r="H13" s="14" t="n">
        <v>0.05</v>
      </c>
      <c r="I13" s="14" t="n">
        <v>0.04</v>
      </c>
      <c r="J13" s="14" t="n">
        <v>0.02</v>
      </c>
      <c r="K13" s="14" t="n">
        <v>0.07000000000000001</v>
      </c>
      <c r="L13" s="14" t="n">
        <v>0.25</v>
      </c>
      <c r="M13" s="14" t="n">
        <v>0.07000000000000001</v>
      </c>
      <c r="N13" s="14" t="n">
        <v>0.14</v>
      </c>
      <c r="O13" s="14" t="n">
        <v>0.04</v>
      </c>
      <c r="P13" s="14" t="n">
        <v>0.17</v>
      </c>
      <c r="Q13" s="14" t="n">
        <v>0.08</v>
      </c>
      <c r="R13" s="14" t="n">
        <v>0.06</v>
      </c>
      <c r="S13" s="14" t="n">
        <v>0.08</v>
      </c>
      <c r="T13" s="14" t="n">
        <v>0.15</v>
      </c>
      <c r="U13" s="14" t="n">
        <v>0.16</v>
      </c>
      <c r="V13" s="14" t="n">
        <v>0.14</v>
      </c>
      <c r="W13" s="14" t="n">
        <v>0.17</v>
      </c>
      <c r="X13" s="14" t="n">
        <v>0.05</v>
      </c>
      <c r="Y13" s="14" t="n">
        <v>0.21</v>
      </c>
      <c r="Z13" s="14" t="n">
        <v>0.16</v>
      </c>
      <c r="AA13" s="14" t="n">
        <v>0.05</v>
      </c>
      <c r="AB13" s="14" t="n">
        <v>0.19</v>
      </c>
      <c r="AC13" s="14" t="n">
        <v>0.13</v>
      </c>
      <c r="AD13" s="14" t="n">
        <v>0.1</v>
      </c>
      <c r="AE13" s="14" t="n">
        <v>0.08</v>
      </c>
      <c r="AF13" s="14" t="n">
        <v>0.12</v>
      </c>
    </row>
    <row r="14">
      <c r="A14" s="20" t="n"/>
      <c r="B14" s="11" t="inlineStr">
        <is>
          <t>Plutôt optimiste</t>
        </is>
      </c>
      <c r="C14" s="12" t="n">
        <v>12802</v>
      </c>
      <c r="D14" s="12" t="n">
        <v>562</v>
      </c>
      <c r="E14" s="12" t="n">
        <v>461</v>
      </c>
      <c r="F14" s="12" t="n">
        <v>664</v>
      </c>
      <c r="G14" s="12" t="n">
        <v>617</v>
      </c>
      <c r="H14" s="12" t="n">
        <v>532</v>
      </c>
      <c r="I14" s="12" t="n">
        <v>621</v>
      </c>
      <c r="J14" s="12" t="n">
        <v>89</v>
      </c>
      <c r="K14" s="12" t="n">
        <v>556</v>
      </c>
      <c r="L14" s="12" t="n">
        <v>526</v>
      </c>
      <c r="M14" s="12" t="n">
        <v>333</v>
      </c>
      <c r="N14" s="12" t="n">
        <v>449</v>
      </c>
      <c r="O14" s="12" t="n">
        <v>393</v>
      </c>
      <c r="P14" s="12" t="n">
        <v>549</v>
      </c>
      <c r="Q14" s="12" t="n">
        <v>549</v>
      </c>
      <c r="R14" s="12" t="n">
        <v>235</v>
      </c>
      <c r="S14" s="12" t="n">
        <v>516</v>
      </c>
      <c r="T14" s="12" t="n">
        <v>558</v>
      </c>
      <c r="U14" s="12" t="n">
        <v>334</v>
      </c>
      <c r="V14" s="12" t="n">
        <v>602</v>
      </c>
      <c r="W14" s="12" t="n">
        <v>284</v>
      </c>
      <c r="X14" s="12" t="n">
        <v>573</v>
      </c>
      <c r="Y14" s="12" t="n">
        <v>480</v>
      </c>
      <c r="Z14" s="12" t="n">
        <v>654</v>
      </c>
      <c r="AA14" s="12" t="n">
        <v>562</v>
      </c>
      <c r="AB14" s="12" t="n">
        <v>424</v>
      </c>
      <c r="AC14" s="12" t="n">
        <v>600</v>
      </c>
      <c r="AD14" s="12" t="n">
        <v>544</v>
      </c>
      <c r="AE14" s="12" t="n">
        <v>567</v>
      </c>
      <c r="AF14" s="12" t="n">
        <v>623</v>
      </c>
    </row>
    <row r="15">
      <c r="A15" s="20" t="n"/>
      <c r="B15" s="13" t="inlineStr">
        <is>
          <t>Fairly optimistic</t>
        </is>
      </c>
      <c r="C15" s="14" t="n">
        <v>0.49</v>
      </c>
      <c r="D15" s="14" t="n">
        <v>0.55</v>
      </c>
      <c r="E15" s="14" t="n">
        <v>0.46</v>
      </c>
      <c r="F15" s="14" t="n">
        <v>0.63</v>
      </c>
      <c r="G15" s="14" t="n">
        <v>0.61</v>
      </c>
      <c r="H15" s="14" t="n">
        <v>0.44</v>
      </c>
      <c r="I15" s="14" t="n">
        <v>0.41</v>
      </c>
      <c r="J15" s="14" t="n">
        <v>0.3</v>
      </c>
      <c r="K15" s="14" t="n">
        <v>0.55</v>
      </c>
      <c r="L15" s="14" t="n">
        <v>0.52</v>
      </c>
      <c r="M15" s="14" t="n">
        <v>0.33</v>
      </c>
      <c r="N15" s="14" t="n">
        <v>0.45</v>
      </c>
      <c r="O15" s="14" t="n">
        <v>0.39</v>
      </c>
      <c r="P15" s="14" t="n">
        <v>0.54</v>
      </c>
      <c r="Q15" s="14" t="n">
        <v>0.53</v>
      </c>
      <c r="R15" s="14" t="n">
        <v>0.47</v>
      </c>
      <c r="S15" s="14" t="n">
        <v>0.51</v>
      </c>
      <c r="T15" s="14" t="n">
        <v>0.55</v>
      </c>
      <c r="U15" s="14" t="n">
        <v>0.66</v>
      </c>
      <c r="V15" s="14" t="n">
        <v>0.59</v>
      </c>
      <c r="W15" s="14" t="n">
        <v>0.5600000000000001</v>
      </c>
      <c r="X15" s="14" t="n">
        <v>0.5600000000000001</v>
      </c>
      <c r="Y15" s="14" t="n">
        <v>0.48</v>
      </c>
      <c r="Z15" s="14" t="n">
        <v>0.64</v>
      </c>
      <c r="AA15" s="14" t="n">
        <v>0.55</v>
      </c>
      <c r="AB15" s="14" t="n">
        <v>0.41</v>
      </c>
      <c r="AC15" s="14" t="n">
        <v>0.59</v>
      </c>
      <c r="AD15" s="14" t="n">
        <v>0.54</v>
      </c>
      <c r="AE15" s="14" t="n">
        <v>0.5600000000000001</v>
      </c>
      <c r="AF15" s="14" t="n">
        <v>0.6</v>
      </c>
    </row>
    <row r="16">
      <c r="A16" s="20" t="n"/>
      <c r="B16" s="11" t="inlineStr">
        <is>
          <t>Plutôt pessimiste</t>
        </is>
      </c>
      <c r="C16" s="12" t="n">
        <v>8643</v>
      </c>
      <c r="D16" s="12" t="n">
        <v>338</v>
      </c>
      <c r="E16" s="12" t="n">
        <v>303</v>
      </c>
      <c r="F16" s="12" t="n">
        <v>206</v>
      </c>
      <c r="G16" s="12" t="n">
        <v>97</v>
      </c>
      <c r="H16" s="12" t="n">
        <v>495</v>
      </c>
      <c r="I16" s="12" t="n">
        <v>649</v>
      </c>
      <c r="J16" s="12" t="n">
        <v>154</v>
      </c>
      <c r="K16" s="12" t="n">
        <v>228</v>
      </c>
      <c r="L16" s="12" t="n">
        <v>175</v>
      </c>
      <c r="M16" s="12" t="n">
        <v>405</v>
      </c>
      <c r="N16" s="12" t="n">
        <v>307</v>
      </c>
      <c r="O16" s="12" t="n">
        <v>431</v>
      </c>
      <c r="P16" s="12" t="n">
        <v>212</v>
      </c>
      <c r="Q16" s="12" t="n">
        <v>345</v>
      </c>
      <c r="R16" s="12" t="n">
        <v>177</v>
      </c>
      <c r="S16" s="12" t="n">
        <v>324</v>
      </c>
      <c r="T16" s="12" t="n">
        <v>222</v>
      </c>
      <c r="U16" s="12" t="n">
        <v>74</v>
      </c>
      <c r="V16" s="12" t="n">
        <v>199</v>
      </c>
      <c r="W16" s="12" t="n">
        <v>103</v>
      </c>
      <c r="X16" s="12" t="n">
        <v>329</v>
      </c>
      <c r="Y16" s="12" t="n">
        <v>202</v>
      </c>
      <c r="Z16" s="12" t="n">
        <v>141</v>
      </c>
      <c r="AA16" s="12" t="n">
        <v>376</v>
      </c>
      <c r="AB16" s="12" t="n">
        <v>325</v>
      </c>
      <c r="AC16" s="12" t="n">
        <v>229</v>
      </c>
      <c r="AD16" s="12" t="n">
        <v>292</v>
      </c>
      <c r="AE16" s="12" t="n">
        <v>323</v>
      </c>
      <c r="AF16" s="12" t="n">
        <v>247</v>
      </c>
    </row>
    <row r="17">
      <c r="A17" s="20" t="n"/>
      <c r="B17" s="13" t="inlineStr">
        <is>
          <t>Fairly pessimistic</t>
        </is>
      </c>
      <c r="C17" s="14" t="n">
        <v>0.33</v>
      </c>
      <c r="D17" s="14" t="n">
        <v>0.33</v>
      </c>
      <c r="E17" s="14" t="n">
        <v>0.3</v>
      </c>
      <c r="F17" s="14" t="n">
        <v>0.2</v>
      </c>
      <c r="G17" s="14" t="n">
        <v>0.1</v>
      </c>
      <c r="H17" s="14" t="n">
        <v>0.41</v>
      </c>
      <c r="I17" s="14" t="n">
        <v>0.43</v>
      </c>
      <c r="J17" s="14" t="n">
        <v>0.53</v>
      </c>
      <c r="K17" s="14" t="n">
        <v>0.23</v>
      </c>
      <c r="L17" s="14" t="n">
        <v>0.17</v>
      </c>
      <c r="M17" s="14" t="n">
        <v>0.4</v>
      </c>
      <c r="N17" s="14" t="n">
        <v>0.3</v>
      </c>
      <c r="O17" s="14" t="n">
        <v>0.42</v>
      </c>
      <c r="P17" s="14" t="n">
        <v>0.21</v>
      </c>
      <c r="Q17" s="14" t="n">
        <v>0.33</v>
      </c>
      <c r="R17" s="14" t="n">
        <v>0.35</v>
      </c>
      <c r="S17" s="14" t="n">
        <v>0.32</v>
      </c>
      <c r="T17" s="14" t="n">
        <v>0.22</v>
      </c>
      <c r="U17" s="14" t="n">
        <v>0.15</v>
      </c>
      <c r="V17" s="14" t="n">
        <v>0.19</v>
      </c>
      <c r="W17" s="14" t="n">
        <v>0.21</v>
      </c>
      <c r="X17" s="14" t="n">
        <v>0.32</v>
      </c>
      <c r="Y17" s="14" t="n">
        <v>0.2</v>
      </c>
      <c r="Z17" s="14" t="n">
        <v>0.14</v>
      </c>
      <c r="AA17" s="14" t="n">
        <v>0.36</v>
      </c>
      <c r="AB17" s="14" t="n">
        <v>0.31</v>
      </c>
      <c r="AC17" s="14" t="n">
        <v>0.23</v>
      </c>
      <c r="AD17" s="14" t="n">
        <v>0.29</v>
      </c>
      <c r="AE17" s="14" t="n">
        <v>0.32</v>
      </c>
      <c r="AF17" s="14" t="n">
        <v>0.24</v>
      </c>
    </row>
    <row r="18">
      <c r="A18" s="20" t="n"/>
      <c r="B18" s="11" t="inlineStr">
        <is>
          <t>Très pessimiste</t>
        </is>
      </c>
      <c r="C18" s="12" t="n">
        <v>1892</v>
      </c>
      <c r="D18" s="12" t="n">
        <v>57</v>
      </c>
      <c r="E18" s="12" t="n">
        <v>84</v>
      </c>
      <c r="F18" s="12" t="n">
        <v>24</v>
      </c>
      <c r="G18" s="12" t="n">
        <v>12</v>
      </c>
      <c r="H18" s="12" t="n">
        <v>104</v>
      </c>
      <c r="I18" s="12" t="n">
        <v>141</v>
      </c>
      <c r="J18" s="12" t="n">
        <v>37</v>
      </c>
      <c r="K18" s="12" t="n">
        <v>95</v>
      </c>
      <c r="L18" s="12" t="n">
        <v>43</v>
      </c>
      <c r="M18" s="12" t="n">
        <v>193</v>
      </c>
      <c r="N18" s="12" t="n">
        <v>80</v>
      </c>
      <c r="O18" s="12" t="n">
        <v>124</v>
      </c>
      <c r="P18" s="12" t="n">
        <v>68</v>
      </c>
      <c r="Q18" s="12" t="n">
        <v>40</v>
      </c>
      <c r="R18" s="12" t="n">
        <v>46</v>
      </c>
      <c r="S18" s="12" t="n">
        <v>59</v>
      </c>
      <c r="T18" s="12" t="n">
        <v>45</v>
      </c>
      <c r="U18" s="12" t="n">
        <v>7</v>
      </c>
      <c r="V18" s="12" t="n">
        <v>48</v>
      </c>
      <c r="W18" s="12" t="n">
        <v>14</v>
      </c>
      <c r="X18" s="12" t="n">
        <v>58</v>
      </c>
      <c r="Y18" s="12" t="n">
        <v>75</v>
      </c>
      <c r="Z18" s="12" t="n">
        <v>23</v>
      </c>
      <c r="AA18" s="12" t="n">
        <v>11</v>
      </c>
      <c r="AB18" s="12" t="n">
        <v>73</v>
      </c>
      <c r="AC18" s="12" t="n">
        <v>22</v>
      </c>
      <c r="AD18" s="12" t="n">
        <v>60</v>
      </c>
      <c r="AE18" s="12" t="n">
        <v>31</v>
      </c>
      <c r="AF18" s="12" t="n">
        <v>42</v>
      </c>
    </row>
    <row r="19">
      <c r="A19" s="20" t="n"/>
      <c r="B19" s="13" t="inlineStr">
        <is>
          <t>Very pessimistic</t>
        </is>
      </c>
      <c r="C19" s="14" t="n">
        <v>0.07000000000000001</v>
      </c>
      <c r="D19" s="14" t="n">
        <v>0.05</v>
      </c>
      <c r="E19" s="14" t="n">
        <v>0.08</v>
      </c>
      <c r="F19" s="14" t="n">
        <v>0.02</v>
      </c>
      <c r="G19" s="14" t="n">
        <v>0.01</v>
      </c>
      <c r="H19" s="14" t="n">
        <v>0.08</v>
      </c>
      <c r="I19" s="14" t="n">
        <v>0.1</v>
      </c>
      <c r="J19" s="14" t="n">
        <v>0.13</v>
      </c>
      <c r="K19" s="14" t="n">
        <v>0.1</v>
      </c>
      <c r="L19" s="14" t="n">
        <v>0.04</v>
      </c>
      <c r="M19" s="14" t="n">
        <v>0.19</v>
      </c>
      <c r="N19" s="14" t="n">
        <v>0.08</v>
      </c>
      <c r="O19" s="14" t="n">
        <v>0.12</v>
      </c>
      <c r="P19" s="14" t="n">
        <v>0.07000000000000001</v>
      </c>
      <c r="Q19" s="14" t="n">
        <v>0.04</v>
      </c>
      <c r="R19" s="14" t="n">
        <v>0.09</v>
      </c>
      <c r="S19" s="14" t="n">
        <v>0.06</v>
      </c>
      <c r="T19" s="14" t="n">
        <v>0.04</v>
      </c>
      <c r="U19" s="14" t="n">
        <v>0.01</v>
      </c>
      <c r="V19" s="14" t="n">
        <v>0.05</v>
      </c>
      <c r="W19" s="14" t="n">
        <v>0.03</v>
      </c>
      <c r="X19" s="14" t="n">
        <v>0.06</v>
      </c>
      <c r="Y19" s="14" t="n">
        <v>0.08</v>
      </c>
      <c r="Z19" s="14" t="n">
        <v>0.02</v>
      </c>
      <c r="AA19" s="14" t="n">
        <v>0.01</v>
      </c>
      <c r="AB19" s="14" t="n">
        <v>0.07000000000000001</v>
      </c>
      <c r="AC19" s="14" t="n">
        <v>0.02</v>
      </c>
      <c r="AD19" s="14" t="n">
        <v>0.06</v>
      </c>
      <c r="AE19" s="14" t="n">
        <v>0.03</v>
      </c>
      <c r="AF19" s="14" t="n">
        <v>0.04</v>
      </c>
    </row>
    <row r="20">
      <c r="A20" s="20" t="n"/>
      <c r="B20" s="11" t="inlineStr">
        <is>
          <t>Ne sait pas</t>
        </is>
      </c>
      <c r="C20" s="12" t="n">
        <v>619</v>
      </c>
      <c r="D20" s="12" t="n">
        <v>16</v>
      </c>
      <c r="E20" s="12" t="n">
        <v>31</v>
      </c>
      <c r="F20" s="12" t="n">
        <v>11</v>
      </c>
      <c r="G20" s="12" t="n">
        <v>14</v>
      </c>
      <c r="H20" s="12" t="n">
        <v>26</v>
      </c>
      <c r="I20" s="12" t="n">
        <v>31</v>
      </c>
      <c r="J20" s="12" t="n">
        <v>5</v>
      </c>
      <c r="K20" s="12" t="n">
        <v>53</v>
      </c>
      <c r="L20" s="12" t="n">
        <v>20</v>
      </c>
      <c r="M20" s="12" t="n">
        <v>6</v>
      </c>
      <c r="N20" s="12" t="n">
        <v>32</v>
      </c>
      <c r="O20" s="12" t="n">
        <v>32</v>
      </c>
      <c r="P20" s="12" t="n">
        <v>9</v>
      </c>
      <c r="Q20" s="12" t="n">
        <v>18</v>
      </c>
      <c r="R20" s="12" t="n">
        <v>13</v>
      </c>
      <c r="S20" s="12" t="n">
        <v>31</v>
      </c>
      <c r="T20" s="12" t="n">
        <v>39</v>
      </c>
      <c r="U20" s="12" t="n">
        <v>10</v>
      </c>
      <c r="V20" s="12" t="n">
        <v>26</v>
      </c>
      <c r="W20" s="12" t="n">
        <v>16</v>
      </c>
      <c r="X20" s="12" t="n">
        <v>9</v>
      </c>
      <c r="Y20" s="12" t="n">
        <v>30</v>
      </c>
      <c r="Z20" s="12" t="n">
        <v>38</v>
      </c>
      <c r="AA20" s="12" t="n">
        <v>29</v>
      </c>
      <c r="AB20" s="12" t="n">
        <v>27</v>
      </c>
      <c r="AC20" s="12" t="n">
        <v>28</v>
      </c>
      <c r="AD20" s="12" t="n">
        <v>8</v>
      </c>
      <c r="AE20" s="12" t="n">
        <v>8</v>
      </c>
      <c r="AF20" s="12" t="n">
        <v>4</v>
      </c>
    </row>
    <row r="21">
      <c r="A21" s="23" t="n"/>
      <c r="B21" s="13" t="inlineStr">
        <is>
          <t>Don't know</t>
        </is>
      </c>
      <c r="C21" s="14" t="n">
        <v>0.02</v>
      </c>
      <c r="D21" s="14" t="n">
        <v>0.02</v>
      </c>
      <c r="E21" s="14" t="n">
        <v>0.03</v>
      </c>
      <c r="F21" s="14" t="n">
        <v>0.01</v>
      </c>
      <c r="G21" s="14" t="n">
        <v>0.01</v>
      </c>
      <c r="H21" s="14" t="n">
        <v>0.02</v>
      </c>
      <c r="I21" s="14" t="n">
        <v>0.02</v>
      </c>
      <c r="J21" s="14" t="n">
        <v>0.02</v>
      </c>
      <c r="K21" s="14" t="n">
        <v>0.05</v>
      </c>
      <c r="L21" s="14" t="n">
        <v>0.02</v>
      </c>
      <c r="M21" s="14" t="n">
        <v>0.01</v>
      </c>
      <c r="N21" s="14" t="n">
        <v>0.03</v>
      </c>
      <c r="O21" s="14" t="n">
        <v>0.03</v>
      </c>
      <c r="P21" s="14" t="n">
        <v>0.01</v>
      </c>
      <c r="Q21" s="14" t="n">
        <v>0.02</v>
      </c>
      <c r="R21" s="14" t="n">
        <v>0.03</v>
      </c>
      <c r="S21" s="14" t="n">
        <v>0.03</v>
      </c>
      <c r="T21" s="14" t="n">
        <v>0.04</v>
      </c>
      <c r="U21" s="14" t="n">
        <v>0.02</v>
      </c>
      <c r="V21" s="14" t="n">
        <v>0.03</v>
      </c>
      <c r="W21" s="14" t="n">
        <v>0.03</v>
      </c>
      <c r="X21" s="14" t="n">
        <v>0.01</v>
      </c>
      <c r="Y21" s="14" t="n">
        <v>0.03</v>
      </c>
      <c r="Z21" s="14" t="n">
        <v>0.04</v>
      </c>
      <c r="AA21" s="14" t="n">
        <v>0.03</v>
      </c>
      <c r="AB21" s="14" t="n">
        <v>0.02</v>
      </c>
      <c r="AC21" s="14" t="n">
        <v>0.03</v>
      </c>
      <c r="AD21" s="14" t="n">
        <v>0.01</v>
      </c>
      <c r="AE21" s="14" t="n">
        <v>0.01</v>
      </c>
      <c r="AF21" s="15" t="inlineStr">
        <is>
          <t>-</t>
        </is>
      </c>
    </row>
    <row r="22">
      <c r="A22" s="19" t="n"/>
      <c r="B22" s="11" t="inlineStr">
        <is>
          <t>Total 'Optimiste'</t>
        </is>
      </c>
      <c r="C22" s="12" t="n">
        <v>15267</v>
      </c>
      <c r="D22" s="12" t="n">
        <v>609</v>
      </c>
      <c r="E22" s="12" t="n">
        <v>596</v>
      </c>
      <c r="F22" s="12" t="n">
        <v>807</v>
      </c>
      <c r="G22" s="12" t="n">
        <v>883</v>
      </c>
      <c r="H22" s="12" t="n">
        <v>589</v>
      </c>
      <c r="I22" s="12" t="n">
        <v>685</v>
      </c>
      <c r="J22" s="12" t="n">
        <v>97</v>
      </c>
      <c r="K22" s="12" t="n">
        <v>629</v>
      </c>
      <c r="L22" s="12" t="n">
        <v>772</v>
      </c>
      <c r="M22" s="12" t="n">
        <v>402</v>
      </c>
      <c r="N22" s="12" t="n">
        <v>588</v>
      </c>
      <c r="O22" s="12" t="n">
        <v>428</v>
      </c>
      <c r="P22" s="12" t="n">
        <v>718</v>
      </c>
      <c r="Q22" s="12" t="n">
        <v>627</v>
      </c>
      <c r="R22" s="12" t="n">
        <v>268</v>
      </c>
      <c r="S22" s="12" t="n">
        <v>591</v>
      </c>
      <c r="T22" s="12" t="n">
        <v>710</v>
      </c>
      <c r="U22" s="12" t="n">
        <v>417</v>
      </c>
      <c r="V22" s="12" t="n">
        <v>746</v>
      </c>
      <c r="W22" s="12" t="n">
        <v>372</v>
      </c>
      <c r="X22" s="12" t="n">
        <v>627</v>
      </c>
      <c r="Y22" s="12" t="n">
        <v>695</v>
      </c>
      <c r="Z22" s="12" t="n">
        <v>818</v>
      </c>
      <c r="AA22" s="12" t="n">
        <v>615</v>
      </c>
      <c r="AB22" s="12" t="n">
        <v>619</v>
      </c>
      <c r="AC22" s="12" t="n">
        <v>728</v>
      </c>
      <c r="AD22" s="12" t="n">
        <v>640</v>
      </c>
      <c r="AE22" s="12" t="n">
        <v>654</v>
      </c>
      <c r="AF22" s="12" t="n">
        <v>745</v>
      </c>
    </row>
    <row r="23">
      <c r="A23" s="20" t="n"/>
      <c r="B23" s="13" t="inlineStr">
        <is>
          <t>Total 'Optimistic'</t>
        </is>
      </c>
      <c r="C23" s="14" t="n">
        <v>0.58</v>
      </c>
      <c r="D23" s="14" t="n">
        <v>0.6</v>
      </c>
      <c r="E23" s="14" t="n">
        <v>0.59</v>
      </c>
      <c r="F23" s="14" t="n">
        <v>0.77</v>
      </c>
      <c r="G23" s="14" t="n">
        <v>0.88</v>
      </c>
      <c r="H23" s="14" t="n">
        <v>0.49</v>
      </c>
      <c r="I23" s="14" t="n">
        <v>0.45</v>
      </c>
      <c r="J23" s="14" t="n">
        <v>0.32</v>
      </c>
      <c r="K23" s="14" t="n">
        <v>0.62</v>
      </c>
      <c r="L23" s="14" t="n">
        <v>0.77</v>
      </c>
      <c r="M23" s="14" t="n">
        <v>0.4</v>
      </c>
      <c r="N23" s="14" t="n">
        <v>0.59</v>
      </c>
      <c r="O23" s="14" t="n">
        <v>0.43</v>
      </c>
      <c r="P23" s="14" t="n">
        <v>0.71</v>
      </c>
      <c r="Q23" s="14" t="n">
        <v>0.61</v>
      </c>
      <c r="R23" s="14" t="n">
        <v>0.53</v>
      </c>
      <c r="S23" s="14" t="n">
        <v>0.59</v>
      </c>
      <c r="T23" s="14" t="n">
        <v>0.7000000000000001</v>
      </c>
      <c r="U23" s="14" t="n">
        <v>0.8200000000000001</v>
      </c>
      <c r="V23" s="14" t="n">
        <v>0.73</v>
      </c>
      <c r="W23" s="14" t="n">
        <v>0.73</v>
      </c>
      <c r="X23" s="14" t="n">
        <v>0.61</v>
      </c>
      <c r="Y23" s="14" t="n">
        <v>0.6900000000000001</v>
      </c>
      <c r="Z23" s="14" t="n">
        <v>0.8</v>
      </c>
      <c r="AA23" s="14" t="n">
        <v>0.6</v>
      </c>
      <c r="AB23" s="14" t="n">
        <v>0.6</v>
      </c>
      <c r="AC23" s="14" t="n">
        <v>0.72</v>
      </c>
      <c r="AD23" s="14" t="n">
        <v>0.64</v>
      </c>
      <c r="AE23" s="14" t="n">
        <v>0.64</v>
      </c>
      <c r="AF23" s="14" t="n">
        <v>0.72</v>
      </c>
    </row>
    <row r="24">
      <c r="A24" s="20" t="n"/>
      <c r="B24" s="11" t="inlineStr">
        <is>
          <t>Total 'Pessimiste'</t>
        </is>
      </c>
      <c r="C24" s="12" t="n">
        <v>10535</v>
      </c>
      <c r="D24" s="12" t="n">
        <v>395</v>
      </c>
      <c r="E24" s="12" t="n">
        <v>387</v>
      </c>
      <c r="F24" s="12" t="n">
        <v>230</v>
      </c>
      <c r="G24" s="12" t="n">
        <v>109</v>
      </c>
      <c r="H24" s="12" t="n">
        <v>599</v>
      </c>
      <c r="I24" s="12" t="n">
        <v>790</v>
      </c>
      <c r="J24" s="12" t="n">
        <v>191</v>
      </c>
      <c r="K24" s="12" t="n">
        <v>323</v>
      </c>
      <c r="L24" s="12" t="n">
        <v>218</v>
      </c>
      <c r="M24" s="12" t="n">
        <v>598</v>
      </c>
      <c r="N24" s="12" t="n">
        <v>387</v>
      </c>
      <c r="O24" s="12" t="n">
        <v>555</v>
      </c>
      <c r="P24" s="12" t="n">
        <v>280</v>
      </c>
      <c r="Q24" s="12" t="n">
        <v>385</v>
      </c>
      <c r="R24" s="12" t="n">
        <v>223</v>
      </c>
      <c r="S24" s="12" t="n">
        <v>383</v>
      </c>
      <c r="T24" s="12" t="n">
        <v>267</v>
      </c>
      <c r="U24" s="12" t="n">
        <v>81</v>
      </c>
      <c r="V24" s="12" t="n">
        <v>247</v>
      </c>
      <c r="W24" s="12" t="n">
        <v>117</v>
      </c>
      <c r="X24" s="12" t="n">
        <v>387</v>
      </c>
      <c r="Y24" s="12" t="n">
        <v>277</v>
      </c>
      <c r="Z24" s="12" t="n">
        <v>164</v>
      </c>
      <c r="AA24" s="12" t="n">
        <v>387</v>
      </c>
      <c r="AB24" s="12" t="n">
        <v>398</v>
      </c>
      <c r="AC24" s="12" t="n">
        <v>251</v>
      </c>
      <c r="AD24" s="12" t="n">
        <v>352</v>
      </c>
      <c r="AE24" s="12" t="n">
        <v>354</v>
      </c>
      <c r="AF24" s="12" t="n">
        <v>289</v>
      </c>
    </row>
    <row r="25">
      <c r="A25" s="23" t="n"/>
      <c r="B25" s="13" t="inlineStr">
        <is>
          <t>Total 'Pessimistic'</t>
        </is>
      </c>
      <c r="C25" s="14" t="n">
        <v>0.4</v>
      </c>
      <c r="D25" s="14" t="n">
        <v>0.38</v>
      </c>
      <c r="E25" s="14" t="n">
        <v>0.38</v>
      </c>
      <c r="F25" s="14" t="n">
        <v>0.22</v>
      </c>
      <c r="G25" s="14" t="n">
        <v>0.11</v>
      </c>
      <c r="H25" s="14" t="n">
        <v>0.49</v>
      </c>
      <c r="I25" s="14" t="n">
        <v>0.53</v>
      </c>
      <c r="J25" s="14" t="n">
        <v>0.66</v>
      </c>
      <c r="K25" s="14" t="n">
        <v>0.33</v>
      </c>
      <c r="L25" s="14" t="n">
        <v>0.21</v>
      </c>
      <c r="M25" s="14" t="n">
        <v>0.59</v>
      </c>
      <c r="N25" s="14" t="n">
        <v>0.38</v>
      </c>
      <c r="O25" s="14" t="n">
        <v>0.54</v>
      </c>
      <c r="P25" s="14" t="n">
        <v>0.28</v>
      </c>
      <c r="Q25" s="14" t="n">
        <v>0.37</v>
      </c>
      <c r="R25" s="14" t="n">
        <v>0.44</v>
      </c>
      <c r="S25" s="14" t="n">
        <v>0.38</v>
      </c>
      <c r="T25" s="14" t="n">
        <v>0.26</v>
      </c>
      <c r="U25" s="14" t="n">
        <v>0.16</v>
      </c>
      <c r="V25" s="14" t="n">
        <v>0.24</v>
      </c>
      <c r="W25" s="14" t="n">
        <v>0.24</v>
      </c>
      <c r="X25" s="14" t="n">
        <v>0.38</v>
      </c>
      <c r="Y25" s="14" t="n">
        <v>0.28</v>
      </c>
      <c r="Z25" s="14" t="n">
        <v>0.16</v>
      </c>
      <c r="AA25" s="14" t="n">
        <v>0.37</v>
      </c>
      <c r="AB25" s="14" t="n">
        <v>0.38</v>
      </c>
      <c r="AC25" s="14" t="n">
        <v>0.25</v>
      </c>
      <c r="AD25" s="14" t="n">
        <v>0.35</v>
      </c>
      <c r="AE25" s="14" t="n">
        <v>0.35</v>
      </c>
      <c r="AF25" s="14" t="n">
        <v>0.28</v>
      </c>
    </row>
  </sheetData>
  <mergeCells count="10">
    <mergeCell ref="B4:F4"/>
    <mergeCell ref="H3:L3"/>
    <mergeCell ref="A10:A21"/>
    <mergeCell ref="C8:AF8"/>
    <mergeCell ref="B3:F3"/>
    <mergeCell ref="B5:F5"/>
    <mergeCell ref="H5:L5"/>
    <mergeCell ref="B10:B11"/>
    <mergeCell ref="H4:L4"/>
    <mergeCell ref="A22:A25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24" customHeight="1" s="18">
      <c r="B3" s="21" t="inlineStr">
        <is>
          <t>QA12.3. Diriez-vous que vous êtes très optimiste, plutôt optimiste, plutôt pessimiste ou très pessimiste concernant le futur de/du… ?</t>
        </is>
      </c>
      <c r="H3" s="21" t="inlineStr">
        <is>
          <t>QA12.3. Would you say that you are very optimistic, fairly optimistic, fairly pessimistic or very pessimistic about the future of ...?</t>
        </is>
      </c>
    </row>
    <row r="4" ht="27" customHeight="1" s="18">
      <c r="B4" s="21" t="inlineStr">
        <is>
          <t>L’UE</t>
        </is>
      </c>
      <c r="H4" s="21" t="inlineStr">
        <is>
          <t>The EU</t>
        </is>
      </c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HYPERLINK("#Content!A34","&lt;&lt;Back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Très optimiste</t>
        </is>
      </c>
      <c r="C12" s="12" t="n">
        <v>2126</v>
      </c>
      <c r="D12" s="12" t="n">
        <v>48</v>
      </c>
      <c r="E12" s="12" t="n">
        <v>124</v>
      </c>
      <c r="F12" s="12" t="n">
        <v>93</v>
      </c>
      <c r="G12" s="12" t="n">
        <v>200</v>
      </c>
      <c r="H12" s="12" t="n">
        <v>54</v>
      </c>
      <c r="I12" s="12" t="n">
        <v>64</v>
      </c>
      <c r="J12" s="12" t="n">
        <v>10</v>
      </c>
      <c r="K12" s="12" t="n">
        <v>50</v>
      </c>
      <c r="L12" s="12" t="n">
        <v>212</v>
      </c>
      <c r="M12" s="12" t="n">
        <v>77</v>
      </c>
      <c r="N12" s="12" t="n">
        <v>137</v>
      </c>
      <c r="O12" s="12" t="n">
        <v>31</v>
      </c>
      <c r="P12" s="12" t="n">
        <v>120</v>
      </c>
      <c r="Q12" s="12" t="n">
        <v>75</v>
      </c>
      <c r="R12" s="12" t="n">
        <v>23</v>
      </c>
      <c r="S12" s="12" t="n">
        <v>73</v>
      </c>
      <c r="T12" s="12" t="n">
        <v>123</v>
      </c>
      <c r="U12" s="12" t="n">
        <v>39</v>
      </c>
      <c r="V12" s="12" t="n">
        <v>115</v>
      </c>
      <c r="W12" s="12" t="n">
        <v>63</v>
      </c>
      <c r="X12" s="12" t="n">
        <v>44</v>
      </c>
      <c r="Y12" s="12" t="n">
        <v>138</v>
      </c>
      <c r="Z12" s="12" t="n">
        <v>115</v>
      </c>
      <c r="AA12" s="12" t="n">
        <v>58</v>
      </c>
      <c r="AB12" s="12" t="n">
        <v>179</v>
      </c>
      <c r="AC12" s="12" t="n">
        <v>91</v>
      </c>
      <c r="AD12" s="12" t="n">
        <v>97</v>
      </c>
      <c r="AE12" s="12" t="n">
        <v>63</v>
      </c>
      <c r="AF12" s="12" t="n">
        <v>83</v>
      </c>
    </row>
    <row r="13">
      <c r="A13" s="20" t="n"/>
      <c r="B13" s="13" t="inlineStr">
        <is>
          <t>Very optimistic</t>
        </is>
      </c>
      <c r="C13" s="14" t="n">
        <v>0.08</v>
      </c>
      <c r="D13" s="14" t="n">
        <v>0.05</v>
      </c>
      <c r="E13" s="14" t="n">
        <v>0.12</v>
      </c>
      <c r="F13" s="14" t="n">
        <v>0.09</v>
      </c>
      <c r="G13" s="14" t="n">
        <v>0.2</v>
      </c>
      <c r="H13" s="14" t="n">
        <v>0.04</v>
      </c>
      <c r="I13" s="14" t="n">
        <v>0.04</v>
      </c>
      <c r="J13" s="14" t="n">
        <v>0.03</v>
      </c>
      <c r="K13" s="14" t="n">
        <v>0.05</v>
      </c>
      <c r="L13" s="14" t="n">
        <v>0.21</v>
      </c>
      <c r="M13" s="14" t="n">
        <v>0.08</v>
      </c>
      <c r="N13" s="14" t="n">
        <v>0.14</v>
      </c>
      <c r="O13" s="14" t="n">
        <v>0.03</v>
      </c>
      <c r="P13" s="14" t="n">
        <v>0.12</v>
      </c>
      <c r="Q13" s="14" t="n">
        <v>0.07000000000000001</v>
      </c>
      <c r="R13" s="14" t="n">
        <v>0.04</v>
      </c>
      <c r="S13" s="14" t="n">
        <v>0.07000000000000001</v>
      </c>
      <c r="T13" s="14" t="n">
        <v>0.12</v>
      </c>
      <c r="U13" s="14" t="n">
        <v>0.08</v>
      </c>
      <c r="V13" s="14" t="n">
        <v>0.11</v>
      </c>
      <c r="W13" s="14" t="n">
        <v>0.13</v>
      </c>
      <c r="X13" s="14" t="n">
        <v>0.04</v>
      </c>
      <c r="Y13" s="14" t="n">
        <v>0.14</v>
      </c>
      <c r="Z13" s="14" t="n">
        <v>0.11</v>
      </c>
      <c r="AA13" s="14" t="n">
        <v>0.06</v>
      </c>
      <c r="AB13" s="14" t="n">
        <v>0.17</v>
      </c>
      <c r="AC13" s="14" t="n">
        <v>0.09</v>
      </c>
      <c r="AD13" s="14" t="n">
        <v>0.1</v>
      </c>
      <c r="AE13" s="14" t="n">
        <v>0.06</v>
      </c>
      <c r="AF13" s="14" t="n">
        <v>0.08</v>
      </c>
    </row>
    <row r="14">
      <c r="A14" s="20" t="n"/>
      <c r="B14" s="11" t="inlineStr">
        <is>
          <t>Plutôt optimiste</t>
        </is>
      </c>
      <c r="C14" s="12" t="n">
        <v>13329</v>
      </c>
      <c r="D14" s="12" t="n">
        <v>564</v>
      </c>
      <c r="E14" s="12" t="n">
        <v>448</v>
      </c>
      <c r="F14" s="12" t="n">
        <v>532</v>
      </c>
      <c r="G14" s="12" t="n">
        <v>640</v>
      </c>
      <c r="H14" s="12" t="n">
        <v>567</v>
      </c>
      <c r="I14" s="12" t="n">
        <v>663</v>
      </c>
      <c r="J14" s="12" t="n">
        <v>96</v>
      </c>
      <c r="K14" s="12" t="n">
        <v>527</v>
      </c>
      <c r="L14" s="12" t="n">
        <v>526</v>
      </c>
      <c r="M14" s="12" t="n">
        <v>365</v>
      </c>
      <c r="N14" s="12" t="n">
        <v>516</v>
      </c>
      <c r="O14" s="12" t="n">
        <v>408</v>
      </c>
      <c r="P14" s="12" t="n">
        <v>529</v>
      </c>
      <c r="Q14" s="12" t="n">
        <v>582</v>
      </c>
      <c r="R14" s="12" t="n">
        <v>261</v>
      </c>
      <c r="S14" s="12" t="n">
        <v>579</v>
      </c>
      <c r="T14" s="12" t="n">
        <v>545</v>
      </c>
      <c r="U14" s="12" t="n">
        <v>273</v>
      </c>
      <c r="V14" s="12" t="n">
        <v>596</v>
      </c>
      <c r="W14" s="12" t="n">
        <v>286</v>
      </c>
      <c r="X14" s="12" t="n">
        <v>636</v>
      </c>
      <c r="Y14" s="12" t="n">
        <v>440</v>
      </c>
      <c r="Z14" s="12" t="n">
        <v>638</v>
      </c>
      <c r="AA14" s="12" t="n">
        <v>610</v>
      </c>
      <c r="AB14" s="12" t="n">
        <v>452</v>
      </c>
      <c r="AC14" s="12" t="n">
        <v>577</v>
      </c>
      <c r="AD14" s="12" t="n">
        <v>503</v>
      </c>
      <c r="AE14" s="12" t="n">
        <v>625</v>
      </c>
      <c r="AF14" s="12" t="n">
        <v>643</v>
      </c>
    </row>
    <row r="15">
      <c r="A15" s="20" t="n"/>
      <c r="B15" s="13" t="inlineStr">
        <is>
          <t>Fairly optimistic</t>
        </is>
      </c>
      <c r="C15" s="14" t="n">
        <v>0.51</v>
      </c>
      <c r="D15" s="14" t="n">
        <v>0.55</v>
      </c>
      <c r="E15" s="14" t="n">
        <v>0.44</v>
      </c>
      <c r="F15" s="14" t="n">
        <v>0.51</v>
      </c>
      <c r="G15" s="14" t="n">
        <v>0.64</v>
      </c>
      <c r="H15" s="14" t="n">
        <v>0.47</v>
      </c>
      <c r="I15" s="14" t="n">
        <v>0.44</v>
      </c>
      <c r="J15" s="14" t="n">
        <v>0.33</v>
      </c>
      <c r="K15" s="14" t="n">
        <v>0.52</v>
      </c>
      <c r="L15" s="14" t="n">
        <v>0.52</v>
      </c>
      <c r="M15" s="14" t="n">
        <v>0.36</v>
      </c>
      <c r="N15" s="14" t="n">
        <v>0.51</v>
      </c>
      <c r="O15" s="14" t="n">
        <v>0.4</v>
      </c>
      <c r="P15" s="14" t="n">
        <v>0.52</v>
      </c>
      <c r="Q15" s="14" t="n">
        <v>0.5600000000000001</v>
      </c>
      <c r="R15" s="14" t="n">
        <v>0.52</v>
      </c>
      <c r="S15" s="14" t="n">
        <v>0.5700000000000001</v>
      </c>
      <c r="T15" s="14" t="n">
        <v>0.54</v>
      </c>
      <c r="U15" s="14" t="n">
        <v>0.54</v>
      </c>
      <c r="V15" s="14" t="n">
        <v>0.58</v>
      </c>
      <c r="W15" s="14" t="n">
        <v>0.5700000000000001</v>
      </c>
      <c r="X15" s="14" t="n">
        <v>0.62</v>
      </c>
      <c r="Y15" s="14" t="n">
        <v>0.44</v>
      </c>
      <c r="Z15" s="14" t="n">
        <v>0.63</v>
      </c>
      <c r="AA15" s="14" t="n">
        <v>0.59</v>
      </c>
      <c r="AB15" s="14" t="n">
        <v>0.43</v>
      </c>
      <c r="AC15" s="14" t="n">
        <v>0.5700000000000001</v>
      </c>
      <c r="AD15" s="14" t="n">
        <v>0.5</v>
      </c>
      <c r="AE15" s="14" t="n">
        <v>0.62</v>
      </c>
      <c r="AF15" s="14" t="n">
        <v>0.62</v>
      </c>
    </row>
    <row r="16">
      <c r="A16" s="20" t="n"/>
      <c r="B16" s="11" t="inlineStr">
        <is>
          <t>Plutôt pessimiste</t>
        </is>
      </c>
      <c r="C16" s="12" t="n">
        <v>7881</v>
      </c>
      <c r="D16" s="12" t="n">
        <v>318</v>
      </c>
      <c r="E16" s="12" t="n">
        <v>252</v>
      </c>
      <c r="F16" s="12" t="n">
        <v>311</v>
      </c>
      <c r="G16" s="12" t="n">
        <v>124</v>
      </c>
      <c r="H16" s="12" t="n">
        <v>449</v>
      </c>
      <c r="I16" s="12" t="n">
        <v>594</v>
      </c>
      <c r="J16" s="12" t="n">
        <v>146</v>
      </c>
      <c r="K16" s="12" t="n">
        <v>246</v>
      </c>
      <c r="L16" s="12" t="n">
        <v>184</v>
      </c>
      <c r="M16" s="12" t="n">
        <v>390</v>
      </c>
      <c r="N16" s="12" t="n">
        <v>243</v>
      </c>
      <c r="O16" s="12" t="n">
        <v>391</v>
      </c>
      <c r="P16" s="12" t="n">
        <v>238</v>
      </c>
      <c r="Q16" s="12" t="n">
        <v>289</v>
      </c>
      <c r="R16" s="12" t="n">
        <v>151</v>
      </c>
      <c r="S16" s="12" t="n">
        <v>260</v>
      </c>
      <c r="T16" s="12" t="n">
        <v>247</v>
      </c>
      <c r="U16" s="12" t="n">
        <v>143</v>
      </c>
      <c r="V16" s="12" t="n">
        <v>233</v>
      </c>
      <c r="W16" s="12" t="n">
        <v>107</v>
      </c>
      <c r="X16" s="12" t="n">
        <v>270</v>
      </c>
      <c r="Y16" s="12" t="n">
        <v>227</v>
      </c>
      <c r="Z16" s="12" t="n">
        <v>164</v>
      </c>
      <c r="AA16" s="12" t="n">
        <v>309</v>
      </c>
      <c r="AB16" s="12" t="n">
        <v>275</v>
      </c>
      <c r="AC16" s="12" t="n">
        <v>260</v>
      </c>
      <c r="AD16" s="12" t="n">
        <v>307</v>
      </c>
      <c r="AE16" s="12" t="n">
        <v>264</v>
      </c>
      <c r="AF16" s="12" t="n">
        <v>244</v>
      </c>
    </row>
    <row r="17">
      <c r="A17" s="20" t="n"/>
      <c r="B17" s="13" t="inlineStr">
        <is>
          <t>Fairly pessimistic</t>
        </is>
      </c>
      <c r="C17" s="14" t="n">
        <v>0.3</v>
      </c>
      <c r="D17" s="14" t="n">
        <v>0.31</v>
      </c>
      <c r="E17" s="14" t="n">
        <v>0.25</v>
      </c>
      <c r="F17" s="14" t="n">
        <v>0.29</v>
      </c>
      <c r="G17" s="14" t="n">
        <v>0.12</v>
      </c>
      <c r="H17" s="14" t="n">
        <v>0.37</v>
      </c>
      <c r="I17" s="14" t="n">
        <v>0.4</v>
      </c>
      <c r="J17" s="14" t="n">
        <v>0.5</v>
      </c>
      <c r="K17" s="14" t="n">
        <v>0.24</v>
      </c>
      <c r="L17" s="14" t="n">
        <v>0.18</v>
      </c>
      <c r="M17" s="14" t="n">
        <v>0.39</v>
      </c>
      <c r="N17" s="14" t="n">
        <v>0.24</v>
      </c>
      <c r="O17" s="14" t="n">
        <v>0.39</v>
      </c>
      <c r="P17" s="14" t="n">
        <v>0.24</v>
      </c>
      <c r="Q17" s="14" t="n">
        <v>0.28</v>
      </c>
      <c r="R17" s="14" t="n">
        <v>0.3</v>
      </c>
      <c r="S17" s="14" t="n">
        <v>0.26</v>
      </c>
      <c r="T17" s="14" t="n">
        <v>0.24</v>
      </c>
      <c r="U17" s="14" t="n">
        <v>0.28</v>
      </c>
      <c r="V17" s="14" t="n">
        <v>0.23</v>
      </c>
      <c r="W17" s="14" t="n">
        <v>0.21</v>
      </c>
      <c r="X17" s="14" t="n">
        <v>0.27</v>
      </c>
      <c r="Y17" s="14" t="n">
        <v>0.22</v>
      </c>
      <c r="Z17" s="14" t="n">
        <v>0.16</v>
      </c>
      <c r="AA17" s="14" t="n">
        <v>0.3</v>
      </c>
      <c r="AB17" s="14" t="n">
        <v>0.27</v>
      </c>
      <c r="AC17" s="14" t="n">
        <v>0.26</v>
      </c>
      <c r="AD17" s="14" t="n">
        <v>0.31</v>
      </c>
      <c r="AE17" s="14" t="n">
        <v>0.26</v>
      </c>
      <c r="AF17" s="14" t="n">
        <v>0.23</v>
      </c>
    </row>
    <row r="18">
      <c r="A18" s="20" t="n"/>
      <c r="B18" s="11" t="inlineStr">
        <is>
          <t>Très pessimiste</t>
        </is>
      </c>
      <c r="C18" s="12" t="n">
        <v>1964</v>
      </c>
      <c r="D18" s="12" t="n">
        <v>78</v>
      </c>
      <c r="E18" s="12" t="n">
        <v>118</v>
      </c>
      <c r="F18" s="12" t="n">
        <v>82</v>
      </c>
      <c r="G18" s="12" t="n">
        <v>20</v>
      </c>
      <c r="H18" s="12" t="n">
        <v>92</v>
      </c>
      <c r="I18" s="12" t="n">
        <v>125</v>
      </c>
      <c r="J18" s="12" t="n">
        <v>33</v>
      </c>
      <c r="K18" s="12" t="n">
        <v>96</v>
      </c>
      <c r="L18" s="12" t="n">
        <v>34</v>
      </c>
      <c r="M18" s="12" t="n">
        <v>149</v>
      </c>
      <c r="N18" s="12" t="n">
        <v>63</v>
      </c>
      <c r="O18" s="12" t="n">
        <v>120</v>
      </c>
      <c r="P18" s="12" t="n">
        <v>93</v>
      </c>
      <c r="Q18" s="12" t="n">
        <v>47</v>
      </c>
      <c r="R18" s="12" t="n">
        <v>44</v>
      </c>
      <c r="S18" s="12" t="n">
        <v>37</v>
      </c>
      <c r="T18" s="12" t="n">
        <v>32</v>
      </c>
      <c r="U18" s="12" t="n">
        <v>26</v>
      </c>
      <c r="V18" s="12" t="n">
        <v>37</v>
      </c>
      <c r="W18" s="12" t="n">
        <v>26</v>
      </c>
      <c r="X18" s="12" t="n">
        <v>63</v>
      </c>
      <c r="Y18" s="12" t="n">
        <v>149</v>
      </c>
      <c r="Z18" s="12" t="n">
        <v>44</v>
      </c>
      <c r="AA18" s="12" t="n">
        <v>19</v>
      </c>
      <c r="AB18" s="12" t="n">
        <v>97</v>
      </c>
      <c r="AC18" s="12" t="n">
        <v>45</v>
      </c>
      <c r="AD18" s="12" t="n">
        <v>73</v>
      </c>
      <c r="AE18" s="12" t="n">
        <v>41</v>
      </c>
      <c r="AF18" s="12" t="n">
        <v>50</v>
      </c>
    </row>
    <row r="19">
      <c r="A19" s="20" t="n"/>
      <c r="B19" s="13" t="inlineStr">
        <is>
          <t>Very pessimistic</t>
        </is>
      </c>
      <c r="C19" s="14" t="n">
        <v>0.07000000000000001</v>
      </c>
      <c r="D19" s="14" t="n">
        <v>0.08</v>
      </c>
      <c r="E19" s="14" t="n">
        <v>0.12</v>
      </c>
      <c r="F19" s="14" t="n">
        <v>0.08</v>
      </c>
      <c r="G19" s="14" t="n">
        <v>0.02</v>
      </c>
      <c r="H19" s="14" t="n">
        <v>0.08</v>
      </c>
      <c r="I19" s="14" t="n">
        <v>0.08</v>
      </c>
      <c r="J19" s="14" t="n">
        <v>0.11</v>
      </c>
      <c r="K19" s="14" t="n">
        <v>0.1</v>
      </c>
      <c r="L19" s="14" t="n">
        <v>0.04</v>
      </c>
      <c r="M19" s="14" t="n">
        <v>0.15</v>
      </c>
      <c r="N19" s="14" t="n">
        <v>0.06</v>
      </c>
      <c r="O19" s="14" t="n">
        <v>0.12</v>
      </c>
      <c r="P19" s="14" t="n">
        <v>0.09</v>
      </c>
      <c r="Q19" s="14" t="n">
        <v>0.05</v>
      </c>
      <c r="R19" s="14" t="n">
        <v>0.09</v>
      </c>
      <c r="S19" s="14" t="n">
        <v>0.04</v>
      </c>
      <c r="T19" s="14" t="n">
        <v>0.03</v>
      </c>
      <c r="U19" s="14" t="n">
        <v>0.05</v>
      </c>
      <c r="V19" s="14" t="n">
        <v>0.04</v>
      </c>
      <c r="W19" s="14" t="n">
        <v>0.05</v>
      </c>
      <c r="X19" s="14" t="n">
        <v>0.06</v>
      </c>
      <c r="Y19" s="14" t="n">
        <v>0.15</v>
      </c>
      <c r="Z19" s="14" t="n">
        <v>0.04</v>
      </c>
      <c r="AA19" s="14" t="n">
        <v>0.02</v>
      </c>
      <c r="AB19" s="14" t="n">
        <v>0.09</v>
      </c>
      <c r="AC19" s="14" t="n">
        <v>0.05</v>
      </c>
      <c r="AD19" s="14" t="n">
        <v>0.07000000000000001</v>
      </c>
      <c r="AE19" s="14" t="n">
        <v>0.04</v>
      </c>
      <c r="AF19" s="14" t="n">
        <v>0.05</v>
      </c>
    </row>
    <row r="20">
      <c r="A20" s="20" t="n"/>
      <c r="B20" s="11" t="inlineStr">
        <is>
          <t>Ne sait pas</t>
        </is>
      </c>
      <c r="C20" s="12" t="n">
        <v>1121</v>
      </c>
      <c r="D20" s="12" t="n">
        <v>13</v>
      </c>
      <c r="E20" s="12" t="n">
        <v>73</v>
      </c>
      <c r="F20" s="12" t="n">
        <v>31</v>
      </c>
      <c r="G20" s="12" t="n">
        <v>23</v>
      </c>
      <c r="H20" s="12" t="n">
        <v>52</v>
      </c>
      <c r="I20" s="12" t="n">
        <v>60</v>
      </c>
      <c r="J20" s="12" t="n">
        <v>8</v>
      </c>
      <c r="K20" s="12" t="n">
        <v>87</v>
      </c>
      <c r="L20" s="12" t="n">
        <v>54</v>
      </c>
      <c r="M20" s="12" t="n">
        <v>25</v>
      </c>
      <c r="N20" s="12" t="n">
        <v>47</v>
      </c>
      <c r="O20" s="12" t="n">
        <v>65</v>
      </c>
      <c r="P20" s="12" t="n">
        <v>28</v>
      </c>
      <c r="Q20" s="12" t="n">
        <v>36</v>
      </c>
      <c r="R20" s="12" t="n">
        <v>25</v>
      </c>
      <c r="S20" s="12" t="n">
        <v>57</v>
      </c>
      <c r="T20" s="12" t="n">
        <v>69</v>
      </c>
      <c r="U20" s="12" t="n">
        <v>26</v>
      </c>
      <c r="V20" s="12" t="n">
        <v>39</v>
      </c>
      <c r="W20" s="12" t="n">
        <v>22</v>
      </c>
      <c r="X20" s="12" t="n">
        <v>10</v>
      </c>
      <c r="Y20" s="12" t="n">
        <v>49</v>
      </c>
      <c r="Z20" s="12" t="n">
        <v>59</v>
      </c>
      <c r="AA20" s="12" t="n">
        <v>36</v>
      </c>
      <c r="AB20" s="12" t="n">
        <v>43</v>
      </c>
      <c r="AC20" s="12" t="n">
        <v>34</v>
      </c>
      <c r="AD20" s="12" t="n">
        <v>21</v>
      </c>
      <c r="AE20" s="12" t="n">
        <v>24</v>
      </c>
      <c r="AF20" s="12" t="n">
        <v>16</v>
      </c>
    </row>
    <row r="21">
      <c r="A21" s="23" t="n"/>
      <c r="B21" s="13" t="inlineStr">
        <is>
          <t>Don't know</t>
        </is>
      </c>
      <c r="C21" s="14" t="n">
        <v>0.04</v>
      </c>
      <c r="D21" s="14" t="n">
        <v>0.01</v>
      </c>
      <c r="E21" s="14" t="n">
        <v>0.07000000000000001</v>
      </c>
      <c r="F21" s="14" t="n">
        <v>0.03</v>
      </c>
      <c r="G21" s="14" t="n">
        <v>0.02</v>
      </c>
      <c r="H21" s="14" t="n">
        <v>0.04</v>
      </c>
      <c r="I21" s="14" t="n">
        <v>0.04</v>
      </c>
      <c r="J21" s="14" t="n">
        <v>0.03</v>
      </c>
      <c r="K21" s="14" t="n">
        <v>0.09</v>
      </c>
      <c r="L21" s="14" t="n">
        <v>0.05</v>
      </c>
      <c r="M21" s="14" t="n">
        <v>0.02</v>
      </c>
      <c r="N21" s="14" t="n">
        <v>0.05</v>
      </c>
      <c r="O21" s="14" t="n">
        <v>0.06</v>
      </c>
      <c r="P21" s="14" t="n">
        <v>0.03</v>
      </c>
      <c r="Q21" s="14" t="n">
        <v>0.04</v>
      </c>
      <c r="R21" s="14" t="n">
        <v>0.05</v>
      </c>
      <c r="S21" s="14" t="n">
        <v>0.06</v>
      </c>
      <c r="T21" s="14" t="n">
        <v>0.07000000000000001</v>
      </c>
      <c r="U21" s="14" t="n">
        <v>0.05</v>
      </c>
      <c r="V21" s="14" t="n">
        <v>0.04</v>
      </c>
      <c r="W21" s="14" t="n">
        <v>0.04</v>
      </c>
      <c r="X21" s="14" t="n">
        <v>0.01</v>
      </c>
      <c r="Y21" s="14" t="n">
        <v>0.05</v>
      </c>
      <c r="Z21" s="14" t="n">
        <v>0.06</v>
      </c>
      <c r="AA21" s="14" t="n">
        <v>0.03</v>
      </c>
      <c r="AB21" s="14" t="n">
        <v>0.04</v>
      </c>
      <c r="AC21" s="14" t="n">
        <v>0.03</v>
      </c>
      <c r="AD21" s="14" t="n">
        <v>0.02</v>
      </c>
      <c r="AE21" s="14" t="n">
        <v>0.02</v>
      </c>
      <c r="AF21" s="14" t="n">
        <v>0.02</v>
      </c>
    </row>
    <row r="22">
      <c r="A22" s="19" t="n"/>
      <c r="B22" s="11" t="inlineStr">
        <is>
          <t>Total 'Optimiste'</t>
        </is>
      </c>
      <c r="C22" s="12" t="n">
        <v>15455</v>
      </c>
      <c r="D22" s="12" t="n">
        <v>612</v>
      </c>
      <c r="E22" s="12" t="n">
        <v>572</v>
      </c>
      <c r="F22" s="12" t="n">
        <v>625</v>
      </c>
      <c r="G22" s="12" t="n">
        <v>840</v>
      </c>
      <c r="H22" s="12" t="n">
        <v>621</v>
      </c>
      <c r="I22" s="12" t="n">
        <v>727</v>
      </c>
      <c r="J22" s="12" t="n">
        <v>106</v>
      </c>
      <c r="K22" s="12" t="n">
        <v>577</v>
      </c>
      <c r="L22" s="12" t="n">
        <v>738</v>
      </c>
      <c r="M22" s="12" t="n">
        <v>442</v>
      </c>
      <c r="N22" s="12" t="n">
        <v>653</v>
      </c>
      <c r="O22" s="12" t="n">
        <v>439</v>
      </c>
      <c r="P22" s="12" t="n">
        <v>649</v>
      </c>
      <c r="Q22" s="12" t="n">
        <v>657</v>
      </c>
      <c r="R22" s="12" t="n">
        <v>284</v>
      </c>
      <c r="S22" s="12" t="n">
        <v>652</v>
      </c>
      <c r="T22" s="12" t="n">
        <v>668</v>
      </c>
      <c r="U22" s="12" t="n">
        <v>312</v>
      </c>
      <c r="V22" s="12" t="n">
        <v>711</v>
      </c>
      <c r="W22" s="12" t="n">
        <v>349</v>
      </c>
      <c r="X22" s="12" t="n">
        <v>680</v>
      </c>
      <c r="Y22" s="12" t="n">
        <v>578</v>
      </c>
      <c r="Z22" s="12" t="n">
        <v>753</v>
      </c>
      <c r="AA22" s="12" t="n">
        <v>668</v>
      </c>
      <c r="AB22" s="12" t="n">
        <v>631</v>
      </c>
      <c r="AC22" s="12" t="n">
        <v>668</v>
      </c>
      <c r="AD22" s="12" t="n">
        <v>600</v>
      </c>
      <c r="AE22" s="12" t="n">
        <v>688</v>
      </c>
      <c r="AF22" s="12" t="n">
        <v>726</v>
      </c>
    </row>
    <row r="23">
      <c r="A23" s="20" t="n"/>
      <c r="B23" s="13" t="inlineStr">
        <is>
          <t>Total 'Optimistic'</t>
        </is>
      </c>
      <c r="C23" s="14" t="n">
        <v>0.59</v>
      </c>
      <c r="D23" s="14" t="n">
        <v>0.6</v>
      </c>
      <c r="E23" s="14" t="n">
        <v>0.5600000000000001</v>
      </c>
      <c r="F23" s="14" t="n">
        <v>0.6</v>
      </c>
      <c r="G23" s="14" t="n">
        <v>0.84</v>
      </c>
      <c r="H23" s="14" t="n">
        <v>0.51</v>
      </c>
      <c r="I23" s="14" t="n">
        <v>0.48</v>
      </c>
      <c r="J23" s="14" t="n">
        <v>0.36</v>
      </c>
      <c r="K23" s="14" t="n">
        <v>0.5700000000000001</v>
      </c>
      <c r="L23" s="14" t="n">
        <v>0.73</v>
      </c>
      <c r="M23" s="14" t="n">
        <v>0.44</v>
      </c>
      <c r="N23" s="14" t="n">
        <v>0.65</v>
      </c>
      <c r="O23" s="14" t="n">
        <v>0.43</v>
      </c>
      <c r="P23" s="14" t="n">
        <v>0.64</v>
      </c>
      <c r="Q23" s="14" t="n">
        <v>0.63</v>
      </c>
      <c r="R23" s="14" t="n">
        <v>0.5600000000000001</v>
      </c>
      <c r="S23" s="14" t="n">
        <v>0.64</v>
      </c>
      <c r="T23" s="14" t="n">
        <v>0.66</v>
      </c>
      <c r="U23" s="14" t="n">
        <v>0.62</v>
      </c>
      <c r="V23" s="14" t="n">
        <v>0.6900000000000001</v>
      </c>
      <c r="W23" s="14" t="n">
        <v>0.7000000000000001</v>
      </c>
      <c r="X23" s="14" t="n">
        <v>0.66</v>
      </c>
      <c r="Y23" s="14" t="n">
        <v>0.58</v>
      </c>
      <c r="Z23" s="14" t="n">
        <v>0.74</v>
      </c>
      <c r="AA23" s="14" t="n">
        <v>0.65</v>
      </c>
      <c r="AB23" s="14" t="n">
        <v>0.6</v>
      </c>
      <c r="AC23" s="14" t="n">
        <v>0.66</v>
      </c>
      <c r="AD23" s="14" t="n">
        <v>0.6</v>
      </c>
      <c r="AE23" s="14" t="n">
        <v>0.68</v>
      </c>
      <c r="AF23" s="14" t="n">
        <v>0.7000000000000001</v>
      </c>
    </row>
    <row r="24">
      <c r="A24" s="20" t="n"/>
      <c r="B24" s="11" t="inlineStr">
        <is>
          <t>Total 'Pessimiste'</t>
        </is>
      </c>
      <c r="C24" s="12" t="n">
        <v>9845</v>
      </c>
      <c r="D24" s="12" t="n">
        <v>396</v>
      </c>
      <c r="E24" s="12" t="n">
        <v>370</v>
      </c>
      <c r="F24" s="12" t="n">
        <v>393</v>
      </c>
      <c r="G24" s="12" t="n">
        <v>144</v>
      </c>
      <c r="H24" s="12" t="n">
        <v>541</v>
      </c>
      <c r="I24" s="12" t="n">
        <v>719</v>
      </c>
      <c r="J24" s="12" t="n">
        <v>179</v>
      </c>
      <c r="K24" s="12" t="n">
        <v>342</v>
      </c>
      <c r="L24" s="12" t="n">
        <v>218</v>
      </c>
      <c r="M24" s="12" t="n">
        <v>539</v>
      </c>
      <c r="N24" s="12" t="n">
        <v>306</v>
      </c>
      <c r="O24" s="12" t="n">
        <v>511</v>
      </c>
      <c r="P24" s="12" t="n">
        <v>331</v>
      </c>
      <c r="Q24" s="12" t="n">
        <v>336</v>
      </c>
      <c r="R24" s="12" t="n">
        <v>195</v>
      </c>
      <c r="S24" s="12" t="n">
        <v>297</v>
      </c>
      <c r="T24" s="12" t="n">
        <v>279</v>
      </c>
      <c r="U24" s="12" t="n">
        <v>169</v>
      </c>
      <c r="V24" s="12" t="n">
        <v>270</v>
      </c>
      <c r="W24" s="12" t="n">
        <v>133</v>
      </c>
      <c r="X24" s="12" t="n">
        <v>333</v>
      </c>
      <c r="Y24" s="12" t="n">
        <v>376</v>
      </c>
      <c r="Z24" s="12" t="n">
        <v>208</v>
      </c>
      <c r="AA24" s="12" t="n">
        <v>328</v>
      </c>
      <c r="AB24" s="12" t="n">
        <v>372</v>
      </c>
      <c r="AC24" s="12" t="n">
        <v>305</v>
      </c>
      <c r="AD24" s="12" t="n">
        <v>380</v>
      </c>
      <c r="AE24" s="12" t="n">
        <v>305</v>
      </c>
      <c r="AF24" s="12" t="n">
        <v>294</v>
      </c>
    </row>
    <row r="25">
      <c r="A25" s="23" t="n"/>
      <c r="B25" s="13" t="inlineStr">
        <is>
          <t>Total 'Pessimistic'</t>
        </is>
      </c>
      <c r="C25" s="14" t="n">
        <v>0.37</v>
      </c>
      <c r="D25" s="14" t="n">
        <v>0.39</v>
      </c>
      <c r="E25" s="14" t="n">
        <v>0.37</v>
      </c>
      <c r="F25" s="14" t="n">
        <v>0.37</v>
      </c>
      <c r="G25" s="14" t="n">
        <v>0.14</v>
      </c>
      <c r="H25" s="14" t="n">
        <v>0.45</v>
      </c>
      <c r="I25" s="14" t="n">
        <v>0.48</v>
      </c>
      <c r="J25" s="14" t="n">
        <v>0.61</v>
      </c>
      <c r="K25" s="14" t="n">
        <v>0.34</v>
      </c>
      <c r="L25" s="14" t="n">
        <v>0.22</v>
      </c>
      <c r="M25" s="14" t="n">
        <v>0.54</v>
      </c>
      <c r="N25" s="14" t="n">
        <v>0.3</v>
      </c>
      <c r="O25" s="14" t="n">
        <v>0.51</v>
      </c>
      <c r="P25" s="14" t="n">
        <v>0.33</v>
      </c>
      <c r="Q25" s="14" t="n">
        <v>0.33</v>
      </c>
      <c r="R25" s="14" t="n">
        <v>0.39</v>
      </c>
      <c r="S25" s="14" t="n">
        <v>0.3</v>
      </c>
      <c r="T25" s="14" t="n">
        <v>0.27</v>
      </c>
      <c r="U25" s="14" t="n">
        <v>0.33</v>
      </c>
      <c r="V25" s="14" t="n">
        <v>0.27</v>
      </c>
      <c r="W25" s="14" t="n">
        <v>0.26</v>
      </c>
      <c r="X25" s="14" t="n">
        <v>0.33</v>
      </c>
      <c r="Y25" s="14" t="n">
        <v>0.37</v>
      </c>
      <c r="Z25" s="14" t="n">
        <v>0.2</v>
      </c>
      <c r="AA25" s="14" t="n">
        <v>0.32</v>
      </c>
      <c r="AB25" s="14" t="n">
        <v>0.36</v>
      </c>
      <c r="AC25" s="14" t="n">
        <v>0.31</v>
      </c>
      <c r="AD25" s="14" t="n">
        <v>0.38</v>
      </c>
      <c r="AE25" s="14" t="n">
        <v>0.3</v>
      </c>
      <c r="AF25" s="14" t="n">
        <v>0.28</v>
      </c>
    </row>
  </sheetData>
  <mergeCells count="10">
    <mergeCell ref="B4:F4"/>
    <mergeCell ref="H3:L3"/>
    <mergeCell ref="A10:A21"/>
    <mergeCell ref="C8:AF8"/>
    <mergeCell ref="B3:F3"/>
    <mergeCell ref="B5:F5"/>
    <mergeCell ref="H5:L5"/>
    <mergeCell ref="B10:B11"/>
    <mergeCell ref="H4:L4"/>
    <mergeCell ref="A22:A25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24" customHeight="1" s="18">
      <c r="B3" s="21" t="inlineStr">
        <is>
          <t>QA12.4. Diriez-vous que vous êtes très optimiste, plutôt optimiste, plutôt pessimiste ou très pessimiste concernant le futur de/du… ?</t>
        </is>
      </c>
      <c r="H3" s="21" t="inlineStr">
        <is>
          <t>QA12.4. Would you say that you are very optimistic, fairly optimistic, fairly pessimistic or very pessimistic about the future of ...?</t>
        </is>
      </c>
    </row>
    <row r="4" ht="27" customHeight="1" s="18">
      <c r="B4" s="21" t="inlineStr">
        <is>
          <t>Monde</t>
        </is>
      </c>
      <c r="H4" s="21" t="inlineStr">
        <is>
          <t>The world</t>
        </is>
      </c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HYPERLINK("#Content!A35","&lt;&lt;Back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Très optimiste</t>
        </is>
      </c>
      <c r="C12" s="12" t="n">
        <v>1413</v>
      </c>
      <c r="D12" s="12" t="n">
        <v>29</v>
      </c>
      <c r="E12" s="12" t="n">
        <v>83</v>
      </c>
      <c r="F12" s="12" t="n">
        <v>92</v>
      </c>
      <c r="G12" s="12" t="n">
        <v>29</v>
      </c>
      <c r="H12" s="12" t="n">
        <v>18</v>
      </c>
      <c r="I12" s="12" t="n">
        <v>24</v>
      </c>
      <c r="J12" s="12" t="n">
        <v>6</v>
      </c>
      <c r="K12" s="12" t="n">
        <v>36</v>
      </c>
      <c r="L12" s="12" t="n">
        <v>119</v>
      </c>
      <c r="M12" s="12" t="n">
        <v>78</v>
      </c>
      <c r="N12" s="12" t="n">
        <v>96</v>
      </c>
      <c r="O12" s="12" t="n">
        <v>20</v>
      </c>
      <c r="P12" s="12" t="n">
        <v>108</v>
      </c>
      <c r="Q12" s="12" t="n">
        <v>60</v>
      </c>
      <c r="R12" s="12" t="n">
        <v>7</v>
      </c>
      <c r="S12" s="12" t="n">
        <v>44</v>
      </c>
      <c r="T12" s="12" t="n">
        <v>88</v>
      </c>
      <c r="U12" s="12" t="n">
        <v>10</v>
      </c>
      <c r="V12" s="12" t="n">
        <v>86</v>
      </c>
      <c r="W12" s="12" t="n">
        <v>37</v>
      </c>
      <c r="X12" s="12" t="n">
        <v>9</v>
      </c>
      <c r="Y12" s="12" t="n">
        <v>81</v>
      </c>
      <c r="Z12" s="12" t="n">
        <v>91</v>
      </c>
      <c r="AA12" s="12" t="n">
        <v>32</v>
      </c>
      <c r="AB12" s="12" t="n">
        <v>145</v>
      </c>
      <c r="AC12" s="12" t="n">
        <v>54</v>
      </c>
      <c r="AD12" s="12" t="n">
        <v>82</v>
      </c>
      <c r="AE12" s="12" t="n">
        <v>38</v>
      </c>
      <c r="AF12" s="12" t="n">
        <v>17</v>
      </c>
    </row>
    <row r="13">
      <c r="A13" s="20" t="n"/>
      <c r="B13" s="13" t="inlineStr">
        <is>
          <t>Very optimistic</t>
        </is>
      </c>
      <c r="C13" s="14" t="n">
        <v>0.05</v>
      </c>
      <c r="D13" s="14" t="n">
        <v>0.03</v>
      </c>
      <c r="E13" s="14" t="n">
        <v>0.08</v>
      </c>
      <c r="F13" s="14" t="n">
        <v>0.09</v>
      </c>
      <c r="G13" s="14" t="n">
        <v>0.03</v>
      </c>
      <c r="H13" s="14" t="n">
        <v>0.01</v>
      </c>
      <c r="I13" s="14" t="n">
        <v>0.02</v>
      </c>
      <c r="J13" s="14" t="n">
        <v>0.02</v>
      </c>
      <c r="K13" s="14" t="n">
        <v>0.04</v>
      </c>
      <c r="L13" s="14" t="n">
        <v>0.12</v>
      </c>
      <c r="M13" s="14" t="n">
        <v>0.08</v>
      </c>
      <c r="N13" s="14" t="n">
        <v>0.1</v>
      </c>
      <c r="O13" s="14" t="n">
        <v>0.02</v>
      </c>
      <c r="P13" s="14" t="n">
        <v>0.11</v>
      </c>
      <c r="Q13" s="14" t="n">
        <v>0.06</v>
      </c>
      <c r="R13" s="14" t="n">
        <v>0.01</v>
      </c>
      <c r="S13" s="14" t="n">
        <v>0.04</v>
      </c>
      <c r="T13" s="14" t="n">
        <v>0.09</v>
      </c>
      <c r="U13" s="14" t="n">
        <v>0.02</v>
      </c>
      <c r="V13" s="14" t="n">
        <v>0.09</v>
      </c>
      <c r="W13" s="14" t="n">
        <v>0.07000000000000001</v>
      </c>
      <c r="X13" s="14" t="n">
        <v>0.01</v>
      </c>
      <c r="Y13" s="14" t="n">
        <v>0.08</v>
      </c>
      <c r="Z13" s="14" t="n">
        <v>0.09</v>
      </c>
      <c r="AA13" s="14" t="n">
        <v>0.03</v>
      </c>
      <c r="AB13" s="14" t="n">
        <v>0.14</v>
      </c>
      <c r="AC13" s="14" t="n">
        <v>0.05</v>
      </c>
      <c r="AD13" s="14" t="n">
        <v>0.08</v>
      </c>
      <c r="AE13" s="14" t="n">
        <v>0.04</v>
      </c>
      <c r="AF13" s="14" t="n">
        <v>0.02</v>
      </c>
    </row>
    <row r="14">
      <c r="A14" s="20" t="n"/>
      <c r="B14" s="11" t="inlineStr">
        <is>
          <t>Plutôt optimiste</t>
        </is>
      </c>
      <c r="C14" s="12" t="n">
        <v>8661</v>
      </c>
      <c r="D14" s="12" t="n">
        <v>272</v>
      </c>
      <c r="E14" s="12" t="n">
        <v>384</v>
      </c>
      <c r="F14" s="12" t="n">
        <v>451</v>
      </c>
      <c r="G14" s="12" t="n">
        <v>384</v>
      </c>
      <c r="H14" s="12" t="n">
        <v>326</v>
      </c>
      <c r="I14" s="12" t="n">
        <v>397</v>
      </c>
      <c r="J14" s="12" t="n">
        <v>71</v>
      </c>
      <c r="K14" s="12" t="n">
        <v>462</v>
      </c>
      <c r="L14" s="12" t="n">
        <v>381</v>
      </c>
      <c r="M14" s="12" t="n">
        <v>319</v>
      </c>
      <c r="N14" s="12" t="n">
        <v>327</v>
      </c>
      <c r="O14" s="12" t="n">
        <v>225</v>
      </c>
      <c r="P14" s="12" t="n">
        <v>410</v>
      </c>
      <c r="Q14" s="12" t="n">
        <v>337</v>
      </c>
      <c r="R14" s="12" t="n">
        <v>175</v>
      </c>
      <c r="S14" s="12" t="n">
        <v>477</v>
      </c>
      <c r="T14" s="12" t="n">
        <v>490</v>
      </c>
      <c r="U14" s="12" t="n">
        <v>139</v>
      </c>
      <c r="V14" s="12" t="n">
        <v>492</v>
      </c>
      <c r="W14" s="12" t="n">
        <v>165</v>
      </c>
      <c r="X14" s="12" t="n">
        <v>222</v>
      </c>
      <c r="Y14" s="12" t="n">
        <v>359</v>
      </c>
      <c r="Z14" s="12" t="n">
        <v>544</v>
      </c>
      <c r="AA14" s="12" t="n">
        <v>395</v>
      </c>
      <c r="AB14" s="12" t="n">
        <v>445</v>
      </c>
      <c r="AC14" s="12" t="n">
        <v>452</v>
      </c>
      <c r="AD14" s="12" t="n">
        <v>494</v>
      </c>
      <c r="AE14" s="12" t="n">
        <v>297</v>
      </c>
      <c r="AF14" s="12" t="n">
        <v>303</v>
      </c>
    </row>
    <row r="15">
      <c r="A15" s="20" t="n"/>
      <c r="B15" s="13" t="inlineStr">
        <is>
          <t>Fairly optimistic</t>
        </is>
      </c>
      <c r="C15" s="14" t="n">
        <v>0.33</v>
      </c>
      <c r="D15" s="14" t="n">
        <v>0.27</v>
      </c>
      <c r="E15" s="14" t="n">
        <v>0.38</v>
      </c>
      <c r="F15" s="14" t="n">
        <v>0.43</v>
      </c>
      <c r="G15" s="14" t="n">
        <v>0.38</v>
      </c>
      <c r="H15" s="14" t="n">
        <v>0.27</v>
      </c>
      <c r="I15" s="14" t="n">
        <v>0.26</v>
      </c>
      <c r="J15" s="14" t="n">
        <v>0.24</v>
      </c>
      <c r="K15" s="14" t="n">
        <v>0.46</v>
      </c>
      <c r="L15" s="14" t="n">
        <v>0.38</v>
      </c>
      <c r="M15" s="14" t="n">
        <v>0.32</v>
      </c>
      <c r="N15" s="14" t="n">
        <v>0.32</v>
      </c>
      <c r="O15" s="14" t="n">
        <v>0.22</v>
      </c>
      <c r="P15" s="14" t="n">
        <v>0.41</v>
      </c>
      <c r="Q15" s="14" t="n">
        <v>0.33</v>
      </c>
      <c r="R15" s="14" t="n">
        <v>0.35</v>
      </c>
      <c r="S15" s="14" t="n">
        <v>0.48</v>
      </c>
      <c r="T15" s="14" t="n">
        <v>0.48</v>
      </c>
      <c r="U15" s="14" t="n">
        <v>0.27</v>
      </c>
      <c r="V15" s="14" t="n">
        <v>0.48</v>
      </c>
      <c r="W15" s="14" t="n">
        <v>0.33</v>
      </c>
      <c r="X15" s="14" t="n">
        <v>0.22</v>
      </c>
      <c r="Y15" s="14" t="n">
        <v>0.36</v>
      </c>
      <c r="Z15" s="14" t="n">
        <v>0.54</v>
      </c>
      <c r="AA15" s="14" t="n">
        <v>0.38</v>
      </c>
      <c r="AB15" s="14" t="n">
        <v>0.43</v>
      </c>
      <c r="AC15" s="14" t="n">
        <v>0.45</v>
      </c>
      <c r="AD15" s="14" t="n">
        <v>0.49</v>
      </c>
      <c r="AE15" s="14" t="n">
        <v>0.29</v>
      </c>
      <c r="AF15" s="14" t="n">
        <v>0.29</v>
      </c>
    </row>
    <row r="16">
      <c r="A16" s="20" t="n"/>
      <c r="B16" s="11" t="inlineStr">
        <is>
          <t>Plutôt pessimiste</t>
        </is>
      </c>
      <c r="C16" s="12" t="n">
        <v>11354</v>
      </c>
      <c r="D16" s="12" t="n">
        <v>521</v>
      </c>
      <c r="E16" s="12" t="n">
        <v>322</v>
      </c>
      <c r="F16" s="12" t="n">
        <v>378</v>
      </c>
      <c r="G16" s="12" t="n">
        <v>486</v>
      </c>
      <c r="H16" s="12" t="n">
        <v>663</v>
      </c>
      <c r="I16" s="12" t="n">
        <v>813</v>
      </c>
      <c r="J16" s="12" t="n">
        <v>150</v>
      </c>
      <c r="K16" s="12" t="n">
        <v>310</v>
      </c>
      <c r="L16" s="12" t="n">
        <v>360</v>
      </c>
      <c r="M16" s="12" t="n">
        <v>396</v>
      </c>
      <c r="N16" s="12" t="n">
        <v>410</v>
      </c>
      <c r="O16" s="12" t="n">
        <v>489</v>
      </c>
      <c r="P16" s="12" t="n">
        <v>317</v>
      </c>
      <c r="Q16" s="12" t="n">
        <v>411</v>
      </c>
      <c r="R16" s="12" t="n">
        <v>204</v>
      </c>
      <c r="S16" s="12" t="n">
        <v>342</v>
      </c>
      <c r="T16" s="12" t="n">
        <v>278</v>
      </c>
      <c r="U16" s="12" t="n">
        <v>232</v>
      </c>
      <c r="V16" s="12" t="n">
        <v>341</v>
      </c>
      <c r="W16" s="12" t="n">
        <v>210</v>
      </c>
      <c r="X16" s="12" t="n">
        <v>617</v>
      </c>
      <c r="Y16" s="12" t="n">
        <v>349</v>
      </c>
      <c r="Z16" s="12" t="n">
        <v>247</v>
      </c>
      <c r="AA16" s="12" t="n">
        <v>442</v>
      </c>
      <c r="AB16" s="12" t="n">
        <v>297</v>
      </c>
      <c r="AC16" s="12" t="n">
        <v>375</v>
      </c>
      <c r="AD16" s="12" t="n">
        <v>309</v>
      </c>
      <c r="AE16" s="12" t="n">
        <v>509</v>
      </c>
      <c r="AF16" s="12" t="n">
        <v>546</v>
      </c>
    </row>
    <row r="17">
      <c r="A17" s="20" t="n"/>
      <c r="B17" s="13" t="inlineStr">
        <is>
          <t>Fairly pessimistic</t>
        </is>
      </c>
      <c r="C17" s="14" t="n">
        <v>0.43</v>
      </c>
      <c r="D17" s="14" t="n">
        <v>0.51</v>
      </c>
      <c r="E17" s="14" t="n">
        <v>0.32</v>
      </c>
      <c r="F17" s="14" t="n">
        <v>0.36</v>
      </c>
      <c r="G17" s="14" t="n">
        <v>0.48</v>
      </c>
      <c r="H17" s="14" t="n">
        <v>0.55</v>
      </c>
      <c r="I17" s="14" t="n">
        <v>0.54</v>
      </c>
      <c r="J17" s="14" t="n">
        <v>0.51</v>
      </c>
      <c r="K17" s="14" t="n">
        <v>0.31</v>
      </c>
      <c r="L17" s="14" t="n">
        <v>0.36</v>
      </c>
      <c r="M17" s="14" t="n">
        <v>0.39</v>
      </c>
      <c r="N17" s="14" t="n">
        <v>0.41</v>
      </c>
      <c r="O17" s="14" t="n">
        <v>0.48</v>
      </c>
      <c r="P17" s="14" t="n">
        <v>0.31</v>
      </c>
      <c r="Q17" s="14" t="n">
        <v>0.4</v>
      </c>
      <c r="R17" s="14" t="n">
        <v>0.41</v>
      </c>
      <c r="S17" s="14" t="n">
        <v>0.34</v>
      </c>
      <c r="T17" s="14" t="n">
        <v>0.27</v>
      </c>
      <c r="U17" s="14" t="n">
        <v>0.46</v>
      </c>
      <c r="V17" s="14" t="n">
        <v>0.33</v>
      </c>
      <c r="W17" s="14" t="n">
        <v>0.41</v>
      </c>
      <c r="X17" s="14" t="n">
        <v>0.6</v>
      </c>
      <c r="Y17" s="14" t="n">
        <v>0.35</v>
      </c>
      <c r="Z17" s="14" t="n">
        <v>0.24</v>
      </c>
      <c r="AA17" s="14" t="n">
        <v>0.43</v>
      </c>
      <c r="AB17" s="14" t="n">
        <v>0.28</v>
      </c>
      <c r="AC17" s="14" t="n">
        <v>0.37</v>
      </c>
      <c r="AD17" s="14" t="n">
        <v>0.31</v>
      </c>
      <c r="AE17" s="14" t="n">
        <v>0.5</v>
      </c>
      <c r="AF17" s="14" t="n">
        <v>0.53</v>
      </c>
    </row>
    <row r="18">
      <c r="A18" s="20" t="n"/>
      <c r="B18" s="11" t="inlineStr">
        <is>
          <t>Très pessimiste</t>
        </is>
      </c>
      <c r="C18" s="12" t="n">
        <v>3861</v>
      </c>
      <c r="D18" s="12" t="n">
        <v>184</v>
      </c>
      <c r="E18" s="12" t="n">
        <v>124</v>
      </c>
      <c r="F18" s="12" t="n">
        <v>88</v>
      </c>
      <c r="G18" s="12" t="n">
        <v>93</v>
      </c>
      <c r="H18" s="12" t="n">
        <v>171</v>
      </c>
      <c r="I18" s="12" t="n">
        <v>230</v>
      </c>
      <c r="J18" s="12" t="n">
        <v>60</v>
      </c>
      <c r="K18" s="12" t="n">
        <v>75</v>
      </c>
      <c r="L18" s="12" t="n">
        <v>116</v>
      </c>
      <c r="M18" s="12" t="n">
        <v>182</v>
      </c>
      <c r="N18" s="12" t="n">
        <v>133</v>
      </c>
      <c r="O18" s="12" t="n">
        <v>227</v>
      </c>
      <c r="P18" s="12" t="n">
        <v>134</v>
      </c>
      <c r="Q18" s="12" t="n">
        <v>173</v>
      </c>
      <c r="R18" s="12" t="n">
        <v>78</v>
      </c>
      <c r="S18" s="12" t="n">
        <v>53</v>
      </c>
      <c r="T18" s="12" t="n">
        <v>60</v>
      </c>
      <c r="U18" s="12" t="n">
        <v>83</v>
      </c>
      <c r="V18" s="12" t="n">
        <v>49</v>
      </c>
      <c r="W18" s="12" t="n">
        <v>64</v>
      </c>
      <c r="X18" s="12" t="n">
        <v>158</v>
      </c>
      <c r="Y18" s="12" t="n">
        <v>156</v>
      </c>
      <c r="Z18" s="12" t="n">
        <v>64</v>
      </c>
      <c r="AA18" s="12" t="n">
        <v>118</v>
      </c>
      <c r="AB18" s="12" t="n">
        <v>104</v>
      </c>
      <c r="AC18" s="12" t="n">
        <v>90</v>
      </c>
      <c r="AD18" s="12" t="n">
        <v>94</v>
      </c>
      <c r="AE18" s="12" t="n">
        <v>147</v>
      </c>
      <c r="AF18" s="12" t="n">
        <v>162</v>
      </c>
    </row>
    <row r="19">
      <c r="A19" s="20" t="n"/>
      <c r="B19" s="13" t="inlineStr">
        <is>
          <t>Very pessimistic</t>
        </is>
      </c>
      <c r="C19" s="14" t="n">
        <v>0.15</v>
      </c>
      <c r="D19" s="14" t="n">
        <v>0.18</v>
      </c>
      <c r="E19" s="14" t="n">
        <v>0.12</v>
      </c>
      <c r="F19" s="14" t="n">
        <v>0.08</v>
      </c>
      <c r="G19" s="14" t="n">
        <v>0.09</v>
      </c>
      <c r="H19" s="14" t="n">
        <v>0.14</v>
      </c>
      <c r="I19" s="14" t="n">
        <v>0.15</v>
      </c>
      <c r="J19" s="14" t="n">
        <v>0.21</v>
      </c>
      <c r="K19" s="14" t="n">
        <v>0.07000000000000001</v>
      </c>
      <c r="L19" s="14" t="n">
        <v>0.11</v>
      </c>
      <c r="M19" s="14" t="n">
        <v>0.18</v>
      </c>
      <c r="N19" s="14" t="n">
        <v>0.13</v>
      </c>
      <c r="O19" s="14" t="n">
        <v>0.22</v>
      </c>
      <c r="P19" s="14" t="n">
        <v>0.13</v>
      </c>
      <c r="Q19" s="14" t="n">
        <v>0.17</v>
      </c>
      <c r="R19" s="14" t="n">
        <v>0.15</v>
      </c>
      <c r="S19" s="14" t="n">
        <v>0.05</v>
      </c>
      <c r="T19" s="14" t="n">
        <v>0.06</v>
      </c>
      <c r="U19" s="14" t="n">
        <v>0.16</v>
      </c>
      <c r="V19" s="14" t="n">
        <v>0.05</v>
      </c>
      <c r="W19" s="14" t="n">
        <v>0.13</v>
      </c>
      <c r="X19" s="14" t="n">
        <v>0.15</v>
      </c>
      <c r="Y19" s="14" t="n">
        <v>0.15</v>
      </c>
      <c r="Z19" s="14" t="n">
        <v>0.06</v>
      </c>
      <c r="AA19" s="14" t="n">
        <v>0.12</v>
      </c>
      <c r="AB19" s="14" t="n">
        <v>0.1</v>
      </c>
      <c r="AC19" s="14" t="n">
        <v>0.09</v>
      </c>
      <c r="AD19" s="14" t="n">
        <v>0.1</v>
      </c>
      <c r="AE19" s="14" t="n">
        <v>0.15</v>
      </c>
      <c r="AF19" s="14" t="n">
        <v>0.15</v>
      </c>
    </row>
    <row r="20">
      <c r="A20" s="20" t="n"/>
      <c r="B20" s="11" t="inlineStr">
        <is>
          <t>Ne sait pas</t>
        </is>
      </c>
      <c r="C20" s="12" t="n">
        <v>1132</v>
      </c>
      <c r="D20" s="12" t="n">
        <v>15</v>
      </c>
      <c r="E20" s="12" t="n">
        <v>101</v>
      </c>
      <c r="F20" s="12" t="n">
        <v>40</v>
      </c>
      <c r="G20" s="12" t="n">
        <v>15</v>
      </c>
      <c r="H20" s="12" t="n">
        <v>37</v>
      </c>
      <c r="I20" s="12" t="n">
        <v>43</v>
      </c>
      <c r="J20" s="12" t="n">
        <v>6</v>
      </c>
      <c r="K20" s="12" t="n">
        <v>123</v>
      </c>
      <c r="L20" s="12" t="n">
        <v>33</v>
      </c>
      <c r="M20" s="12" t="n">
        <v>32</v>
      </c>
      <c r="N20" s="12" t="n">
        <v>41</v>
      </c>
      <c r="O20" s="12" t="n">
        <v>55</v>
      </c>
      <c r="P20" s="12" t="n">
        <v>38</v>
      </c>
      <c r="Q20" s="12" t="n">
        <v>46</v>
      </c>
      <c r="R20" s="12" t="n">
        <v>39</v>
      </c>
      <c r="S20" s="12" t="n">
        <v>89</v>
      </c>
      <c r="T20" s="12" t="n">
        <v>101</v>
      </c>
      <c r="U20" s="12" t="n">
        <v>44</v>
      </c>
      <c r="V20" s="12" t="n">
        <v>51</v>
      </c>
      <c r="W20" s="12" t="n">
        <v>29</v>
      </c>
      <c r="X20" s="12" t="n">
        <v>17</v>
      </c>
      <c r="Y20" s="12" t="n">
        <v>58</v>
      </c>
      <c r="Z20" s="12" t="n">
        <v>74</v>
      </c>
      <c r="AA20" s="12" t="n">
        <v>45</v>
      </c>
      <c r="AB20" s="12" t="n">
        <v>53</v>
      </c>
      <c r="AC20" s="12" t="n">
        <v>35</v>
      </c>
      <c r="AD20" s="12" t="n">
        <v>22</v>
      </c>
      <c r="AE20" s="12" t="n">
        <v>25</v>
      </c>
      <c r="AF20" s="12" t="n">
        <v>9</v>
      </c>
    </row>
    <row r="21">
      <c r="A21" s="23" t="n"/>
      <c r="B21" s="13" t="inlineStr">
        <is>
          <t>Don't know</t>
        </is>
      </c>
      <c r="C21" s="14" t="n">
        <v>0.04</v>
      </c>
      <c r="D21" s="14" t="n">
        <v>0.01</v>
      </c>
      <c r="E21" s="14" t="n">
        <v>0.1</v>
      </c>
      <c r="F21" s="14" t="n">
        <v>0.04</v>
      </c>
      <c r="G21" s="14" t="n">
        <v>0.02</v>
      </c>
      <c r="H21" s="14" t="n">
        <v>0.03</v>
      </c>
      <c r="I21" s="14" t="n">
        <v>0.03</v>
      </c>
      <c r="J21" s="14" t="n">
        <v>0.02</v>
      </c>
      <c r="K21" s="14" t="n">
        <v>0.12</v>
      </c>
      <c r="L21" s="14" t="n">
        <v>0.03</v>
      </c>
      <c r="M21" s="14" t="n">
        <v>0.03</v>
      </c>
      <c r="N21" s="14" t="n">
        <v>0.04</v>
      </c>
      <c r="O21" s="14" t="n">
        <v>0.06</v>
      </c>
      <c r="P21" s="14" t="n">
        <v>0.04</v>
      </c>
      <c r="Q21" s="14" t="n">
        <v>0.04</v>
      </c>
      <c r="R21" s="14" t="n">
        <v>0.08</v>
      </c>
      <c r="S21" s="14" t="n">
        <v>0.09</v>
      </c>
      <c r="T21" s="14" t="n">
        <v>0.1</v>
      </c>
      <c r="U21" s="14" t="n">
        <v>0.09</v>
      </c>
      <c r="V21" s="14" t="n">
        <v>0.05</v>
      </c>
      <c r="W21" s="14" t="n">
        <v>0.06</v>
      </c>
      <c r="X21" s="14" t="n">
        <v>0.02</v>
      </c>
      <c r="Y21" s="14" t="n">
        <v>0.06</v>
      </c>
      <c r="Z21" s="14" t="n">
        <v>0.07000000000000001</v>
      </c>
      <c r="AA21" s="14" t="n">
        <v>0.04</v>
      </c>
      <c r="AB21" s="14" t="n">
        <v>0.05</v>
      </c>
      <c r="AC21" s="14" t="n">
        <v>0.04</v>
      </c>
      <c r="AD21" s="14" t="n">
        <v>0.02</v>
      </c>
      <c r="AE21" s="14" t="n">
        <v>0.02</v>
      </c>
      <c r="AF21" s="14" t="n">
        <v>0.01</v>
      </c>
    </row>
    <row r="22">
      <c r="A22" s="19" t="n"/>
      <c r="B22" s="11" t="inlineStr">
        <is>
          <t>Total 'Optimiste'</t>
        </is>
      </c>
      <c r="C22" s="12" t="n">
        <v>10074</v>
      </c>
      <c r="D22" s="12" t="n">
        <v>301</v>
      </c>
      <c r="E22" s="12" t="n">
        <v>467</v>
      </c>
      <c r="F22" s="12" t="n">
        <v>543</v>
      </c>
      <c r="G22" s="12" t="n">
        <v>413</v>
      </c>
      <c r="H22" s="12" t="n">
        <v>344</v>
      </c>
      <c r="I22" s="12" t="n">
        <v>421</v>
      </c>
      <c r="J22" s="12" t="n">
        <v>77</v>
      </c>
      <c r="K22" s="12" t="n">
        <v>498</v>
      </c>
      <c r="L22" s="12" t="n">
        <v>500</v>
      </c>
      <c r="M22" s="12" t="n">
        <v>397</v>
      </c>
      <c r="N22" s="12" t="n">
        <v>423</v>
      </c>
      <c r="O22" s="12" t="n">
        <v>245</v>
      </c>
      <c r="P22" s="12" t="n">
        <v>518</v>
      </c>
      <c r="Q22" s="12" t="n">
        <v>397</v>
      </c>
      <c r="R22" s="12" t="n">
        <v>182</v>
      </c>
      <c r="S22" s="12" t="n">
        <v>521</v>
      </c>
      <c r="T22" s="12" t="n">
        <v>578</v>
      </c>
      <c r="U22" s="12" t="n">
        <v>149</v>
      </c>
      <c r="V22" s="12" t="n">
        <v>578</v>
      </c>
      <c r="W22" s="12" t="n">
        <v>202</v>
      </c>
      <c r="X22" s="12" t="n">
        <v>231</v>
      </c>
      <c r="Y22" s="12" t="n">
        <v>440</v>
      </c>
      <c r="Z22" s="12" t="n">
        <v>635</v>
      </c>
      <c r="AA22" s="12" t="n">
        <v>427</v>
      </c>
      <c r="AB22" s="12" t="n">
        <v>590</v>
      </c>
      <c r="AC22" s="12" t="n">
        <v>506</v>
      </c>
      <c r="AD22" s="12" t="n">
        <v>576</v>
      </c>
      <c r="AE22" s="12" t="n">
        <v>335</v>
      </c>
      <c r="AF22" s="12" t="n">
        <v>320</v>
      </c>
    </row>
    <row r="23">
      <c r="A23" s="20" t="n"/>
      <c r="B23" s="13" t="inlineStr">
        <is>
          <t>Total 'Optimistic'</t>
        </is>
      </c>
      <c r="C23" s="14" t="n">
        <v>0.38</v>
      </c>
      <c r="D23" s="14" t="n">
        <v>0.3</v>
      </c>
      <c r="E23" s="14" t="n">
        <v>0.46</v>
      </c>
      <c r="F23" s="14" t="n">
        <v>0.52</v>
      </c>
      <c r="G23" s="14" t="n">
        <v>0.41</v>
      </c>
      <c r="H23" s="14" t="n">
        <v>0.28</v>
      </c>
      <c r="I23" s="14" t="n">
        <v>0.28</v>
      </c>
      <c r="J23" s="14" t="n">
        <v>0.26</v>
      </c>
      <c r="K23" s="14" t="n">
        <v>0.5</v>
      </c>
      <c r="L23" s="14" t="n">
        <v>0.5</v>
      </c>
      <c r="M23" s="14" t="n">
        <v>0.4</v>
      </c>
      <c r="N23" s="14" t="n">
        <v>0.42</v>
      </c>
      <c r="O23" s="14" t="n">
        <v>0.24</v>
      </c>
      <c r="P23" s="14" t="n">
        <v>0.52</v>
      </c>
      <c r="Q23" s="14" t="n">
        <v>0.39</v>
      </c>
      <c r="R23" s="14" t="n">
        <v>0.36</v>
      </c>
      <c r="S23" s="14" t="n">
        <v>0.52</v>
      </c>
      <c r="T23" s="14" t="n">
        <v>0.5700000000000001</v>
      </c>
      <c r="U23" s="14" t="n">
        <v>0.29</v>
      </c>
      <c r="V23" s="14" t="n">
        <v>0.5700000000000001</v>
      </c>
      <c r="W23" s="14" t="n">
        <v>0.4</v>
      </c>
      <c r="X23" s="14" t="n">
        <v>0.23</v>
      </c>
      <c r="Y23" s="14" t="n">
        <v>0.44</v>
      </c>
      <c r="Z23" s="14" t="n">
        <v>0.63</v>
      </c>
      <c r="AA23" s="14" t="n">
        <v>0.41</v>
      </c>
      <c r="AB23" s="14" t="n">
        <v>0.5700000000000001</v>
      </c>
      <c r="AC23" s="14" t="n">
        <v>0.5</v>
      </c>
      <c r="AD23" s="14" t="n">
        <v>0.5700000000000001</v>
      </c>
      <c r="AE23" s="14" t="n">
        <v>0.33</v>
      </c>
      <c r="AF23" s="14" t="n">
        <v>0.31</v>
      </c>
    </row>
    <row r="24">
      <c r="A24" s="20" t="n"/>
      <c r="B24" s="11" t="inlineStr">
        <is>
          <t>Total 'Pessimiste'</t>
        </is>
      </c>
      <c r="C24" s="12" t="n">
        <v>15215</v>
      </c>
      <c r="D24" s="12" t="n">
        <v>705</v>
      </c>
      <c r="E24" s="12" t="n">
        <v>446</v>
      </c>
      <c r="F24" s="12" t="n">
        <v>466</v>
      </c>
      <c r="G24" s="12" t="n">
        <v>579</v>
      </c>
      <c r="H24" s="12" t="n">
        <v>834</v>
      </c>
      <c r="I24" s="12" t="n">
        <v>1043</v>
      </c>
      <c r="J24" s="12" t="n">
        <v>210</v>
      </c>
      <c r="K24" s="12" t="n">
        <v>385</v>
      </c>
      <c r="L24" s="12" t="n">
        <v>476</v>
      </c>
      <c r="M24" s="12" t="n">
        <v>578</v>
      </c>
      <c r="N24" s="12" t="n">
        <v>543</v>
      </c>
      <c r="O24" s="12" t="n">
        <v>716</v>
      </c>
      <c r="P24" s="12" t="n">
        <v>451</v>
      </c>
      <c r="Q24" s="12" t="n">
        <v>584</v>
      </c>
      <c r="R24" s="12" t="n">
        <v>282</v>
      </c>
      <c r="S24" s="12" t="n">
        <v>395</v>
      </c>
      <c r="T24" s="12" t="n">
        <v>338</v>
      </c>
      <c r="U24" s="12" t="n">
        <v>315</v>
      </c>
      <c r="V24" s="12" t="n">
        <v>390</v>
      </c>
      <c r="W24" s="12" t="n">
        <v>274</v>
      </c>
      <c r="X24" s="12" t="n">
        <v>775</v>
      </c>
      <c r="Y24" s="12" t="n">
        <v>505</v>
      </c>
      <c r="Z24" s="12" t="n">
        <v>311</v>
      </c>
      <c r="AA24" s="12" t="n">
        <v>560</v>
      </c>
      <c r="AB24" s="12" t="n">
        <v>401</v>
      </c>
      <c r="AC24" s="12" t="n">
        <v>465</v>
      </c>
      <c r="AD24" s="12" t="n">
        <v>403</v>
      </c>
      <c r="AE24" s="12" t="n">
        <v>656</v>
      </c>
      <c r="AF24" s="12" t="n">
        <v>708</v>
      </c>
    </row>
    <row r="25">
      <c r="A25" s="23" t="n"/>
      <c r="B25" s="13" t="inlineStr">
        <is>
          <t>Total 'Pessimistic'</t>
        </is>
      </c>
      <c r="C25" s="14" t="n">
        <v>0.58</v>
      </c>
      <c r="D25" s="14" t="n">
        <v>0.6900000000000001</v>
      </c>
      <c r="E25" s="14" t="n">
        <v>0.44</v>
      </c>
      <c r="F25" s="14" t="n">
        <v>0.44</v>
      </c>
      <c r="G25" s="14" t="n">
        <v>0.5700000000000001</v>
      </c>
      <c r="H25" s="14" t="n">
        <v>0.6900000000000001</v>
      </c>
      <c r="I25" s="14" t="n">
        <v>0.6900000000000001</v>
      </c>
      <c r="J25" s="14" t="n">
        <v>0.72</v>
      </c>
      <c r="K25" s="14" t="n">
        <v>0.38</v>
      </c>
      <c r="L25" s="14" t="n">
        <v>0.47</v>
      </c>
      <c r="M25" s="14" t="n">
        <v>0.5700000000000001</v>
      </c>
      <c r="N25" s="14" t="n">
        <v>0.54</v>
      </c>
      <c r="O25" s="14" t="n">
        <v>0.7000000000000001</v>
      </c>
      <c r="P25" s="14" t="n">
        <v>0.44</v>
      </c>
      <c r="Q25" s="14" t="n">
        <v>0.5700000000000001</v>
      </c>
      <c r="R25" s="14" t="n">
        <v>0.5600000000000001</v>
      </c>
      <c r="S25" s="14" t="n">
        <v>0.39</v>
      </c>
      <c r="T25" s="14" t="n">
        <v>0.33</v>
      </c>
      <c r="U25" s="14" t="n">
        <v>0.62</v>
      </c>
      <c r="V25" s="14" t="n">
        <v>0.38</v>
      </c>
      <c r="W25" s="14" t="n">
        <v>0.54</v>
      </c>
      <c r="X25" s="14" t="n">
        <v>0.75</v>
      </c>
      <c r="Y25" s="14" t="n">
        <v>0.5</v>
      </c>
      <c r="Z25" s="14" t="n">
        <v>0.3</v>
      </c>
      <c r="AA25" s="14" t="n">
        <v>0.55</v>
      </c>
      <c r="AB25" s="14" t="n">
        <v>0.38</v>
      </c>
      <c r="AC25" s="14" t="n">
        <v>0.46</v>
      </c>
      <c r="AD25" s="14" t="n">
        <v>0.41</v>
      </c>
      <c r="AE25" s="14" t="n">
        <v>0.65</v>
      </c>
      <c r="AF25" s="14" t="n">
        <v>0.68</v>
      </c>
    </row>
  </sheetData>
  <mergeCells count="10">
    <mergeCell ref="B4:F4"/>
    <mergeCell ref="H3:L3"/>
    <mergeCell ref="A10:A21"/>
    <mergeCell ref="C8:AF8"/>
    <mergeCell ref="B3:F3"/>
    <mergeCell ref="B5:F5"/>
    <mergeCell ref="H5:L5"/>
    <mergeCell ref="B10:B11"/>
    <mergeCell ref="H4:L4"/>
    <mergeCell ref="A22:A25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F47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48" customHeight="1" s="18">
      <c r="B3" s="21" t="inlineStr">
        <is>
          <t>QA13. Les gens peuvent avoir une idée différente de ce qu’est la « qualité de vie ». En ce qui vous concerne, parmi les propositions suivantes, lesquelles sont les plus importantes pour une bonne qualité de vie ? (PLUSIEURS RÉPONSES POSSIBLES)</t>
        </is>
      </c>
      <c r="H3" s="21" t="inlineStr">
        <is>
          <t>QA13. People may have different views about ‘quality of life’. For you, which of the following are most important for a good quality of life? (MULTIPLE ANSWERS POSSIBLE)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HYPERLINK("#Content!A36","&lt;&lt;Back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L’efficacité des services publics</t>
        </is>
      </c>
      <c r="C12" s="12" t="n">
        <v>6918</v>
      </c>
      <c r="D12" s="12" t="n">
        <v>170</v>
      </c>
      <c r="E12" s="12" t="n">
        <v>238</v>
      </c>
      <c r="F12" s="12" t="n">
        <v>198</v>
      </c>
      <c r="G12" s="12" t="n">
        <v>337</v>
      </c>
      <c r="H12" s="12" t="n">
        <v>216</v>
      </c>
      <c r="I12" s="12" t="n">
        <v>282</v>
      </c>
      <c r="J12" s="12" t="n">
        <v>65</v>
      </c>
      <c r="K12" s="12" t="n">
        <v>320</v>
      </c>
      <c r="L12" s="12" t="n">
        <v>308</v>
      </c>
      <c r="M12" s="12" t="n">
        <v>535</v>
      </c>
      <c r="N12" s="12" t="n">
        <v>338</v>
      </c>
      <c r="O12" s="12" t="n">
        <v>307</v>
      </c>
      <c r="P12" s="12" t="n">
        <v>228</v>
      </c>
      <c r="Q12" s="12" t="n">
        <v>310</v>
      </c>
      <c r="R12" s="12" t="n">
        <v>188</v>
      </c>
      <c r="S12" s="12" t="n">
        <v>278</v>
      </c>
      <c r="T12" s="12" t="n">
        <v>352</v>
      </c>
      <c r="U12" s="12" t="n">
        <v>107</v>
      </c>
      <c r="V12" s="12" t="n">
        <v>280</v>
      </c>
      <c r="W12" s="12" t="n">
        <v>124</v>
      </c>
      <c r="X12" s="12" t="n">
        <v>178</v>
      </c>
      <c r="Y12" s="12" t="n">
        <v>376</v>
      </c>
      <c r="Z12" s="12" t="n">
        <v>136</v>
      </c>
      <c r="AA12" s="12" t="n">
        <v>299</v>
      </c>
      <c r="AB12" s="12" t="n">
        <v>268</v>
      </c>
      <c r="AC12" s="12" t="n">
        <v>334</v>
      </c>
      <c r="AD12" s="12" t="n">
        <v>325</v>
      </c>
      <c r="AE12" s="12" t="n">
        <v>311</v>
      </c>
      <c r="AF12" s="12" t="n">
        <v>268</v>
      </c>
    </row>
    <row r="13">
      <c r="A13" s="20" t="n"/>
      <c r="B13" s="13" t="inlineStr">
        <is>
          <t>Efficiency of public services</t>
        </is>
      </c>
      <c r="C13" s="14" t="n">
        <v>0.26</v>
      </c>
      <c r="D13" s="14" t="n">
        <v>0.17</v>
      </c>
      <c r="E13" s="14" t="n">
        <v>0.23</v>
      </c>
      <c r="F13" s="14" t="n">
        <v>0.19</v>
      </c>
      <c r="G13" s="14" t="n">
        <v>0.34</v>
      </c>
      <c r="H13" s="14" t="n">
        <v>0.18</v>
      </c>
      <c r="I13" s="14" t="n">
        <v>0.19</v>
      </c>
      <c r="J13" s="14" t="n">
        <v>0.22</v>
      </c>
      <c r="K13" s="14" t="n">
        <v>0.32</v>
      </c>
      <c r="L13" s="14" t="n">
        <v>0.3</v>
      </c>
      <c r="M13" s="14" t="n">
        <v>0.53</v>
      </c>
      <c r="N13" s="14" t="n">
        <v>0.34</v>
      </c>
      <c r="O13" s="14" t="n">
        <v>0.3</v>
      </c>
      <c r="P13" s="14" t="n">
        <v>0.23</v>
      </c>
      <c r="Q13" s="14" t="n">
        <v>0.3</v>
      </c>
      <c r="R13" s="14" t="n">
        <v>0.37</v>
      </c>
      <c r="S13" s="14" t="n">
        <v>0.28</v>
      </c>
      <c r="T13" s="14" t="n">
        <v>0.35</v>
      </c>
      <c r="U13" s="14" t="n">
        <v>0.21</v>
      </c>
      <c r="V13" s="14" t="n">
        <v>0.27</v>
      </c>
      <c r="W13" s="14" t="n">
        <v>0.25</v>
      </c>
      <c r="X13" s="14" t="n">
        <v>0.17</v>
      </c>
      <c r="Y13" s="14" t="n">
        <v>0.37</v>
      </c>
      <c r="Z13" s="14" t="n">
        <v>0.13</v>
      </c>
      <c r="AA13" s="14" t="n">
        <v>0.29</v>
      </c>
      <c r="AB13" s="14" t="n">
        <v>0.26</v>
      </c>
      <c r="AC13" s="14" t="n">
        <v>0.33</v>
      </c>
      <c r="AD13" s="14" t="n">
        <v>0.32</v>
      </c>
      <c r="AE13" s="14" t="n">
        <v>0.31</v>
      </c>
      <c r="AF13" s="14" t="n">
        <v>0.26</v>
      </c>
    </row>
    <row r="14">
      <c r="A14" s="20" t="n"/>
      <c r="B14" s="11" t="inlineStr">
        <is>
          <t>La santé physique et mentale</t>
        </is>
      </c>
      <c r="C14" s="12" t="n">
        <v>13507</v>
      </c>
      <c r="D14" s="12" t="n">
        <v>453</v>
      </c>
      <c r="E14" s="12" t="n">
        <v>474</v>
      </c>
      <c r="F14" s="12" t="n">
        <v>475</v>
      </c>
      <c r="G14" s="12" t="n">
        <v>716</v>
      </c>
      <c r="H14" s="12" t="n">
        <v>623</v>
      </c>
      <c r="I14" s="12" t="n">
        <v>794</v>
      </c>
      <c r="J14" s="12" t="n">
        <v>171</v>
      </c>
      <c r="K14" s="12" t="n">
        <v>560</v>
      </c>
      <c r="L14" s="12" t="n">
        <v>490</v>
      </c>
      <c r="M14" s="12" t="n">
        <v>668</v>
      </c>
      <c r="N14" s="12" t="n">
        <v>564</v>
      </c>
      <c r="O14" s="12" t="n">
        <v>585</v>
      </c>
      <c r="P14" s="12" t="n">
        <v>412</v>
      </c>
      <c r="Q14" s="12" t="n">
        <v>416</v>
      </c>
      <c r="R14" s="12" t="n">
        <v>314</v>
      </c>
      <c r="S14" s="12" t="n">
        <v>609</v>
      </c>
      <c r="T14" s="12" t="n">
        <v>587</v>
      </c>
      <c r="U14" s="12" t="n">
        <v>315</v>
      </c>
      <c r="V14" s="12" t="n">
        <v>406</v>
      </c>
      <c r="W14" s="12" t="n">
        <v>254</v>
      </c>
      <c r="X14" s="12" t="n">
        <v>622</v>
      </c>
      <c r="Y14" s="12" t="n">
        <v>627</v>
      </c>
      <c r="Z14" s="12" t="n">
        <v>336</v>
      </c>
      <c r="AA14" s="12" t="n">
        <v>627</v>
      </c>
      <c r="AB14" s="12" t="n">
        <v>408</v>
      </c>
      <c r="AC14" s="12" t="n">
        <v>559</v>
      </c>
      <c r="AD14" s="12" t="n">
        <v>500</v>
      </c>
      <c r="AE14" s="12" t="n">
        <v>738</v>
      </c>
      <c r="AF14" s="12" t="n">
        <v>750</v>
      </c>
    </row>
    <row r="15">
      <c r="A15" s="20" t="n"/>
      <c r="B15" s="13" t="inlineStr">
        <is>
          <t>Physical and mental health</t>
        </is>
      </c>
      <c r="C15" s="14" t="n">
        <v>0.51</v>
      </c>
      <c r="D15" s="14" t="n">
        <v>0.44</v>
      </c>
      <c r="E15" s="14" t="n">
        <v>0.47</v>
      </c>
      <c r="F15" s="14" t="n">
        <v>0.45</v>
      </c>
      <c r="G15" s="14" t="n">
        <v>0.71</v>
      </c>
      <c r="H15" s="14" t="n">
        <v>0.51</v>
      </c>
      <c r="I15" s="14" t="n">
        <v>0.53</v>
      </c>
      <c r="J15" s="14" t="n">
        <v>0.58</v>
      </c>
      <c r="K15" s="14" t="n">
        <v>0.5600000000000001</v>
      </c>
      <c r="L15" s="14" t="n">
        <v>0.49</v>
      </c>
      <c r="M15" s="14" t="n">
        <v>0.66</v>
      </c>
      <c r="N15" s="14" t="n">
        <v>0.5600000000000001</v>
      </c>
      <c r="O15" s="14" t="n">
        <v>0.58</v>
      </c>
      <c r="P15" s="14" t="n">
        <v>0.41</v>
      </c>
      <c r="Q15" s="14" t="n">
        <v>0.4</v>
      </c>
      <c r="R15" s="14" t="n">
        <v>0.62</v>
      </c>
      <c r="S15" s="14" t="n">
        <v>0.61</v>
      </c>
      <c r="T15" s="14" t="n">
        <v>0.58</v>
      </c>
      <c r="U15" s="14" t="n">
        <v>0.62</v>
      </c>
      <c r="V15" s="14" t="n">
        <v>0.4</v>
      </c>
      <c r="W15" s="14" t="n">
        <v>0.5</v>
      </c>
      <c r="X15" s="14" t="n">
        <v>0.61</v>
      </c>
      <c r="Y15" s="14" t="n">
        <v>0.62</v>
      </c>
      <c r="Z15" s="14" t="n">
        <v>0.33</v>
      </c>
      <c r="AA15" s="14" t="n">
        <v>0.61</v>
      </c>
      <c r="AB15" s="14" t="n">
        <v>0.39</v>
      </c>
      <c r="AC15" s="14" t="n">
        <v>0.55</v>
      </c>
      <c r="AD15" s="14" t="n">
        <v>0.5</v>
      </c>
      <c r="AE15" s="14" t="n">
        <v>0.73</v>
      </c>
      <c r="AF15" s="14" t="n">
        <v>0.72</v>
      </c>
    </row>
    <row r="16">
      <c r="A16" s="20" t="n"/>
      <c r="B16" s="11" t="inlineStr">
        <is>
          <t>La sécurité alimentaire et la qualité des aliments</t>
        </is>
      </c>
      <c r="C16" s="12" t="n">
        <v>10482</v>
      </c>
      <c r="D16" s="12" t="n">
        <v>359</v>
      </c>
      <c r="E16" s="12" t="n">
        <v>448</v>
      </c>
      <c r="F16" s="12" t="n">
        <v>429</v>
      </c>
      <c r="G16" s="12" t="n">
        <v>434</v>
      </c>
      <c r="H16" s="12" t="n">
        <v>407</v>
      </c>
      <c r="I16" s="12" t="n">
        <v>535</v>
      </c>
      <c r="J16" s="12" t="n">
        <v>128</v>
      </c>
      <c r="K16" s="12" t="n">
        <v>412</v>
      </c>
      <c r="L16" s="12" t="n">
        <v>359</v>
      </c>
      <c r="M16" s="12" t="n">
        <v>646</v>
      </c>
      <c r="N16" s="12" t="n">
        <v>344</v>
      </c>
      <c r="O16" s="12" t="n">
        <v>493</v>
      </c>
      <c r="P16" s="12" t="n">
        <v>465</v>
      </c>
      <c r="Q16" s="12" t="n">
        <v>381</v>
      </c>
      <c r="R16" s="12" t="n">
        <v>248</v>
      </c>
      <c r="S16" s="12" t="n">
        <v>406</v>
      </c>
      <c r="T16" s="12" t="n">
        <v>477</v>
      </c>
      <c r="U16" s="12" t="n">
        <v>214</v>
      </c>
      <c r="V16" s="12" t="n">
        <v>386</v>
      </c>
      <c r="W16" s="12" t="n">
        <v>159</v>
      </c>
      <c r="X16" s="12" t="n">
        <v>397</v>
      </c>
      <c r="Y16" s="12" t="n">
        <v>593</v>
      </c>
      <c r="Z16" s="12" t="n">
        <v>308</v>
      </c>
      <c r="AA16" s="12" t="n">
        <v>441</v>
      </c>
      <c r="AB16" s="12" t="n">
        <v>387</v>
      </c>
      <c r="AC16" s="12" t="n">
        <v>512</v>
      </c>
      <c r="AD16" s="12" t="n">
        <v>484</v>
      </c>
      <c r="AE16" s="12" t="n">
        <v>447</v>
      </c>
      <c r="AF16" s="12" t="n">
        <v>417</v>
      </c>
    </row>
    <row r="17">
      <c r="A17" s="20" t="n"/>
      <c r="B17" s="13" t="inlineStr">
        <is>
          <t>Food safety and quality</t>
        </is>
      </c>
      <c r="C17" s="14" t="n">
        <v>0.4</v>
      </c>
      <c r="D17" s="14" t="n">
        <v>0.35</v>
      </c>
      <c r="E17" s="14" t="n">
        <v>0.44</v>
      </c>
      <c r="F17" s="14" t="n">
        <v>0.41</v>
      </c>
      <c r="G17" s="14" t="n">
        <v>0.43</v>
      </c>
      <c r="H17" s="14" t="n">
        <v>0.34</v>
      </c>
      <c r="I17" s="14" t="n">
        <v>0.35</v>
      </c>
      <c r="J17" s="14" t="n">
        <v>0.44</v>
      </c>
      <c r="K17" s="14" t="n">
        <v>0.41</v>
      </c>
      <c r="L17" s="14" t="n">
        <v>0.36</v>
      </c>
      <c r="M17" s="14" t="n">
        <v>0.64</v>
      </c>
      <c r="N17" s="14" t="n">
        <v>0.34</v>
      </c>
      <c r="O17" s="14" t="n">
        <v>0.49</v>
      </c>
      <c r="P17" s="14" t="n">
        <v>0.46</v>
      </c>
      <c r="Q17" s="14" t="n">
        <v>0.37</v>
      </c>
      <c r="R17" s="14" t="n">
        <v>0.49</v>
      </c>
      <c r="S17" s="14" t="n">
        <v>0.4</v>
      </c>
      <c r="T17" s="14" t="n">
        <v>0.47</v>
      </c>
      <c r="U17" s="14" t="n">
        <v>0.42</v>
      </c>
      <c r="V17" s="14" t="n">
        <v>0.38</v>
      </c>
      <c r="W17" s="14" t="n">
        <v>0.31</v>
      </c>
      <c r="X17" s="14" t="n">
        <v>0.39</v>
      </c>
      <c r="Y17" s="14" t="n">
        <v>0.59</v>
      </c>
      <c r="Z17" s="14" t="n">
        <v>0.3</v>
      </c>
      <c r="AA17" s="14" t="n">
        <v>0.43</v>
      </c>
      <c r="AB17" s="14" t="n">
        <v>0.37</v>
      </c>
      <c r="AC17" s="14" t="n">
        <v>0.51</v>
      </c>
      <c r="AD17" s="14" t="n">
        <v>0.48</v>
      </c>
      <c r="AE17" s="14" t="n">
        <v>0.44</v>
      </c>
      <c r="AF17" s="14" t="n">
        <v>0.4</v>
      </c>
    </row>
    <row r="18">
      <c r="A18" s="20" t="n"/>
      <c r="B18" s="11" t="inlineStr">
        <is>
          <t>Le coût et la qualité du logement</t>
        </is>
      </c>
      <c r="C18" s="12" t="n">
        <v>9657</v>
      </c>
      <c r="D18" s="12" t="n">
        <v>366</v>
      </c>
      <c r="E18" s="12" t="n">
        <v>214</v>
      </c>
      <c r="F18" s="12" t="n">
        <v>467</v>
      </c>
      <c r="G18" s="12" t="n">
        <v>359</v>
      </c>
      <c r="H18" s="12" t="n">
        <v>420</v>
      </c>
      <c r="I18" s="12" t="n">
        <v>548</v>
      </c>
      <c r="J18" s="12" t="n">
        <v>128</v>
      </c>
      <c r="K18" s="12" t="n">
        <v>392</v>
      </c>
      <c r="L18" s="12" t="n">
        <v>462</v>
      </c>
      <c r="M18" s="12" t="n">
        <v>584</v>
      </c>
      <c r="N18" s="12" t="n">
        <v>434</v>
      </c>
      <c r="O18" s="12" t="n">
        <v>446</v>
      </c>
      <c r="P18" s="12" t="n">
        <v>301</v>
      </c>
      <c r="Q18" s="12" t="n">
        <v>240</v>
      </c>
      <c r="R18" s="12" t="n">
        <v>307</v>
      </c>
      <c r="S18" s="12" t="n">
        <v>374</v>
      </c>
      <c r="T18" s="12" t="n">
        <v>371</v>
      </c>
      <c r="U18" s="12" t="n">
        <v>262</v>
      </c>
      <c r="V18" s="12" t="n">
        <v>377</v>
      </c>
      <c r="W18" s="12" t="n">
        <v>162</v>
      </c>
      <c r="X18" s="12" t="n">
        <v>444</v>
      </c>
      <c r="Y18" s="12" t="n">
        <v>539</v>
      </c>
      <c r="Z18" s="12" t="n">
        <v>216</v>
      </c>
      <c r="AA18" s="12" t="n">
        <v>418</v>
      </c>
      <c r="AB18" s="12" t="n">
        <v>321</v>
      </c>
      <c r="AC18" s="12" t="n">
        <v>332</v>
      </c>
      <c r="AD18" s="12" t="n">
        <v>484</v>
      </c>
      <c r="AE18" s="12" t="n">
        <v>439</v>
      </c>
      <c r="AF18" s="12" t="n">
        <v>377</v>
      </c>
    </row>
    <row r="19">
      <c r="A19" s="20" t="n"/>
      <c r="B19" s="13" t="inlineStr">
        <is>
          <t>Affordability and quality of housing</t>
        </is>
      </c>
      <c r="C19" s="14" t="n">
        <v>0.37</v>
      </c>
      <c r="D19" s="14" t="n">
        <v>0.36</v>
      </c>
      <c r="E19" s="14" t="n">
        <v>0.21</v>
      </c>
      <c r="F19" s="14" t="n">
        <v>0.44</v>
      </c>
      <c r="G19" s="14" t="n">
        <v>0.36</v>
      </c>
      <c r="H19" s="14" t="n">
        <v>0.35</v>
      </c>
      <c r="I19" s="14" t="n">
        <v>0.36</v>
      </c>
      <c r="J19" s="14" t="n">
        <v>0.44</v>
      </c>
      <c r="K19" s="14" t="n">
        <v>0.39</v>
      </c>
      <c r="L19" s="14" t="n">
        <v>0.46</v>
      </c>
      <c r="M19" s="14" t="n">
        <v>0.58</v>
      </c>
      <c r="N19" s="14" t="n">
        <v>0.43</v>
      </c>
      <c r="O19" s="14" t="n">
        <v>0.44</v>
      </c>
      <c r="P19" s="14" t="n">
        <v>0.3</v>
      </c>
      <c r="Q19" s="14" t="n">
        <v>0.23</v>
      </c>
      <c r="R19" s="14" t="n">
        <v>0.61</v>
      </c>
      <c r="S19" s="14" t="n">
        <v>0.37</v>
      </c>
      <c r="T19" s="14" t="n">
        <v>0.37</v>
      </c>
      <c r="U19" s="14" t="n">
        <v>0.52</v>
      </c>
      <c r="V19" s="14" t="n">
        <v>0.37</v>
      </c>
      <c r="W19" s="14" t="n">
        <v>0.32</v>
      </c>
      <c r="X19" s="14" t="n">
        <v>0.43</v>
      </c>
      <c r="Y19" s="14" t="n">
        <v>0.54</v>
      </c>
      <c r="Z19" s="14" t="n">
        <v>0.21</v>
      </c>
      <c r="AA19" s="14" t="n">
        <v>0.4</v>
      </c>
      <c r="AB19" s="14" t="n">
        <v>0.31</v>
      </c>
      <c r="AC19" s="14" t="n">
        <v>0.33</v>
      </c>
      <c r="AD19" s="14" t="n">
        <v>0.48</v>
      </c>
      <c r="AE19" s="14" t="n">
        <v>0.43</v>
      </c>
      <c r="AF19" s="14" t="n">
        <v>0.36</v>
      </c>
    </row>
    <row r="20">
      <c r="A20" s="20" t="n"/>
      <c r="B20" s="11" t="inlineStr">
        <is>
          <t>La qualité de l’environnement (air, eau, etc.)</t>
        </is>
      </c>
      <c r="C20" s="12" t="n">
        <v>9799</v>
      </c>
      <c r="D20" s="12" t="n">
        <v>353</v>
      </c>
      <c r="E20" s="12" t="n">
        <v>340</v>
      </c>
      <c r="F20" s="12" t="n">
        <v>363</v>
      </c>
      <c r="G20" s="12" t="n">
        <v>515</v>
      </c>
      <c r="H20" s="12" t="n">
        <v>434</v>
      </c>
      <c r="I20" s="12" t="n">
        <v>539</v>
      </c>
      <c r="J20" s="12" t="n">
        <v>105</v>
      </c>
      <c r="K20" s="12" t="n">
        <v>424</v>
      </c>
      <c r="L20" s="12" t="n">
        <v>322</v>
      </c>
      <c r="M20" s="12" t="n">
        <v>567</v>
      </c>
      <c r="N20" s="12" t="n">
        <v>281</v>
      </c>
      <c r="O20" s="12" t="n">
        <v>478</v>
      </c>
      <c r="P20" s="12" t="n">
        <v>316</v>
      </c>
      <c r="Q20" s="12" t="n">
        <v>385</v>
      </c>
      <c r="R20" s="12" t="n">
        <v>229</v>
      </c>
      <c r="S20" s="12" t="n">
        <v>357</v>
      </c>
      <c r="T20" s="12" t="n">
        <v>382</v>
      </c>
      <c r="U20" s="12" t="n">
        <v>198</v>
      </c>
      <c r="V20" s="12" t="n">
        <v>329</v>
      </c>
      <c r="W20" s="12" t="n">
        <v>185</v>
      </c>
      <c r="X20" s="12" t="n">
        <v>419</v>
      </c>
      <c r="Y20" s="12" t="n">
        <v>604</v>
      </c>
      <c r="Z20" s="12" t="n">
        <v>194</v>
      </c>
      <c r="AA20" s="12" t="n">
        <v>347</v>
      </c>
      <c r="AB20" s="12" t="n">
        <v>304</v>
      </c>
      <c r="AC20" s="12" t="n">
        <v>524</v>
      </c>
      <c r="AD20" s="12" t="n">
        <v>453</v>
      </c>
      <c r="AE20" s="12" t="n">
        <v>511</v>
      </c>
      <c r="AF20" s="12" t="n">
        <v>561</v>
      </c>
    </row>
    <row r="21">
      <c r="A21" s="20" t="n"/>
      <c r="B21" s="13" t="inlineStr">
        <is>
          <t>Quality of the environment (air, water, etc.)</t>
        </is>
      </c>
      <c r="C21" s="14" t="n">
        <v>0.37</v>
      </c>
      <c r="D21" s="14" t="n">
        <v>0.35</v>
      </c>
      <c r="E21" s="14" t="n">
        <v>0.34</v>
      </c>
      <c r="F21" s="14" t="n">
        <v>0.35</v>
      </c>
      <c r="G21" s="14" t="n">
        <v>0.51</v>
      </c>
      <c r="H21" s="14" t="n">
        <v>0.36</v>
      </c>
      <c r="I21" s="14" t="n">
        <v>0.36</v>
      </c>
      <c r="J21" s="14" t="n">
        <v>0.36</v>
      </c>
      <c r="K21" s="14" t="n">
        <v>0.42</v>
      </c>
      <c r="L21" s="14" t="n">
        <v>0.32</v>
      </c>
      <c r="M21" s="14" t="n">
        <v>0.5600000000000001</v>
      </c>
      <c r="N21" s="14" t="n">
        <v>0.28</v>
      </c>
      <c r="O21" s="14" t="n">
        <v>0.47</v>
      </c>
      <c r="P21" s="14" t="n">
        <v>0.31</v>
      </c>
      <c r="Q21" s="14" t="n">
        <v>0.37</v>
      </c>
      <c r="R21" s="14" t="n">
        <v>0.46</v>
      </c>
      <c r="S21" s="14" t="n">
        <v>0.35</v>
      </c>
      <c r="T21" s="14" t="n">
        <v>0.38</v>
      </c>
      <c r="U21" s="14" t="n">
        <v>0.39</v>
      </c>
      <c r="V21" s="14" t="n">
        <v>0.32</v>
      </c>
      <c r="W21" s="14" t="n">
        <v>0.37</v>
      </c>
      <c r="X21" s="14" t="n">
        <v>0.41</v>
      </c>
      <c r="Y21" s="14" t="n">
        <v>0.6</v>
      </c>
      <c r="Z21" s="14" t="n">
        <v>0.19</v>
      </c>
      <c r="AA21" s="14" t="n">
        <v>0.34</v>
      </c>
      <c r="AB21" s="14" t="n">
        <v>0.29</v>
      </c>
      <c r="AC21" s="14" t="n">
        <v>0.52</v>
      </c>
      <c r="AD21" s="14" t="n">
        <v>0.45</v>
      </c>
      <c r="AE21" s="14" t="n">
        <v>0.5</v>
      </c>
      <c r="AF21" s="14" t="n">
        <v>0.54</v>
      </c>
    </row>
    <row r="22">
      <c r="A22" s="20" t="n"/>
      <c r="B22" s="11" t="inlineStr">
        <is>
          <t>Les droits civiques et les libertés (liberté d’expression, droits politiques, etc.)</t>
        </is>
      </c>
      <c r="C22" s="12" t="n">
        <v>9045</v>
      </c>
      <c r="D22" s="12" t="n">
        <v>272</v>
      </c>
      <c r="E22" s="12" t="n">
        <v>283</v>
      </c>
      <c r="F22" s="12" t="n">
        <v>330</v>
      </c>
      <c r="G22" s="12" t="n">
        <v>534</v>
      </c>
      <c r="H22" s="12" t="n">
        <v>496</v>
      </c>
      <c r="I22" s="12" t="n">
        <v>606</v>
      </c>
      <c r="J22" s="12" t="n">
        <v>110</v>
      </c>
      <c r="K22" s="12" t="n">
        <v>328</v>
      </c>
      <c r="L22" s="12" t="n">
        <v>268</v>
      </c>
      <c r="M22" s="12" t="n">
        <v>508</v>
      </c>
      <c r="N22" s="12" t="n">
        <v>318</v>
      </c>
      <c r="O22" s="12" t="n">
        <v>339</v>
      </c>
      <c r="P22" s="12" t="n">
        <v>324</v>
      </c>
      <c r="Q22" s="12" t="n">
        <v>319</v>
      </c>
      <c r="R22" s="12" t="n">
        <v>217</v>
      </c>
      <c r="S22" s="12" t="n">
        <v>357</v>
      </c>
      <c r="T22" s="12" t="n">
        <v>337</v>
      </c>
      <c r="U22" s="12" t="n">
        <v>170</v>
      </c>
      <c r="V22" s="12" t="n">
        <v>285</v>
      </c>
      <c r="W22" s="12" t="n">
        <v>153</v>
      </c>
      <c r="X22" s="12" t="n">
        <v>441</v>
      </c>
      <c r="Y22" s="12" t="n">
        <v>519</v>
      </c>
      <c r="Z22" s="12" t="n">
        <v>168</v>
      </c>
      <c r="AA22" s="12" t="n">
        <v>270</v>
      </c>
      <c r="AB22" s="12" t="n">
        <v>292</v>
      </c>
      <c r="AC22" s="12" t="n">
        <v>380</v>
      </c>
      <c r="AD22" s="12" t="n">
        <v>408</v>
      </c>
      <c r="AE22" s="12" t="n">
        <v>422</v>
      </c>
      <c r="AF22" s="12" t="n">
        <v>672</v>
      </c>
    </row>
    <row r="23">
      <c r="A23" s="20" t="n"/>
      <c r="B23" s="13" t="inlineStr">
        <is>
          <t>Civil rights and freedoms (freedom of speech, political rights, etc.)</t>
        </is>
      </c>
      <c r="C23" s="14" t="n">
        <v>0.34</v>
      </c>
      <c r="D23" s="14" t="n">
        <v>0.27</v>
      </c>
      <c r="E23" s="14" t="n">
        <v>0.28</v>
      </c>
      <c r="F23" s="14" t="n">
        <v>0.31</v>
      </c>
      <c r="G23" s="14" t="n">
        <v>0.53</v>
      </c>
      <c r="H23" s="14" t="n">
        <v>0.41</v>
      </c>
      <c r="I23" s="14" t="n">
        <v>0.4</v>
      </c>
      <c r="J23" s="14" t="n">
        <v>0.37</v>
      </c>
      <c r="K23" s="14" t="n">
        <v>0.33</v>
      </c>
      <c r="L23" s="14" t="n">
        <v>0.27</v>
      </c>
      <c r="M23" s="14" t="n">
        <v>0.5</v>
      </c>
      <c r="N23" s="14" t="n">
        <v>0.32</v>
      </c>
      <c r="O23" s="14" t="n">
        <v>0.33</v>
      </c>
      <c r="P23" s="14" t="n">
        <v>0.32</v>
      </c>
      <c r="Q23" s="14" t="n">
        <v>0.31</v>
      </c>
      <c r="R23" s="14" t="n">
        <v>0.43</v>
      </c>
      <c r="S23" s="14" t="n">
        <v>0.36</v>
      </c>
      <c r="T23" s="14" t="n">
        <v>0.33</v>
      </c>
      <c r="U23" s="14" t="n">
        <v>0.33</v>
      </c>
      <c r="V23" s="14" t="n">
        <v>0.28</v>
      </c>
      <c r="W23" s="14" t="n">
        <v>0.3</v>
      </c>
      <c r="X23" s="14" t="n">
        <v>0.43</v>
      </c>
      <c r="Y23" s="14" t="n">
        <v>0.52</v>
      </c>
      <c r="Z23" s="14" t="n">
        <v>0.16</v>
      </c>
      <c r="AA23" s="14" t="n">
        <v>0.26</v>
      </c>
      <c r="AB23" s="14" t="n">
        <v>0.28</v>
      </c>
      <c r="AC23" s="14" t="n">
        <v>0.38</v>
      </c>
      <c r="AD23" s="14" t="n">
        <v>0.41</v>
      </c>
      <c r="AE23" s="14" t="n">
        <v>0.42</v>
      </c>
      <c r="AF23" s="14" t="n">
        <v>0.65</v>
      </c>
    </row>
    <row r="24">
      <c r="A24" s="20" t="n"/>
      <c r="B24" s="11" t="inlineStr">
        <is>
          <t>La situation financière et la capacité à couvrir les dépenses du quotidien</t>
        </is>
      </c>
      <c r="C24" s="12" t="n">
        <v>13071</v>
      </c>
      <c r="D24" s="12" t="n">
        <v>504</v>
      </c>
      <c r="E24" s="12" t="n">
        <v>594</v>
      </c>
      <c r="F24" s="12" t="n">
        <v>507</v>
      </c>
      <c r="G24" s="12" t="n">
        <v>594</v>
      </c>
      <c r="H24" s="12" t="n">
        <v>651</v>
      </c>
      <c r="I24" s="12" t="n">
        <v>821</v>
      </c>
      <c r="J24" s="12" t="n">
        <v>170</v>
      </c>
      <c r="K24" s="12" t="n">
        <v>637</v>
      </c>
      <c r="L24" s="12" t="n">
        <v>480</v>
      </c>
      <c r="M24" s="12" t="n">
        <v>728</v>
      </c>
      <c r="N24" s="12" t="n">
        <v>469</v>
      </c>
      <c r="O24" s="12" t="n">
        <v>517</v>
      </c>
      <c r="P24" s="12" t="n">
        <v>513</v>
      </c>
      <c r="Q24" s="12" t="n">
        <v>395</v>
      </c>
      <c r="R24" s="12" t="n">
        <v>328</v>
      </c>
      <c r="S24" s="12" t="n">
        <v>655</v>
      </c>
      <c r="T24" s="12" t="n">
        <v>555</v>
      </c>
      <c r="U24" s="12" t="n">
        <v>266</v>
      </c>
      <c r="V24" s="12" t="n">
        <v>468</v>
      </c>
      <c r="W24" s="12" t="n">
        <v>197</v>
      </c>
      <c r="X24" s="12" t="n">
        <v>595</v>
      </c>
      <c r="Y24" s="12" t="n">
        <v>652</v>
      </c>
      <c r="Z24" s="12" t="n">
        <v>367</v>
      </c>
      <c r="AA24" s="12" t="n">
        <v>490</v>
      </c>
      <c r="AB24" s="12" t="n">
        <v>458</v>
      </c>
      <c r="AC24" s="12" t="n">
        <v>557</v>
      </c>
      <c r="AD24" s="12" t="n">
        <v>583</v>
      </c>
      <c r="AE24" s="12" t="n">
        <v>642</v>
      </c>
      <c r="AF24" s="12" t="n">
        <v>621</v>
      </c>
    </row>
    <row r="25">
      <c r="A25" s="20" t="n"/>
      <c r="B25" s="13" t="inlineStr">
        <is>
          <t>Financial situation and ability to afford daily life</t>
        </is>
      </c>
      <c r="C25" s="14" t="n">
        <v>0.49</v>
      </c>
      <c r="D25" s="14" t="n">
        <v>0.49</v>
      </c>
      <c r="E25" s="14" t="n">
        <v>0.59</v>
      </c>
      <c r="F25" s="14" t="n">
        <v>0.48</v>
      </c>
      <c r="G25" s="14" t="n">
        <v>0.59</v>
      </c>
      <c r="H25" s="14" t="n">
        <v>0.54</v>
      </c>
      <c r="I25" s="14" t="n">
        <v>0.54</v>
      </c>
      <c r="J25" s="14" t="n">
        <v>0.58</v>
      </c>
      <c r="K25" s="14" t="n">
        <v>0.63</v>
      </c>
      <c r="L25" s="14" t="n">
        <v>0.48</v>
      </c>
      <c r="M25" s="14" t="n">
        <v>0.72</v>
      </c>
      <c r="N25" s="14" t="n">
        <v>0.47</v>
      </c>
      <c r="O25" s="14" t="n">
        <v>0.51</v>
      </c>
      <c r="P25" s="14" t="n">
        <v>0.51</v>
      </c>
      <c r="Q25" s="14" t="n">
        <v>0.38</v>
      </c>
      <c r="R25" s="14" t="n">
        <v>0.65</v>
      </c>
      <c r="S25" s="14" t="n">
        <v>0.65</v>
      </c>
      <c r="T25" s="14" t="n">
        <v>0.55</v>
      </c>
      <c r="U25" s="14" t="n">
        <v>0.52</v>
      </c>
      <c r="V25" s="14" t="n">
        <v>0.46</v>
      </c>
      <c r="W25" s="14" t="n">
        <v>0.39</v>
      </c>
      <c r="X25" s="14" t="n">
        <v>0.58</v>
      </c>
      <c r="Y25" s="14" t="n">
        <v>0.65</v>
      </c>
      <c r="Z25" s="14" t="n">
        <v>0.36</v>
      </c>
      <c r="AA25" s="14" t="n">
        <v>0.48</v>
      </c>
      <c r="AB25" s="14" t="n">
        <v>0.44</v>
      </c>
      <c r="AC25" s="14" t="n">
        <v>0.55</v>
      </c>
      <c r="AD25" s="14" t="n">
        <v>0.58</v>
      </c>
      <c r="AE25" s="14" t="n">
        <v>0.63</v>
      </c>
      <c r="AF25" s="14" t="n">
        <v>0.6</v>
      </c>
    </row>
    <row r="26">
      <c r="A26" s="20" t="n"/>
      <c r="B26" s="11" t="inlineStr">
        <is>
          <t>La qualité et l’accessibilité des soins de santé</t>
        </is>
      </c>
      <c r="C26" s="12" t="n">
        <v>12121</v>
      </c>
      <c r="D26" s="12" t="n">
        <v>451</v>
      </c>
      <c r="E26" s="12" t="n">
        <v>459</v>
      </c>
      <c r="F26" s="12" t="n">
        <v>516</v>
      </c>
      <c r="G26" s="12" t="n">
        <v>613</v>
      </c>
      <c r="H26" s="12" t="n">
        <v>493</v>
      </c>
      <c r="I26" s="12" t="n">
        <v>643</v>
      </c>
      <c r="J26" s="12" t="n">
        <v>150</v>
      </c>
      <c r="K26" s="12" t="n">
        <v>528</v>
      </c>
      <c r="L26" s="12" t="n">
        <v>423</v>
      </c>
      <c r="M26" s="12" t="n">
        <v>681</v>
      </c>
      <c r="N26" s="12" t="n">
        <v>493</v>
      </c>
      <c r="O26" s="12" t="n">
        <v>520</v>
      </c>
      <c r="P26" s="12" t="n">
        <v>405</v>
      </c>
      <c r="Q26" s="12" t="n">
        <v>364</v>
      </c>
      <c r="R26" s="12" t="n">
        <v>246</v>
      </c>
      <c r="S26" s="12" t="n">
        <v>649</v>
      </c>
      <c r="T26" s="12" t="n">
        <v>604</v>
      </c>
      <c r="U26" s="12" t="n">
        <v>249</v>
      </c>
      <c r="V26" s="12" t="n">
        <v>503</v>
      </c>
      <c r="W26" s="12" t="n">
        <v>184</v>
      </c>
      <c r="X26" s="12" t="n">
        <v>565</v>
      </c>
      <c r="Y26" s="12" t="n">
        <v>581</v>
      </c>
      <c r="Z26" s="12" t="n">
        <v>314</v>
      </c>
      <c r="AA26" s="12" t="n">
        <v>515</v>
      </c>
      <c r="AB26" s="12" t="n">
        <v>383</v>
      </c>
      <c r="AC26" s="12" t="n">
        <v>534</v>
      </c>
      <c r="AD26" s="12" t="n">
        <v>548</v>
      </c>
      <c r="AE26" s="12" t="n">
        <v>631</v>
      </c>
      <c r="AF26" s="12" t="n">
        <v>718</v>
      </c>
    </row>
    <row r="27">
      <c r="A27" s="20" t="n"/>
      <c r="B27" s="13" t="inlineStr">
        <is>
          <t>Quality and accessibility of healthcare</t>
        </is>
      </c>
      <c r="C27" s="14" t="n">
        <v>0.46</v>
      </c>
      <c r="D27" s="14" t="n">
        <v>0.44</v>
      </c>
      <c r="E27" s="14" t="n">
        <v>0.45</v>
      </c>
      <c r="F27" s="14" t="n">
        <v>0.49</v>
      </c>
      <c r="G27" s="14" t="n">
        <v>0.61</v>
      </c>
      <c r="H27" s="14" t="n">
        <v>0.41</v>
      </c>
      <c r="I27" s="14" t="n">
        <v>0.43</v>
      </c>
      <c r="J27" s="14" t="n">
        <v>0.51</v>
      </c>
      <c r="K27" s="14" t="n">
        <v>0.52</v>
      </c>
      <c r="L27" s="14" t="n">
        <v>0.42</v>
      </c>
      <c r="M27" s="14" t="n">
        <v>0.68</v>
      </c>
      <c r="N27" s="14" t="n">
        <v>0.49</v>
      </c>
      <c r="O27" s="14" t="n">
        <v>0.51</v>
      </c>
      <c r="P27" s="14" t="n">
        <v>0.4</v>
      </c>
      <c r="Q27" s="14" t="n">
        <v>0.35</v>
      </c>
      <c r="R27" s="14" t="n">
        <v>0.49</v>
      </c>
      <c r="S27" s="14" t="n">
        <v>0.65</v>
      </c>
      <c r="T27" s="14" t="n">
        <v>0.59</v>
      </c>
      <c r="U27" s="14" t="n">
        <v>0.49</v>
      </c>
      <c r="V27" s="14" t="n">
        <v>0.49</v>
      </c>
      <c r="W27" s="14" t="n">
        <v>0.36</v>
      </c>
      <c r="X27" s="14" t="n">
        <v>0.55</v>
      </c>
      <c r="Y27" s="14" t="n">
        <v>0.58</v>
      </c>
      <c r="Z27" s="14" t="n">
        <v>0.31</v>
      </c>
      <c r="AA27" s="14" t="n">
        <v>0.5</v>
      </c>
      <c r="AB27" s="14" t="n">
        <v>0.37</v>
      </c>
      <c r="AC27" s="14" t="n">
        <v>0.53</v>
      </c>
      <c r="AD27" s="14" t="n">
        <v>0.55</v>
      </c>
      <c r="AE27" s="14" t="n">
        <v>0.62</v>
      </c>
      <c r="AF27" s="14" t="n">
        <v>0.6900000000000001</v>
      </c>
    </row>
    <row r="28">
      <c r="A28" s="20" t="n"/>
      <c r="B28" s="11" t="inlineStr">
        <is>
          <t>La qualité des transports et la facilité de déplacement</t>
        </is>
      </c>
      <c r="C28" s="12" t="n">
        <v>6436</v>
      </c>
      <c r="D28" s="12" t="n">
        <v>186</v>
      </c>
      <c r="E28" s="12" t="n">
        <v>223</v>
      </c>
      <c r="F28" s="12" t="n">
        <v>268</v>
      </c>
      <c r="G28" s="12" t="n">
        <v>297</v>
      </c>
      <c r="H28" s="12" t="n">
        <v>274</v>
      </c>
      <c r="I28" s="12" t="n">
        <v>354</v>
      </c>
      <c r="J28" s="12" t="n">
        <v>80</v>
      </c>
      <c r="K28" s="12" t="n">
        <v>298</v>
      </c>
      <c r="L28" s="12" t="n">
        <v>269</v>
      </c>
      <c r="M28" s="12" t="n">
        <v>479</v>
      </c>
      <c r="N28" s="12" t="n">
        <v>243</v>
      </c>
      <c r="O28" s="12" t="n">
        <v>255</v>
      </c>
      <c r="P28" s="12" t="n">
        <v>257</v>
      </c>
      <c r="Q28" s="12" t="n">
        <v>242</v>
      </c>
      <c r="R28" s="12" t="n">
        <v>173</v>
      </c>
      <c r="S28" s="12" t="n">
        <v>317</v>
      </c>
      <c r="T28" s="12" t="n">
        <v>338</v>
      </c>
      <c r="U28" s="12" t="n">
        <v>141</v>
      </c>
      <c r="V28" s="12" t="n">
        <v>219</v>
      </c>
      <c r="W28" s="12" t="n">
        <v>133</v>
      </c>
      <c r="X28" s="12" t="n">
        <v>218</v>
      </c>
      <c r="Y28" s="12" t="n">
        <v>407</v>
      </c>
      <c r="Z28" s="12" t="n">
        <v>156</v>
      </c>
      <c r="AA28" s="12" t="n">
        <v>244</v>
      </c>
      <c r="AB28" s="12" t="n">
        <v>269</v>
      </c>
      <c r="AC28" s="12" t="n">
        <v>257</v>
      </c>
      <c r="AD28" s="12" t="n">
        <v>334</v>
      </c>
      <c r="AE28" s="12" t="n">
        <v>206</v>
      </c>
      <c r="AF28" s="12" t="n">
        <v>274</v>
      </c>
    </row>
    <row r="29">
      <c r="A29" s="20" t="n"/>
      <c r="B29" s="13" t="inlineStr">
        <is>
          <t>Quality of transport and ease of getting around</t>
        </is>
      </c>
      <c r="C29" s="14" t="n">
        <v>0.24</v>
      </c>
      <c r="D29" s="14" t="n">
        <v>0.18</v>
      </c>
      <c r="E29" s="14" t="n">
        <v>0.22</v>
      </c>
      <c r="F29" s="14" t="n">
        <v>0.26</v>
      </c>
      <c r="G29" s="14" t="n">
        <v>0.29</v>
      </c>
      <c r="H29" s="14" t="n">
        <v>0.23</v>
      </c>
      <c r="I29" s="14" t="n">
        <v>0.24</v>
      </c>
      <c r="J29" s="14" t="n">
        <v>0.27</v>
      </c>
      <c r="K29" s="14" t="n">
        <v>0.3</v>
      </c>
      <c r="L29" s="14" t="n">
        <v>0.27</v>
      </c>
      <c r="M29" s="14" t="n">
        <v>0.48</v>
      </c>
      <c r="N29" s="14" t="n">
        <v>0.24</v>
      </c>
      <c r="O29" s="14" t="n">
        <v>0.25</v>
      </c>
      <c r="P29" s="14" t="n">
        <v>0.26</v>
      </c>
      <c r="Q29" s="14" t="n">
        <v>0.24</v>
      </c>
      <c r="R29" s="14" t="n">
        <v>0.34</v>
      </c>
      <c r="S29" s="14" t="n">
        <v>0.32</v>
      </c>
      <c r="T29" s="14" t="n">
        <v>0.33</v>
      </c>
      <c r="U29" s="14" t="n">
        <v>0.28</v>
      </c>
      <c r="V29" s="14" t="n">
        <v>0.21</v>
      </c>
      <c r="W29" s="14" t="n">
        <v>0.26</v>
      </c>
      <c r="X29" s="14" t="n">
        <v>0.21</v>
      </c>
      <c r="Y29" s="14" t="n">
        <v>0.41</v>
      </c>
      <c r="Z29" s="14" t="n">
        <v>0.15</v>
      </c>
      <c r="AA29" s="14" t="n">
        <v>0.24</v>
      </c>
      <c r="AB29" s="14" t="n">
        <v>0.26</v>
      </c>
      <c r="AC29" s="14" t="n">
        <v>0.26</v>
      </c>
      <c r="AD29" s="14" t="n">
        <v>0.33</v>
      </c>
      <c r="AE29" s="14" t="n">
        <v>0.2</v>
      </c>
      <c r="AF29" s="14" t="n">
        <v>0.26</v>
      </c>
    </row>
    <row r="30">
      <c r="A30" s="20" t="n"/>
      <c r="B30" s="11" t="inlineStr">
        <is>
          <t>La sécurité publique et personnelle</t>
        </is>
      </c>
      <c r="C30" s="12" t="n">
        <v>10536</v>
      </c>
      <c r="D30" s="12" t="n">
        <v>301</v>
      </c>
      <c r="E30" s="12" t="n">
        <v>383</v>
      </c>
      <c r="F30" s="12" t="n">
        <v>420</v>
      </c>
      <c r="G30" s="12" t="n">
        <v>470</v>
      </c>
      <c r="H30" s="12" t="n">
        <v>497</v>
      </c>
      <c r="I30" s="12" t="n">
        <v>647</v>
      </c>
      <c r="J30" s="12" t="n">
        <v>150</v>
      </c>
      <c r="K30" s="12" t="n">
        <v>447</v>
      </c>
      <c r="L30" s="12" t="n">
        <v>367</v>
      </c>
      <c r="M30" s="12" t="n">
        <v>590</v>
      </c>
      <c r="N30" s="12" t="n">
        <v>382</v>
      </c>
      <c r="O30" s="12" t="n">
        <v>390</v>
      </c>
      <c r="P30" s="12" t="n">
        <v>349</v>
      </c>
      <c r="Q30" s="12" t="n">
        <v>392</v>
      </c>
      <c r="R30" s="12" t="n">
        <v>249</v>
      </c>
      <c r="S30" s="12" t="n">
        <v>516</v>
      </c>
      <c r="T30" s="12" t="n">
        <v>494</v>
      </c>
      <c r="U30" s="12" t="n">
        <v>190</v>
      </c>
      <c r="V30" s="12" t="n">
        <v>349</v>
      </c>
      <c r="W30" s="12" t="n">
        <v>152</v>
      </c>
      <c r="X30" s="12" t="n">
        <v>422</v>
      </c>
      <c r="Y30" s="12" t="n">
        <v>562</v>
      </c>
      <c r="Z30" s="12" t="n">
        <v>316</v>
      </c>
      <c r="AA30" s="12" t="n">
        <v>412</v>
      </c>
      <c r="AB30" s="12" t="n">
        <v>348</v>
      </c>
      <c r="AC30" s="12" t="n">
        <v>450</v>
      </c>
      <c r="AD30" s="12" t="n">
        <v>450</v>
      </c>
      <c r="AE30" s="12" t="n">
        <v>562</v>
      </c>
      <c r="AF30" s="12" t="n">
        <v>546</v>
      </c>
    </row>
    <row r="31">
      <c r="A31" s="20" t="n"/>
      <c r="B31" s="13" t="inlineStr">
        <is>
          <t>Public safety and personal security</t>
        </is>
      </c>
      <c r="C31" s="14" t="n">
        <v>0.4</v>
      </c>
      <c r="D31" s="14" t="n">
        <v>0.29</v>
      </c>
      <c r="E31" s="14" t="n">
        <v>0.38</v>
      </c>
      <c r="F31" s="14" t="n">
        <v>0.4</v>
      </c>
      <c r="G31" s="14" t="n">
        <v>0.47</v>
      </c>
      <c r="H31" s="14" t="n">
        <v>0.41</v>
      </c>
      <c r="I31" s="14" t="n">
        <v>0.43</v>
      </c>
      <c r="J31" s="14" t="n">
        <v>0.51</v>
      </c>
      <c r="K31" s="14" t="n">
        <v>0.44</v>
      </c>
      <c r="L31" s="14" t="n">
        <v>0.36</v>
      </c>
      <c r="M31" s="14" t="n">
        <v>0.59</v>
      </c>
      <c r="N31" s="14" t="n">
        <v>0.38</v>
      </c>
      <c r="O31" s="14" t="n">
        <v>0.38</v>
      </c>
      <c r="P31" s="14" t="n">
        <v>0.35</v>
      </c>
      <c r="Q31" s="14" t="n">
        <v>0.38</v>
      </c>
      <c r="R31" s="14" t="n">
        <v>0.49</v>
      </c>
      <c r="S31" s="14" t="n">
        <v>0.51</v>
      </c>
      <c r="T31" s="14" t="n">
        <v>0.49</v>
      </c>
      <c r="U31" s="14" t="n">
        <v>0.37</v>
      </c>
      <c r="V31" s="14" t="n">
        <v>0.34</v>
      </c>
      <c r="W31" s="14" t="n">
        <v>0.3</v>
      </c>
      <c r="X31" s="14" t="n">
        <v>0.41</v>
      </c>
      <c r="Y31" s="14" t="n">
        <v>0.5600000000000001</v>
      </c>
      <c r="Z31" s="14" t="n">
        <v>0.31</v>
      </c>
      <c r="AA31" s="14" t="n">
        <v>0.4</v>
      </c>
      <c r="AB31" s="14" t="n">
        <v>0.33</v>
      </c>
      <c r="AC31" s="14" t="n">
        <v>0.45</v>
      </c>
      <c r="AD31" s="14" t="n">
        <v>0.45</v>
      </c>
      <c r="AE31" s="14" t="n">
        <v>0.55</v>
      </c>
      <c r="AF31" s="14" t="n">
        <v>0.53</v>
      </c>
    </row>
    <row r="32">
      <c r="A32" s="20" t="n"/>
      <c r="B32" s="11" t="inlineStr">
        <is>
          <t>La qualité de l’éducation et les opportunités d’apprentissage</t>
        </is>
      </c>
      <c r="C32" s="12" t="n">
        <v>8369</v>
      </c>
      <c r="D32" s="12" t="n">
        <v>330</v>
      </c>
      <c r="E32" s="12" t="n">
        <v>254</v>
      </c>
      <c r="F32" s="12" t="n">
        <v>317</v>
      </c>
      <c r="G32" s="12" t="n">
        <v>446</v>
      </c>
      <c r="H32" s="12" t="n">
        <v>336</v>
      </c>
      <c r="I32" s="12" t="n">
        <v>423</v>
      </c>
      <c r="J32" s="12" t="n">
        <v>87</v>
      </c>
      <c r="K32" s="12" t="n">
        <v>370</v>
      </c>
      <c r="L32" s="12" t="n">
        <v>312</v>
      </c>
      <c r="M32" s="12" t="n">
        <v>556</v>
      </c>
      <c r="N32" s="12" t="n">
        <v>395</v>
      </c>
      <c r="O32" s="12" t="n">
        <v>342</v>
      </c>
      <c r="P32" s="12" t="n">
        <v>253</v>
      </c>
      <c r="Q32" s="12" t="n">
        <v>287</v>
      </c>
      <c r="R32" s="12" t="n">
        <v>261</v>
      </c>
      <c r="S32" s="12" t="n">
        <v>400</v>
      </c>
      <c r="T32" s="12" t="n">
        <v>359</v>
      </c>
      <c r="U32" s="12" t="n">
        <v>212</v>
      </c>
      <c r="V32" s="12" t="n">
        <v>279</v>
      </c>
      <c r="W32" s="12" t="n">
        <v>175</v>
      </c>
      <c r="X32" s="12" t="n">
        <v>410</v>
      </c>
      <c r="Y32" s="12" t="n">
        <v>431</v>
      </c>
      <c r="Z32" s="12" t="n">
        <v>131</v>
      </c>
      <c r="AA32" s="12" t="n">
        <v>336</v>
      </c>
      <c r="AB32" s="12" t="n">
        <v>319</v>
      </c>
      <c r="AC32" s="12" t="n">
        <v>362</v>
      </c>
      <c r="AD32" s="12" t="n">
        <v>399</v>
      </c>
      <c r="AE32" s="12" t="n">
        <v>393</v>
      </c>
      <c r="AF32" s="12" t="n">
        <v>447</v>
      </c>
    </row>
    <row r="33">
      <c r="A33" s="20" t="n"/>
      <c r="B33" s="13" t="inlineStr">
        <is>
          <t>Quality of education and opportunities to learn</t>
        </is>
      </c>
      <c r="C33" s="14" t="n">
        <v>0.32</v>
      </c>
      <c r="D33" s="14" t="n">
        <v>0.32</v>
      </c>
      <c r="E33" s="14" t="n">
        <v>0.25</v>
      </c>
      <c r="F33" s="14" t="n">
        <v>0.3</v>
      </c>
      <c r="G33" s="14" t="n">
        <v>0.44</v>
      </c>
      <c r="H33" s="14" t="n">
        <v>0.28</v>
      </c>
      <c r="I33" s="14" t="n">
        <v>0.28</v>
      </c>
      <c r="J33" s="14" t="n">
        <v>0.3</v>
      </c>
      <c r="K33" s="14" t="n">
        <v>0.37</v>
      </c>
      <c r="L33" s="14" t="n">
        <v>0.31</v>
      </c>
      <c r="M33" s="14" t="n">
        <v>0.55</v>
      </c>
      <c r="N33" s="14" t="n">
        <v>0.39</v>
      </c>
      <c r="O33" s="14" t="n">
        <v>0.34</v>
      </c>
      <c r="P33" s="14" t="n">
        <v>0.25</v>
      </c>
      <c r="Q33" s="14" t="n">
        <v>0.28</v>
      </c>
      <c r="R33" s="14" t="n">
        <v>0.52</v>
      </c>
      <c r="S33" s="14" t="n">
        <v>0.4</v>
      </c>
      <c r="T33" s="14" t="n">
        <v>0.35</v>
      </c>
      <c r="U33" s="14" t="n">
        <v>0.42</v>
      </c>
      <c r="V33" s="14" t="n">
        <v>0.27</v>
      </c>
      <c r="W33" s="14" t="n">
        <v>0.35</v>
      </c>
      <c r="X33" s="14" t="n">
        <v>0.4</v>
      </c>
      <c r="Y33" s="14" t="n">
        <v>0.43</v>
      </c>
      <c r="Z33" s="14" t="n">
        <v>0.13</v>
      </c>
      <c r="AA33" s="14" t="n">
        <v>0.33</v>
      </c>
      <c r="AB33" s="14" t="n">
        <v>0.3</v>
      </c>
      <c r="AC33" s="14" t="n">
        <v>0.36</v>
      </c>
      <c r="AD33" s="14" t="n">
        <v>0.4</v>
      </c>
      <c r="AE33" s="14" t="n">
        <v>0.39</v>
      </c>
      <c r="AF33" s="14" t="n">
        <v>0.43</v>
      </c>
    </row>
    <row r="34">
      <c r="A34" s="20" t="n"/>
      <c r="B34" s="11" t="inlineStr">
        <is>
          <t>L’accès à la nature et aux espaces verts</t>
        </is>
      </c>
      <c r="C34" s="12" t="n">
        <v>7470</v>
      </c>
      <c r="D34" s="12" t="n">
        <v>219</v>
      </c>
      <c r="E34" s="12" t="n">
        <v>226</v>
      </c>
      <c r="F34" s="12" t="n">
        <v>291</v>
      </c>
      <c r="G34" s="12" t="n">
        <v>498</v>
      </c>
      <c r="H34" s="12" t="n">
        <v>341</v>
      </c>
      <c r="I34" s="12" t="n">
        <v>430</v>
      </c>
      <c r="J34" s="12" t="n">
        <v>89</v>
      </c>
      <c r="K34" s="12" t="n">
        <v>360</v>
      </c>
      <c r="L34" s="12" t="n">
        <v>311</v>
      </c>
      <c r="M34" s="12" t="n">
        <v>462</v>
      </c>
      <c r="N34" s="12" t="n">
        <v>245</v>
      </c>
      <c r="O34" s="12" t="n">
        <v>281</v>
      </c>
      <c r="P34" s="12" t="n">
        <v>244</v>
      </c>
      <c r="Q34" s="12" t="n">
        <v>271</v>
      </c>
      <c r="R34" s="12" t="n">
        <v>191</v>
      </c>
      <c r="S34" s="12" t="n">
        <v>289</v>
      </c>
      <c r="T34" s="12" t="n">
        <v>314</v>
      </c>
      <c r="U34" s="12" t="n">
        <v>156</v>
      </c>
      <c r="V34" s="12" t="n">
        <v>258</v>
      </c>
      <c r="W34" s="12" t="n">
        <v>161</v>
      </c>
      <c r="X34" s="12" t="n">
        <v>338</v>
      </c>
      <c r="Y34" s="12" t="n">
        <v>560</v>
      </c>
      <c r="Z34" s="12" t="n">
        <v>160</v>
      </c>
      <c r="AA34" s="12" t="n">
        <v>266</v>
      </c>
      <c r="AB34" s="12" t="n">
        <v>251</v>
      </c>
      <c r="AC34" s="12" t="n">
        <v>431</v>
      </c>
      <c r="AD34" s="12" t="n">
        <v>344</v>
      </c>
      <c r="AE34" s="12" t="n">
        <v>427</v>
      </c>
      <c r="AF34" s="12" t="n">
        <v>533</v>
      </c>
    </row>
    <row r="35">
      <c r="A35" s="20" t="n"/>
      <c r="B35" s="13" t="inlineStr">
        <is>
          <t>Access to nature and green spaces</t>
        </is>
      </c>
      <c r="C35" s="14" t="n">
        <v>0.28</v>
      </c>
      <c r="D35" s="14" t="n">
        <v>0.21</v>
      </c>
      <c r="E35" s="14" t="n">
        <v>0.22</v>
      </c>
      <c r="F35" s="14" t="n">
        <v>0.28</v>
      </c>
      <c r="G35" s="14" t="n">
        <v>0.49</v>
      </c>
      <c r="H35" s="14" t="n">
        <v>0.28</v>
      </c>
      <c r="I35" s="14" t="n">
        <v>0.29</v>
      </c>
      <c r="J35" s="14" t="n">
        <v>0.3</v>
      </c>
      <c r="K35" s="14" t="n">
        <v>0.36</v>
      </c>
      <c r="L35" s="14" t="n">
        <v>0.31</v>
      </c>
      <c r="M35" s="14" t="n">
        <v>0.46</v>
      </c>
      <c r="N35" s="14" t="n">
        <v>0.24</v>
      </c>
      <c r="O35" s="14" t="n">
        <v>0.28</v>
      </c>
      <c r="P35" s="14" t="n">
        <v>0.24</v>
      </c>
      <c r="Q35" s="14" t="n">
        <v>0.26</v>
      </c>
      <c r="R35" s="14" t="n">
        <v>0.38</v>
      </c>
      <c r="S35" s="14" t="n">
        <v>0.29</v>
      </c>
      <c r="T35" s="14" t="n">
        <v>0.31</v>
      </c>
      <c r="U35" s="14" t="n">
        <v>0.31</v>
      </c>
      <c r="V35" s="14" t="n">
        <v>0.25</v>
      </c>
      <c r="W35" s="14" t="n">
        <v>0.32</v>
      </c>
      <c r="X35" s="14" t="n">
        <v>0.33</v>
      </c>
      <c r="Y35" s="14" t="n">
        <v>0.5600000000000001</v>
      </c>
      <c r="Z35" s="14" t="n">
        <v>0.16</v>
      </c>
      <c r="AA35" s="14" t="n">
        <v>0.26</v>
      </c>
      <c r="AB35" s="14" t="n">
        <v>0.24</v>
      </c>
      <c r="AC35" s="14" t="n">
        <v>0.43</v>
      </c>
      <c r="AD35" s="14" t="n">
        <v>0.34</v>
      </c>
      <c r="AE35" s="14" t="n">
        <v>0.42</v>
      </c>
      <c r="AF35" s="14" t="n">
        <v>0.51</v>
      </c>
    </row>
    <row r="36">
      <c r="A36" s="20" t="n"/>
      <c r="B36" s="11" t="inlineStr">
        <is>
          <t>L’équilibre entre vie professionnelle et vie privée</t>
        </is>
      </c>
      <c r="C36" s="12" t="n">
        <v>8056</v>
      </c>
      <c r="D36" s="12" t="n">
        <v>332</v>
      </c>
      <c r="E36" s="12" t="n">
        <v>277</v>
      </c>
      <c r="F36" s="12" t="n">
        <v>331</v>
      </c>
      <c r="G36" s="12" t="n">
        <v>519</v>
      </c>
      <c r="H36" s="12" t="n">
        <v>197</v>
      </c>
      <c r="I36" s="12" t="n">
        <v>256</v>
      </c>
      <c r="J36" s="12" t="n">
        <v>59</v>
      </c>
      <c r="K36" s="12" t="n">
        <v>343</v>
      </c>
      <c r="L36" s="12" t="n">
        <v>385</v>
      </c>
      <c r="M36" s="12" t="n">
        <v>478</v>
      </c>
      <c r="N36" s="12" t="n">
        <v>361</v>
      </c>
      <c r="O36" s="12" t="n">
        <v>363</v>
      </c>
      <c r="P36" s="12" t="n">
        <v>327</v>
      </c>
      <c r="Q36" s="12" t="n">
        <v>342</v>
      </c>
      <c r="R36" s="12" t="n">
        <v>231</v>
      </c>
      <c r="S36" s="12" t="n">
        <v>403</v>
      </c>
      <c r="T36" s="12" t="n">
        <v>433</v>
      </c>
      <c r="U36" s="12" t="n">
        <v>193</v>
      </c>
      <c r="V36" s="12" t="n">
        <v>341</v>
      </c>
      <c r="W36" s="12" t="n">
        <v>188</v>
      </c>
      <c r="X36" s="12" t="n">
        <v>362</v>
      </c>
      <c r="Y36" s="12" t="n">
        <v>294</v>
      </c>
      <c r="Z36" s="12" t="n">
        <v>169</v>
      </c>
      <c r="AA36" s="12" t="n">
        <v>433</v>
      </c>
      <c r="AB36" s="12" t="n">
        <v>282</v>
      </c>
      <c r="AC36" s="12" t="n">
        <v>314</v>
      </c>
      <c r="AD36" s="12" t="n">
        <v>393</v>
      </c>
      <c r="AE36" s="12" t="n">
        <v>375</v>
      </c>
      <c r="AF36" s="12" t="n">
        <v>487</v>
      </c>
    </row>
    <row r="37">
      <c r="A37" s="20" t="n"/>
      <c r="B37" s="13" t="inlineStr">
        <is>
          <t>Work-life balance</t>
        </is>
      </c>
      <c r="C37" s="14" t="n">
        <v>0.3</v>
      </c>
      <c r="D37" s="14" t="n">
        <v>0.33</v>
      </c>
      <c r="E37" s="14" t="n">
        <v>0.27</v>
      </c>
      <c r="F37" s="14" t="n">
        <v>0.32</v>
      </c>
      <c r="G37" s="14" t="n">
        <v>0.52</v>
      </c>
      <c r="H37" s="14" t="n">
        <v>0.16</v>
      </c>
      <c r="I37" s="14" t="n">
        <v>0.17</v>
      </c>
      <c r="J37" s="14" t="n">
        <v>0.2</v>
      </c>
      <c r="K37" s="14" t="n">
        <v>0.34</v>
      </c>
      <c r="L37" s="14" t="n">
        <v>0.38</v>
      </c>
      <c r="M37" s="14" t="n">
        <v>0.47</v>
      </c>
      <c r="N37" s="14" t="n">
        <v>0.36</v>
      </c>
      <c r="O37" s="14" t="n">
        <v>0.36</v>
      </c>
      <c r="P37" s="14" t="n">
        <v>0.32</v>
      </c>
      <c r="Q37" s="14" t="n">
        <v>0.33</v>
      </c>
      <c r="R37" s="14" t="n">
        <v>0.46</v>
      </c>
      <c r="S37" s="14" t="n">
        <v>0.4</v>
      </c>
      <c r="T37" s="14" t="n">
        <v>0.43</v>
      </c>
      <c r="U37" s="14" t="n">
        <v>0.38</v>
      </c>
      <c r="V37" s="14" t="n">
        <v>0.33</v>
      </c>
      <c r="W37" s="14" t="n">
        <v>0.37</v>
      </c>
      <c r="X37" s="14" t="n">
        <v>0.35</v>
      </c>
      <c r="Y37" s="14" t="n">
        <v>0.29</v>
      </c>
      <c r="Z37" s="14" t="n">
        <v>0.17</v>
      </c>
      <c r="AA37" s="14" t="n">
        <v>0.42</v>
      </c>
      <c r="AB37" s="14" t="n">
        <v>0.27</v>
      </c>
      <c r="AC37" s="14" t="n">
        <v>0.31</v>
      </c>
      <c r="AD37" s="14" t="n">
        <v>0.39</v>
      </c>
      <c r="AE37" s="14" t="n">
        <v>0.37</v>
      </c>
      <c r="AF37" s="14" t="n">
        <v>0.47</v>
      </c>
    </row>
    <row r="38">
      <c r="A38" s="20" t="n"/>
      <c r="B38" s="11" t="inlineStr">
        <is>
          <t>La sécurité de l’emploi et les conditions de travail</t>
        </is>
      </c>
      <c r="C38" s="12" t="n">
        <v>10144</v>
      </c>
      <c r="D38" s="12" t="n">
        <v>328</v>
      </c>
      <c r="E38" s="12" t="n">
        <v>365</v>
      </c>
      <c r="F38" s="12" t="n">
        <v>385</v>
      </c>
      <c r="G38" s="12" t="n">
        <v>425</v>
      </c>
      <c r="H38" s="12" t="n">
        <v>389</v>
      </c>
      <c r="I38" s="12" t="n">
        <v>507</v>
      </c>
      <c r="J38" s="12" t="n">
        <v>117</v>
      </c>
      <c r="K38" s="12" t="n">
        <v>426</v>
      </c>
      <c r="L38" s="12" t="n">
        <v>384</v>
      </c>
      <c r="M38" s="12" t="n">
        <v>609</v>
      </c>
      <c r="N38" s="12" t="n">
        <v>469</v>
      </c>
      <c r="O38" s="12" t="n">
        <v>438</v>
      </c>
      <c r="P38" s="12" t="n">
        <v>398</v>
      </c>
      <c r="Q38" s="12" t="n">
        <v>391</v>
      </c>
      <c r="R38" s="12" t="n">
        <v>255</v>
      </c>
      <c r="S38" s="12" t="n">
        <v>382</v>
      </c>
      <c r="T38" s="12" t="n">
        <v>398</v>
      </c>
      <c r="U38" s="12" t="n">
        <v>216</v>
      </c>
      <c r="V38" s="12" t="n">
        <v>351</v>
      </c>
      <c r="W38" s="12" t="n">
        <v>159</v>
      </c>
      <c r="X38" s="12" t="n">
        <v>306</v>
      </c>
      <c r="Y38" s="12" t="n">
        <v>516</v>
      </c>
      <c r="Z38" s="12" t="n">
        <v>282</v>
      </c>
      <c r="AA38" s="12" t="n">
        <v>441</v>
      </c>
      <c r="AB38" s="12" t="n">
        <v>372</v>
      </c>
      <c r="AC38" s="12" t="n">
        <v>383</v>
      </c>
      <c r="AD38" s="12" t="n">
        <v>474</v>
      </c>
      <c r="AE38" s="12" t="n">
        <v>293</v>
      </c>
      <c r="AF38" s="12" t="n">
        <v>404</v>
      </c>
    </row>
    <row r="39">
      <c r="A39" s="20" t="n"/>
      <c r="B39" s="13" t="inlineStr">
        <is>
          <t>Job security and working conditions</t>
        </is>
      </c>
      <c r="C39" s="14" t="n">
        <v>0.38</v>
      </c>
      <c r="D39" s="14" t="n">
        <v>0.32</v>
      </c>
      <c r="E39" s="14" t="n">
        <v>0.36</v>
      </c>
      <c r="F39" s="14" t="n">
        <v>0.37</v>
      </c>
      <c r="G39" s="14" t="n">
        <v>0.42</v>
      </c>
      <c r="H39" s="14" t="n">
        <v>0.32</v>
      </c>
      <c r="I39" s="14" t="n">
        <v>0.34</v>
      </c>
      <c r="J39" s="14" t="n">
        <v>0.4</v>
      </c>
      <c r="K39" s="14" t="n">
        <v>0.42</v>
      </c>
      <c r="L39" s="14" t="n">
        <v>0.38</v>
      </c>
      <c r="M39" s="14" t="n">
        <v>0.6</v>
      </c>
      <c r="N39" s="14" t="n">
        <v>0.47</v>
      </c>
      <c r="O39" s="14" t="n">
        <v>0.43</v>
      </c>
      <c r="P39" s="14" t="n">
        <v>0.39</v>
      </c>
      <c r="Q39" s="14" t="n">
        <v>0.38</v>
      </c>
      <c r="R39" s="14" t="n">
        <v>0.51</v>
      </c>
      <c r="S39" s="14" t="n">
        <v>0.38</v>
      </c>
      <c r="T39" s="14" t="n">
        <v>0.39</v>
      </c>
      <c r="U39" s="14" t="n">
        <v>0.43</v>
      </c>
      <c r="V39" s="14" t="n">
        <v>0.34</v>
      </c>
      <c r="W39" s="14" t="n">
        <v>0.31</v>
      </c>
      <c r="X39" s="14" t="n">
        <v>0.3</v>
      </c>
      <c r="Y39" s="14" t="n">
        <v>0.51</v>
      </c>
      <c r="Z39" s="14" t="n">
        <v>0.28</v>
      </c>
      <c r="AA39" s="14" t="n">
        <v>0.43</v>
      </c>
      <c r="AB39" s="14" t="n">
        <v>0.36</v>
      </c>
      <c r="AC39" s="14" t="n">
        <v>0.38</v>
      </c>
      <c r="AD39" s="14" t="n">
        <v>0.47</v>
      </c>
      <c r="AE39" s="14" t="n">
        <v>0.29</v>
      </c>
      <c r="AF39" s="14" t="n">
        <v>0.39</v>
      </c>
    </row>
    <row r="40">
      <c r="A40" s="20" t="n"/>
      <c r="B40" s="11" t="inlineStr">
        <is>
          <t>La vie sociale (famille, amis, autres relations, etc.)</t>
        </is>
      </c>
      <c r="C40" s="12" t="n">
        <v>11975</v>
      </c>
      <c r="D40" s="12" t="n">
        <v>414</v>
      </c>
      <c r="E40" s="12" t="n">
        <v>466</v>
      </c>
      <c r="F40" s="12" t="n">
        <v>376</v>
      </c>
      <c r="G40" s="12" t="n">
        <v>686</v>
      </c>
      <c r="H40" s="12" t="n">
        <v>621</v>
      </c>
      <c r="I40" s="12" t="n">
        <v>796</v>
      </c>
      <c r="J40" s="12" t="n">
        <v>175</v>
      </c>
      <c r="K40" s="12" t="n">
        <v>516</v>
      </c>
      <c r="L40" s="12" t="n">
        <v>403</v>
      </c>
      <c r="M40" s="12" t="n">
        <v>585</v>
      </c>
      <c r="N40" s="12" t="n">
        <v>429</v>
      </c>
      <c r="O40" s="12" t="n">
        <v>548</v>
      </c>
      <c r="P40" s="12" t="n">
        <v>419</v>
      </c>
      <c r="Q40" s="12" t="n">
        <v>380</v>
      </c>
      <c r="R40" s="12" t="n">
        <v>255</v>
      </c>
      <c r="S40" s="12" t="n">
        <v>472</v>
      </c>
      <c r="T40" s="12" t="n">
        <v>601</v>
      </c>
      <c r="U40" s="12" t="n">
        <v>265</v>
      </c>
      <c r="V40" s="12" t="n">
        <v>297</v>
      </c>
      <c r="W40" s="12" t="n">
        <v>208</v>
      </c>
      <c r="X40" s="12" t="n">
        <v>567</v>
      </c>
      <c r="Y40" s="12" t="n">
        <v>670</v>
      </c>
      <c r="Z40" s="12" t="n">
        <v>179</v>
      </c>
      <c r="AA40" s="12" t="n">
        <v>411</v>
      </c>
      <c r="AB40" s="12" t="n">
        <v>341</v>
      </c>
      <c r="AC40" s="12" t="n">
        <v>466</v>
      </c>
      <c r="AD40" s="12" t="n">
        <v>479</v>
      </c>
      <c r="AE40" s="12" t="n">
        <v>670</v>
      </c>
      <c r="AF40" s="12" t="n">
        <v>730</v>
      </c>
    </row>
    <row r="41">
      <c r="A41" s="20" t="n"/>
      <c r="B41" s="13" t="inlineStr">
        <is>
          <t>Social life (family, friends, other relationships, etc.)</t>
        </is>
      </c>
      <c r="C41" s="14" t="n">
        <v>0.45</v>
      </c>
      <c r="D41" s="14" t="n">
        <v>0.41</v>
      </c>
      <c r="E41" s="14" t="n">
        <v>0.46</v>
      </c>
      <c r="F41" s="14" t="n">
        <v>0.36</v>
      </c>
      <c r="G41" s="14" t="n">
        <v>0.68</v>
      </c>
      <c r="H41" s="14" t="n">
        <v>0.51</v>
      </c>
      <c r="I41" s="14" t="n">
        <v>0.53</v>
      </c>
      <c r="J41" s="14" t="n">
        <v>0.6</v>
      </c>
      <c r="K41" s="14" t="n">
        <v>0.51</v>
      </c>
      <c r="L41" s="14" t="n">
        <v>0.4</v>
      </c>
      <c r="M41" s="14" t="n">
        <v>0.58</v>
      </c>
      <c r="N41" s="14" t="n">
        <v>0.43</v>
      </c>
      <c r="O41" s="14" t="n">
        <v>0.54</v>
      </c>
      <c r="P41" s="14" t="n">
        <v>0.42</v>
      </c>
      <c r="Q41" s="14" t="n">
        <v>0.37</v>
      </c>
      <c r="R41" s="14" t="n">
        <v>0.51</v>
      </c>
      <c r="S41" s="14" t="n">
        <v>0.47</v>
      </c>
      <c r="T41" s="14" t="n">
        <v>0.59</v>
      </c>
      <c r="U41" s="14" t="n">
        <v>0.52</v>
      </c>
      <c r="V41" s="14" t="n">
        <v>0.29</v>
      </c>
      <c r="W41" s="14" t="n">
        <v>0.41</v>
      </c>
      <c r="X41" s="14" t="n">
        <v>0.55</v>
      </c>
      <c r="Y41" s="14" t="n">
        <v>0.67</v>
      </c>
      <c r="Z41" s="14" t="n">
        <v>0.18</v>
      </c>
      <c r="AA41" s="14" t="n">
        <v>0.4</v>
      </c>
      <c r="AB41" s="14" t="n">
        <v>0.33</v>
      </c>
      <c r="AC41" s="14" t="n">
        <v>0.46</v>
      </c>
      <c r="AD41" s="14" t="n">
        <v>0.48</v>
      </c>
      <c r="AE41" s="14" t="n">
        <v>0.66</v>
      </c>
      <c r="AF41" s="14" t="n">
        <v>0.7000000000000001</v>
      </c>
    </row>
    <row r="42">
      <c r="A42" s="20" t="n"/>
      <c r="B42" s="11" t="inlineStr">
        <is>
          <t>L’accès à la culture</t>
        </is>
      </c>
      <c r="C42" s="12" t="n">
        <v>5794</v>
      </c>
      <c r="D42" s="12" t="n">
        <v>199</v>
      </c>
      <c r="E42" s="12" t="n">
        <v>185</v>
      </c>
      <c r="F42" s="12" t="n">
        <v>190</v>
      </c>
      <c r="G42" s="12" t="n">
        <v>226</v>
      </c>
      <c r="H42" s="12" t="n">
        <v>249</v>
      </c>
      <c r="I42" s="12" t="n">
        <v>319</v>
      </c>
      <c r="J42" s="12" t="n">
        <v>70</v>
      </c>
      <c r="K42" s="12" t="n">
        <v>322</v>
      </c>
      <c r="L42" s="12" t="n">
        <v>203</v>
      </c>
      <c r="M42" s="12" t="n">
        <v>368</v>
      </c>
      <c r="N42" s="12" t="n">
        <v>235</v>
      </c>
      <c r="O42" s="12" t="n">
        <v>279</v>
      </c>
      <c r="P42" s="12" t="n">
        <v>133</v>
      </c>
      <c r="Q42" s="12" t="n">
        <v>215</v>
      </c>
      <c r="R42" s="12" t="n">
        <v>177</v>
      </c>
      <c r="S42" s="12" t="n">
        <v>263</v>
      </c>
      <c r="T42" s="12" t="n">
        <v>260</v>
      </c>
      <c r="U42" s="12" t="n">
        <v>115</v>
      </c>
      <c r="V42" s="12" t="n">
        <v>191</v>
      </c>
      <c r="W42" s="12" t="n">
        <v>82</v>
      </c>
      <c r="X42" s="12" t="n">
        <v>205</v>
      </c>
      <c r="Y42" s="12" t="n">
        <v>323</v>
      </c>
      <c r="Z42" s="12" t="n">
        <v>68</v>
      </c>
      <c r="AA42" s="12" t="n">
        <v>211</v>
      </c>
      <c r="AB42" s="12" t="n">
        <v>217</v>
      </c>
      <c r="AC42" s="12" t="n">
        <v>212</v>
      </c>
      <c r="AD42" s="12" t="n">
        <v>265</v>
      </c>
      <c r="AE42" s="12" t="n">
        <v>230</v>
      </c>
      <c r="AF42" s="12" t="n">
        <v>395</v>
      </c>
    </row>
    <row r="43">
      <c r="A43" s="20" t="n"/>
      <c r="B43" s="13" t="inlineStr">
        <is>
          <t>Access to culture</t>
        </is>
      </c>
      <c r="C43" s="14" t="n">
        <v>0.22</v>
      </c>
      <c r="D43" s="14" t="n">
        <v>0.19</v>
      </c>
      <c r="E43" s="14" t="n">
        <v>0.18</v>
      </c>
      <c r="F43" s="14" t="n">
        <v>0.18</v>
      </c>
      <c r="G43" s="14" t="n">
        <v>0.22</v>
      </c>
      <c r="H43" s="14" t="n">
        <v>0.21</v>
      </c>
      <c r="I43" s="14" t="n">
        <v>0.21</v>
      </c>
      <c r="J43" s="14" t="n">
        <v>0.24</v>
      </c>
      <c r="K43" s="14" t="n">
        <v>0.32</v>
      </c>
      <c r="L43" s="14" t="n">
        <v>0.2</v>
      </c>
      <c r="M43" s="14" t="n">
        <v>0.37</v>
      </c>
      <c r="N43" s="14" t="n">
        <v>0.23</v>
      </c>
      <c r="O43" s="14" t="n">
        <v>0.27</v>
      </c>
      <c r="P43" s="14" t="n">
        <v>0.13</v>
      </c>
      <c r="Q43" s="14" t="n">
        <v>0.21</v>
      </c>
      <c r="R43" s="14" t="n">
        <v>0.35</v>
      </c>
      <c r="S43" s="14" t="n">
        <v>0.26</v>
      </c>
      <c r="T43" s="14" t="n">
        <v>0.26</v>
      </c>
      <c r="U43" s="14" t="n">
        <v>0.23</v>
      </c>
      <c r="V43" s="14" t="n">
        <v>0.19</v>
      </c>
      <c r="W43" s="14" t="n">
        <v>0.16</v>
      </c>
      <c r="X43" s="14" t="n">
        <v>0.2</v>
      </c>
      <c r="Y43" s="14" t="n">
        <v>0.32</v>
      </c>
      <c r="Z43" s="14" t="n">
        <v>0.07000000000000001</v>
      </c>
      <c r="AA43" s="14" t="n">
        <v>0.21</v>
      </c>
      <c r="AB43" s="14" t="n">
        <v>0.21</v>
      </c>
      <c r="AC43" s="14" t="n">
        <v>0.21</v>
      </c>
      <c r="AD43" s="14" t="n">
        <v>0.26</v>
      </c>
      <c r="AE43" s="14" t="n">
        <v>0.23</v>
      </c>
      <c r="AF43" s="14" t="n">
        <v>0.38</v>
      </c>
    </row>
    <row r="44">
      <c r="A44" s="20" t="n"/>
      <c r="B44" s="11" t="inlineStr">
        <is>
          <t>Autre (SPONTANÉ)</t>
        </is>
      </c>
      <c r="C44" s="12" t="n">
        <v>39</v>
      </c>
      <c r="D44" s="12" t="n">
        <v>0</v>
      </c>
      <c r="E44" s="12" t="n">
        <v>2</v>
      </c>
      <c r="F44" s="12" t="n">
        <v>2</v>
      </c>
      <c r="G44" s="12" t="n">
        <v>2</v>
      </c>
      <c r="H44" s="12" t="n">
        <v>6</v>
      </c>
      <c r="I44" s="12" t="n">
        <v>6</v>
      </c>
      <c r="J44" s="12" t="n">
        <v>0</v>
      </c>
      <c r="K44" s="12" t="n">
        <v>4</v>
      </c>
      <c r="L44" s="12" t="n">
        <v>1</v>
      </c>
      <c r="M44" s="12" t="n">
        <v>0</v>
      </c>
      <c r="N44" s="12" t="n">
        <v>2</v>
      </c>
      <c r="O44" s="12" t="n">
        <v>1</v>
      </c>
      <c r="P44" s="12" t="n">
        <v>0</v>
      </c>
      <c r="Q44" s="12" t="n">
        <v>1</v>
      </c>
      <c r="R44" s="12" t="n">
        <v>1</v>
      </c>
      <c r="S44" s="12" t="n">
        <v>0</v>
      </c>
      <c r="T44" s="12" t="n">
        <v>1</v>
      </c>
      <c r="U44" s="12" t="n">
        <v>0</v>
      </c>
      <c r="V44" s="12" t="n">
        <v>1</v>
      </c>
      <c r="W44" s="12" t="n">
        <v>0</v>
      </c>
      <c r="X44" s="12" t="n">
        <v>0</v>
      </c>
      <c r="Y44" s="12" t="n">
        <v>1</v>
      </c>
      <c r="Z44" s="12" t="n">
        <v>1</v>
      </c>
      <c r="AA44" s="12" t="n">
        <v>0</v>
      </c>
      <c r="AB44" s="12" t="n">
        <v>1</v>
      </c>
      <c r="AC44" s="12" t="n">
        <v>0</v>
      </c>
      <c r="AD44" s="12" t="n">
        <v>0</v>
      </c>
      <c r="AE44" s="12" t="n">
        <v>0</v>
      </c>
      <c r="AF44" s="12" t="n">
        <v>0</v>
      </c>
    </row>
    <row r="45">
      <c r="A45" s="20" t="n"/>
      <c r="B45" s="13" t="inlineStr">
        <is>
          <t>Other (SPONTANEOUS)</t>
        </is>
      </c>
      <c r="C45" s="15" t="inlineStr">
        <is>
          <t>-</t>
        </is>
      </c>
      <c r="D45" s="15" t="inlineStr">
        <is>
          <t>-</t>
        </is>
      </c>
      <c r="E45" s="15" t="inlineStr">
        <is>
          <t>-</t>
        </is>
      </c>
      <c r="F45" s="15" t="inlineStr">
        <is>
          <t>-</t>
        </is>
      </c>
      <c r="G45" s="15" t="inlineStr">
        <is>
          <t>-</t>
        </is>
      </c>
      <c r="H45" s="15" t="inlineStr">
        <is>
          <t>-</t>
        </is>
      </c>
      <c r="I45" s="15" t="inlineStr">
        <is>
          <t>-</t>
        </is>
      </c>
      <c r="J45" s="15" t="inlineStr">
        <is>
          <t>-</t>
        </is>
      </c>
      <c r="K45" s="15" t="inlineStr">
        <is>
          <t>-</t>
        </is>
      </c>
      <c r="L45" s="15" t="inlineStr">
        <is>
          <t>-</t>
        </is>
      </c>
      <c r="M45" s="15" t="inlineStr">
        <is>
          <t>-</t>
        </is>
      </c>
      <c r="N45" s="15" t="inlineStr">
        <is>
          <t>-</t>
        </is>
      </c>
      <c r="O45" s="15" t="inlineStr">
        <is>
          <t>-</t>
        </is>
      </c>
      <c r="P45" s="15" t="inlineStr">
        <is>
          <t>-</t>
        </is>
      </c>
      <c r="Q45" s="15" t="inlineStr">
        <is>
          <t>-</t>
        </is>
      </c>
      <c r="R45" s="15" t="inlineStr">
        <is>
          <t>-</t>
        </is>
      </c>
      <c r="S45" s="15" t="inlineStr">
        <is>
          <t>-</t>
        </is>
      </c>
      <c r="T45" s="15" t="inlineStr">
        <is>
          <t>-</t>
        </is>
      </c>
      <c r="U45" s="15" t="inlineStr">
        <is>
          <t>-</t>
        </is>
      </c>
      <c r="V45" s="15" t="inlineStr">
        <is>
          <t>-</t>
        </is>
      </c>
      <c r="W45" s="15" t="inlineStr">
        <is>
          <t>-</t>
        </is>
      </c>
      <c r="X45" s="15" t="inlineStr">
        <is>
          <t>-</t>
        </is>
      </c>
      <c r="Y45" s="15" t="inlineStr">
        <is>
          <t>-</t>
        </is>
      </c>
      <c r="Z45" s="15" t="inlineStr">
        <is>
          <t>-</t>
        </is>
      </c>
      <c r="AA45" s="15" t="inlineStr">
        <is>
          <t>-</t>
        </is>
      </c>
      <c r="AB45" s="15" t="inlineStr">
        <is>
          <t>-</t>
        </is>
      </c>
      <c r="AC45" s="15" t="inlineStr">
        <is>
          <t>-</t>
        </is>
      </c>
      <c r="AD45" s="15" t="inlineStr">
        <is>
          <t>-</t>
        </is>
      </c>
      <c r="AE45" s="15" t="inlineStr">
        <is>
          <t>-</t>
        </is>
      </c>
      <c r="AF45" s="15" t="inlineStr">
        <is>
          <t>-</t>
        </is>
      </c>
    </row>
    <row r="46">
      <c r="A46" s="20" t="n"/>
      <c r="B46" s="11" t="inlineStr">
        <is>
          <t>Ne sait pas</t>
        </is>
      </c>
      <c r="C46" s="12" t="n">
        <v>85</v>
      </c>
      <c r="D46" s="12" t="n">
        <v>1</v>
      </c>
      <c r="E46" s="12" t="n">
        <v>6</v>
      </c>
      <c r="F46" s="12" t="n">
        <v>38</v>
      </c>
      <c r="G46" s="12" t="n">
        <v>5</v>
      </c>
      <c r="H46" s="12" t="n">
        <v>3</v>
      </c>
      <c r="I46" s="12" t="n">
        <v>3</v>
      </c>
      <c r="J46" s="12" t="n">
        <v>0</v>
      </c>
      <c r="K46" s="12" t="n">
        <v>6</v>
      </c>
      <c r="L46" s="12" t="n">
        <v>2</v>
      </c>
      <c r="M46" s="12" t="n">
        <v>0</v>
      </c>
      <c r="N46" s="12" t="n">
        <v>2</v>
      </c>
      <c r="O46" s="12" t="n">
        <v>6</v>
      </c>
      <c r="P46" s="12" t="n">
        <v>1</v>
      </c>
      <c r="Q46" s="12" t="n">
        <v>2</v>
      </c>
      <c r="R46" s="12" t="n">
        <v>8</v>
      </c>
      <c r="S46" s="12" t="n">
        <v>2</v>
      </c>
      <c r="T46" s="12" t="n">
        <v>1</v>
      </c>
      <c r="U46" s="12" t="n">
        <v>0</v>
      </c>
      <c r="V46" s="12" t="n">
        <v>0</v>
      </c>
      <c r="W46" s="12" t="n">
        <v>1</v>
      </c>
      <c r="X46" s="12" t="n">
        <v>0</v>
      </c>
      <c r="Y46" s="12" t="n">
        <v>0</v>
      </c>
      <c r="Z46" s="12" t="n">
        <v>2</v>
      </c>
      <c r="AA46" s="12" t="n">
        <v>1</v>
      </c>
      <c r="AB46" s="12" t="n">
        <v>5</v>
      </c>
      <c r="AC46" s="12" t="n">
        <v>0</v>
      </c>
      <c r="AD46" s="12" t="n">
        <v>1</v>
      </c>
      <c r="AE46" s="12" t="n">
        <v>0</v>
      </c>
      <c r="AF46" s="12" t="n">
        <v>1</v>
      </c>
    </row>
    <row r="47">
      <c r="A47" s="23" t="n"/>
      <c r="B47" s="13" t="inlineStr">
        <is>
          <t>Don’t know</t>
        </is>
      </c>
      <c r="C47" s="15" t="inlineStr">
        <is>
          <t>-</t>
        </is>
      </c>
      <c r="D47" s="15" t="inlineStr">
        <is>
          <t>-</t>
        </is>
      </c>
      <c r="E47" s="14" t="n">
        <v>0.01</v>
      </c>
      <c r="F47" s="14" t="n">
        <v>0.04</v>
      </c>
      <c r="G47" s="14" t="n">
        <v>0.01</v>
      </c>
      <c r="H47" s="15" t="inlineStr">
        <is>
          <t>-</t>
        </is>
      </c>
      <c r="I47" s="15" t="inlineStr">
        <is>
          <t>-</t>
        </is>
      </c>
      <c r="J47" s="15" t="inlineStr">
        <is>
          <t>-</t>
        </is>
      </c>
      <c r="K47" s="14" t="n">
        <v>0.01</v>
      </c>
      <c r="L47" s="15" t="inlineStr">
        <is>
          <t>-</t>
        </is>
      </c>
      <c r="M47" s="15" t="inlineStr">
        <is>
          <t>-</t>
        </is>
      </c>
      <c r="N47" s="15" t="inlineStr">
        <is>
          <t>-</t>
        </is>
      </c>
      <c r="O47" s="14" t="n">
        <v>0.01</v>
      </c>
      <c r="P47" s="15" t="inlineStr">
        <is>
          <t>-</t>
        </is>
      </c>
      <c r="Q47" s="15" t="inlineStr">
        <is>
          <t>-</t>
        </is>
      </c>
      <c r="R47" s="14" t="n">
        <v>0.02</v>
      </c>
      <c r="S47" s="15" t="inlineStr">
        <is>
          <t>-</t>
        </is>
      </c>
      <c r="T47" s="15" t="inlineStr">
        <is>
          <t>-</t>
        </is>
      </c>
      <c r="U47" s="15" t="inlineStr">
        <is>
          <t>-</t>
        </is>
      </c>
      <c r="V47" s="15" t="inlineStr">
        <is>
          <t>-</t>
        </is>
      </c>
      <c r="W47" s="15" t="inlineStr">
        <is>
          <t>-</t>
        </is>
      </c>
      <c r="X47" s="15" t="inlineStr">
        <is>
          <t>-</t>
        </is>
      </c>
      <c r="Y47" s="15" t="inlineStr">
        <is>
          <t>-</t>
        </is>
      </c>
      <c r="Z47" s="15" t="inlineStr">
        <is>
          <t>-</t>
        </is>
      </c>
      <c r="AA47" s="15" t="inlineStr">
        <is>
          <t>-</t>
        </is>
      </c>
      <c r="AB47" s="15" t="inlineStr">
        <is>
          <t>-</t>
        </is>
      </c>
      <c r="AC47" s="15" t="inlineStr">
        <is>
          <t>-</t>
        </is>
      </c>
      <c r="AD47" s="15" t="inlineStr">
        <is>
          <t>-</t>
        </is>
      </c>
      <c r="AE47" s="15" t="inlineStr">
        <is>
          <t>-</t>
        </is>
      </c>
      <c r="AF47" s="15" t="inlineStr">
        <is>
          <t>-</t>
        </is>
      </c>
    </row>
  </sheetData>
  <mergeCells count="9">
    <mergeCell ref="B4:F4"/>
    <mergeCell ref="A10:A47"/>
    <mergeCell ref="H3:L3"/>
    <mergeCell ref="C8:AF8"/>
    <mergeCell ref="B3:F3"/>
    <mergeCell ref="B5:F5"/>
    <mergeCell ref="H5:L5"/>
    <mergeCell ref="B10:B11"/>
    <mergeCell ref="H4:L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F47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24" customHeight="1" s="18">
      <c r="B3" s="21" t="inlineStr">
        <is>
          <t>QA14a. Dans lequel des domaines suivants des changements pourraient-ils le plus améliorer votre qualité de vie ? En premier ?</t>
        </is>
      </c>
      <c r="H3" s="21" t="inlineStr">
        <is>
          <t>QA14a. In which of the following areas could changes most improve your quality of life? Firstly?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HYPERLINK("#Content!A37","&lt;&lt;Back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L’efficacité des services publics</t>
        </is>
      </c>
      <c r="C12" s="12" t="n">
        <v>1025</v>
      </c>
      <c r="D12" s="12" t="n">
        <v>31</v>
      </c>
      <c r="E12" s="12" t="n">
        <v>17</v>
      </c>
      <c r="F12" s="12" t="n">
        <v>27</v>
      </c>
      <c r="G12" s="12" t="n">
        <v>29</v>
      </c>
      <c r="H12" s="12" t="n">
        <v>34</v>
      </c>
      <c r="I12" s="12" t="n">
        <v>44</v>
      </c>
      <c r="J12" s="12" t="n">
        <v>11</v>
      </c>
      <c r="K12" s="12" t="n">
        <v>22</v>
      </c>
      <c r="L12" s="12" t="n">
        <v>54</v>
      </c>
      <c r="M12" s="12" t="n">
        <v>42</v>
      </c>
      <c r="N12" s="12" t="n">
        <v>59</v>
      </c>
      <c r="O12" s="12" t="n">
        <v>50</v>
      </c>
      <c r="P12" s="12" t="n">
        <v>28</v>
      </c>
      <c r="Q12" s="12" t="n">
        <v>46</v>
      </c>
      <c r="R12" s="12" t="n">
        <v>20</v>
      </c>
      <c r="S12" s="12" t="n">
        <v>14</v>
      </c>
      <c r="T12" s="12" t="n">
        <v>13</v>
      </c>
      <c r="U12" s="12" t="n">
        <v>17</v>
      </c>
      <c r="V12" s="12" t="n">
        <v>35</v>
      </c>
      <c r="W12" s="12" t="n">
        <v>12</v>
      </c>
      <c r="X12" s="12" t="n">
        <v>28</v>
      </c>
      <c r="Y12" s="12" t="n">
        <v>20</v>
      </c>
      <c r="Z12" s="12" t="n">
        <v>33</v>
      </c>
      <c r="AA12" s="12" t="n">
        <v>44</v>
      </c>
      <c r="AB12" s="12" t="n">
        <v>41</v>
      </c>
      <c r="AC12" s="12" t="n">
        <v>40</v>
      </c>
      <c r="AD12" s="12" t="n">
        <v>28</v>
      </c>
      <c r="AE12" s="12" t="n">
        <v>33</v>
      </c>
      <c r="AF12" s="12" t="n">
        <v>33</v>
      </c>
    </row>
    <row r="13">
      <c r="A13" s="20" t="n"/>
      <c r="B13" s="13" t="inlineStr">
        <is>
          <t>Efficiency of public services</t>
        </is>
      </c>
      <c r="C13" s="14" t="n">
        <v>0.04</v>
      </c>
      <c r="D13" s="14" t="n">
        <v>0.03</v>
      </c>
      <c r="E13" s="14" t="n">
        <v>0.02</v>
      </c>
      <c r="F13" s="14" t="n">
        <v>0.03</v>
      </c>
      <c r="G13" s="14" t="n">
        <v>0.03</v>
      </c>
      <c r="H13" s="14" t="n">
        <v>0.03</v>
      </c>
      <c r="I13" s="14" t="n">
        <v>0.03</v>
      </c>
      <c r="J13" s="14" t="n">
        <v>0.04</v>
      </c>
      <c r="K13" s="14" t="n">
        <v>0.02</v>
      </c>
      <c r="L13" s="14" t="n">
        <v>0.05</v>
      </c>
      <c r="M13" s="14" t="n">
        <v>0.04</v>
      </c>
      <c r="N13" s="14" t="n">
        <v>0.06</v>
      </c>
      <c r="O13" s="14" t="n">
        <v>0.05</v>
      </c>
      <c r="P13" s="14" t="n">
        <v>0.03</v>
      </c>
      <c r="Q13" s="14" t="n">
        <v>0.04</v>
      </c>
      <c r="R13" s="14" t="n">
        <v>0.04</v>
      </c>
      <c r="S13" s="14" t="n">
        <v>0.01</v>
      </c>
      <c r="T13" s="14" t="n">
        <v>0.01</v>
      </c>
      <c r="U13" s="14" t="n">
        <v>0.03</v>
      </c>
      <c r="V13" s="14" t="n">
        <v>0.03</v>
      </c>
      <c r="W13" s="14" t="n">
        <v>0.02</v>
      </c>
      <c r="X13" s="14" t="n">
        <v>0.03</v>
      </c>
      <c r="Y13" s="14" t="n">
        <v>0.02</v>
      </c>
      <c r="Z13" s="14" t="n">
        <v>0.03</v>
      </c>
      <c r="AA13" s="14" t="n">
        <v>0.04</v>
      </c>
      <c r="AB13" s="14" t="n">
        <v>0.04</v>
      </c>
      <c r="AC13" s="14" t="n">
        <v>0.04</v>
      </c>
      <c r="AD13" s="14" t="n">
        <v>0.03</v>
      </c>
      <c r="AE13" s="14" t="n">
        <v>0.03</v>
      </c>
      <c r="AF13" s="14" t="n">
        <v>0.03</v>
      </c>
    </row>
    <row r="14">
      <c r="A14" s="20" t="n"/>
      <c r="B14" s="11" t="inlineStr">
        <is>
          <t>La santé physique et mentale</t>
        </is>
      </c>
      <c r="C14" s="12" t="n">
        <v>2838</v>
      </c>
      <c r="D14" s="12" t="n">
        <v>103</v>
      </c>
      <c r="E14" s="12" t="n">
        <v>94</v>
      </c>
      <c r="F14" s="12" t="n">
        <v>128</v>
      </c>
      <c r="G14" s="12" t="n">
        <v>173</v>
      </c>
      <c r="H14" s="12" t="n">
        <v>126</v>
      </c>
      <c r="I14" s="12" t="n">
        <v>165</v>
      </c>
      <c r="J14" s="12" t="n">
        <v>39</v>
      </c>
      <c r="K14" s="12" t="n">
        <v>94</v>
      </c>
      <c r="L14" s="12" t="n">
        <v>113</v>
      </c>
      <c r="M14" s="12" t="n">
        <v>107</v>
      </c>
      <c r="N14" s="12" t="n">
        <v>137</v>
      </c>
      <c r="O14" s="12" t="n">
        <v>112</v>
      </c>
      <c r="P14" s="12" t="n">
        <v>76</v>
      </c>
      <c r="Q14" s="12" t="n">
        <v>91</v>
      </c>
      <c r="R14" s="12" t="n">
        <v>53</v>
      </c>
      <c r="S14" s="12" t="n">
        <v>115</v>
      </c>
      <c r="T14" s="12" t="n">
        <v>140</v>
      </c>
      <c r="U14" s="12" t="n">
        <v>63</v>
      </c>
      <c r="V14" s="12" t="n">
        <v>87</v>
      </c>
      <c r="W14" s="12" t="n">
        <v>85</v>
      </c>
      <c r="X14" s="12" t="n">
        <v>105</v>
      </c>
      <c r="Y14" s="12" t="n">
        <v>118</v>
      </c>
      <c r="Z14" s="12" t="n">
        <v>81</v>
      </c>
      <c r="AA14" s="12" t="n">
        <v>122</v>
      </c>
      <c r="AB14" s="12" t="n">
        <v>96</v>
      </c>
      <c r="AC14" s="12" t="n">
        <v>141</v>
      </c>
      <c r="AD14" s="12" t="n">
        <v>86</v>
      </c>
      <c r="AE14" s="12" t="n">
        <v>156</v>
      </c>
      <c r="AF14" s="12" t="n">
        <v>126</v>
      </c>
    </row>
    <row r="15">
      <c r="A15" s="20" t="n"/>
      <c r="B15" s="13" t="inlineStr">
        <is>
          <t>Physical and mental health</t>
        </is>
      </c>
      <c r="C15" s="14" t="n">
        <v>0.11</v>
      </c>
      <c r="D15" s="14" t="n">
        <v>0.1</v>
      </c>
      <c r="E15" s="14" t="n">
        <v>0.09</v>
      </c>
      <c r="F15" s="14" t="n">
        <v>0.12</v>
      </c>
      <c r="G15" s="14" t="n">
        <v>0.17</v>
      </c>
      <c r="H15" s="14" t="n">
        <v>0.1</v>
      </c>
      <c r="I15" s="14" t="n">
        <v>0.11</v>
      </c>
      <c r="J15" s="14" t="n">
        <v>0.13</v>
      </c>
      <c r="K15" s="14" t="n">
        <v>0.09</v>
      </c>
      <c r="L15" s="14" t="n">
        <v>0.11</v>
      </c>
      <c r="M15" s="14" t="n">
        <v>0.11</v>
      </c>
      <c r="N15" s="14" t="n">
        <v>0.14</v>
      </c>
      <c r="O15" s="14" t="n">
        <v>0.11</v>
      </c>
      <c r="P15" s="14" t="n">
        <v>0.08</v>
      </c>
      <c r="Q15" s="14" t="n">
        <v>0.09</v>
      </c>
      <c r="R15" s="14" t="n">
        <v>0.1</v>
      </c>
      <c r="S15" s="14" t="n">
        <v>0.11</v>
      </c>
      <c r="T15" s="14" t="n">
        <v>0.14</v>
      </c>
      <c r="U15" s="14" t="n">
        <v>0.12</v>
      </c>
      <c r="V15" s="14" t="n">
        <v>0.09</v>
      </c>
      <c r="W15" s="14" t="n">
        <v>0.17</v>
      </c>
      <c r="X15" s="14" t="n">
        <v>0.1</v>
      </c>
      <c r="Y15" s="14" t="n">
        <v>0.12</v>
      </c>
      <c r="Z15" s="14" t="n">
        <v>0.08</v>
      </c>
      <c r="AA15" s="14" t="n">
        <v>0.12</v>
      </c>
      <c r="AB15" s="14" t="n">
        <v>0.09</v>
      </c>
      <c r="AC15" s="14" t="n">
        <v>0.14</v>
      </c>
      <c r="AD15" s="14" t="n">
        <v>0.08</v>
      </c>
      <c r="AE15" s="14" t="n">
        <v>0.15</v>
      </c>
      <c r="AF15" s="14" t="n">
        <v>0.12</v>
      </c>
    </row>
    <row r="16">
      <c r="A16" s="20" t="n"/>
      <c r="B16" s="11" t="inlineStr">
        <is>
          <t>La sécurité alimentaire et la qualité des aliments</t>
        </is>
      </c>
      <c r="C16" s="12" t="n">
        <v>1370</v>
      </c>
      <c r="D16" s="12" t="n">
        <v>67</v>
      </c>
      <c r="E16" s="12" t="n">
        <v>62</v>
      </c>
      <c r="F16" s="12" t="n">
        <v>82</v>
      </c>
      <c r="G16" s="12" t="n">
        <v>33</v>
      </c>
      <c r="H16" s="12" t="n">
        <v>42</v>
      </c>
      <c r="I16" s="12" t="n">
        <v>54</v>
      </c>
      <c r="J16" s="12" t="n">
        <v>11</v>
      </c>
      <c r="K16" s="12" t="n">
        <v>26</v>
      </c>
      <c r="L16" s="12" t="n">
        <v>45</v>
      </c>
      <c r="M16" s="12" t="n">
        <v>65</v>
      </c>
      <c r="N16" s="12" t="n">
        <v>30</v>
      </c>
      <c r="O16" s="12" t="n">
        <v>64</v>
      </c>
      <c r="P16" s="12" t="n">
        <v>73</v>
      </c>
      <c r="Q16" s="12" t="n">
        <v>63</v>
      </c>
      <c r="R16" s="12" t="n">
        <v>22</v>
      </c>
      <c r="S16" s="12" t="n">
        <v>31</v>
      </c>
      <c r="T16" s="12" t="n">
        <v>23</v>
      </c>
      <c r="U16" s="12" t="n">
        <v>17</v>
      </c>
      <c r="V16" s="12" t="n">
        <v>65</v>
      </c>
      <c r="W16" s="12" t="n">
        <v>11</v>
      </c>
      <c r="X16" s="12" t="n">
        <v>38</v>
      </c>
      <c r="Y16" s="12" t="n">
        <v>73</v>
      </c>
      <c r="Z16" s="12" t="n">
        <v>76</v>
      </c>
      <c r="AA16" s="12" t="n">
        <v>45</v>
      </c>
      <c r="AB16" s="12" t="n">
        <v>61</v>
      </c>
      <c r="AC16" s="12" t="n">
        <v>74</v>
      </c>
      <c r="AD16" s="12" t="n">
        <v>79</v>
      </c>
      <c r="AE16" s="12" t="n">
        <v>14</v>
      </c>
      <c r="AF16" s="12" t="n">
        <v>36</v>
      </c>
    </row>
    <row r="17">
      <c r="A17" s="20" t="n"/>
      <c r="B17" s="13" t="inlineStr">
        <is>
          <t>Food safety and quality</t>
        </is>
      </c>
      <c r="C17" s="14" t="n">
        <v>0.05</v>
      </c>
      <c r="D17" s="14" t="n">
        <v>0.07000000000000001</v>
      </c>
      <c r="E17" s="14" t="n">
        <v>0.06</v>
      </c>
      <c r="F17" s="14" t="n">
        <v>0.08</v>
      </c>
      <c r="G17" s="14" t="n">
        <v>0.03</v>
      </c>
      <c r="H17" s="14" t="n">
        <v>0.03</v>
      </c>
      <c r="I17" s="14" t="n">
        <v>0.04</v>
      </c>
      <c r="J17" s="14" t="n">
        <v>0.04</v>
      </c>
      <c r="K17" s="14" t="n">
        <v>0.03</v>
      </c>
      <c r="L17" s="14" t="n">
        <v>0.04</v>
      </c>
      <c r="M17" s="14" t="n">
        <v>0.06</v>
      </c>
      <c r="N17" s="14" t="n">
        <v>0.03</v>
      </c>
      <c r="O17" s="14" t="n">
        <v>0.06</v>
      </c>
      <c r="P17" s="14" t="n">
        <v>0.07000000000000001</v>
      </c>
      <c r="Q17" s="14" t="n">
        <v>0.06</v>
      </c>
      <c r="R17" s="14" t="n">
        <v>0.04</v>
      </c>
      <c r="S17" s="14" t="n">
        <v>0.03</v>
      </c>
      <c r="T17" s="14" t="n">
        <v>0.02</v>
      </c>
      <c r="U17" s="14" t="n">
        <v>0.03</v>
      </c>
      <c r="V17" s="14" t="n">
        <v>0.06</v>
      </c>
      <c r="W17" s="14" t="n">
        <v>0.02</v>
      </c>
      <c r="X17" s="14" t="n">
        <v>0.04</v>
      </c>
      <c r="Y17" s="14" t="n">
        <v>0.07000000000000001</v>
      </c>
      <c r="Z17" s="14" t="n">
        <v>0.07000000000000001</v>
      </c>
      <c r="AA17" s="14" t="n">
        <v>0.04</v>
      </c>
      <c r="AB17" s="14" t="n">
        <v>0.06</v>
      </c>
      <c r="AC17" s="14" t="n">
        <v>0.07000000000000001</v>
      </c>
      <c r="AD17" s="14" t="n">
        <v>0.08</v>
      </c>
      <c r="AE17" s="14" t="n">
        <v>0.02</v>
      </c>
      <c r="AF17" s="14" t="n">
        <v>0.04</v>
      </c>
    </row>
    <row r="18">
      <c r="A18" s="20" t="n"/>
      <c r="B18" s="11" t="inlineStr">
        <is>
          <t>Le coût et la qualité du logement</t>
        </is>
      </c>
      <c r="C18" s="12" t="n">
        <v>1750</v>
      </c>
      <c r="D18" s="12" t="n">
        <v>83</v>
      </c>
      <c r="E18" s="12" t="n">
        <v>20</v>
      </c>
      <c r="F18" s="12" t="n">
        <v>106</v>
      </c>
      <c r="G18" s="12" t="n">
        <v>31</v>
      </c>
      <c r="H18" s="12" t="n">
        <v>68</v>
      </c>
      <c r="I18" s="12" t="n">
        <v>89</v>
      </c>
      <c r="J18" s="12" t="n">
        <v>21</v>
      </c>
      <c r="K18" s="12" t="n">
        <v>62</v>
      </c>
      <c r="L18" s="12" t="n">
        <v>149</v>
      </c>
      <c r="M18" s="12" t="n">
        <v>60</v>
      </c>
      <c r="N18" s="12" t="n">
        <v>95</v>
      </c>
      <c r="O18" s="12" t="n">
        <v>74</v>
      </c>
      <c r="P18" s="12" t="n">
        <v>65</v>
      </c>
      <c r="Q18" s="12" t="n">
        <v>38</v>
      </c>
      <c r="R18" s="12" t="n">
        <v>76</v>
      </c>
      <c r="S18" s="12" t="n">
        <v>41</v>
      </c>
      <c r="T18" s="12" t="n">
        <v>66</v>
      </c>
      <c r="U18" s="12" t="n">
        <v>78</v>
      </c>
      <c r="V18" s="12" t="n">
        <v>75</v>
      </c>
      <c r="W18" s="12" t="n">
        <v>46</v>
      </c>
      <c r="X18" s="12" t="n">
        <v>127</v>
      </c>
      <c r="Y18" s="12" t="n">
        <v>52</v>
      </c>
      <c r="Z18" s="12" t="n">
        <v>64</v>
      </c>
      <c r="AA18" s="12" t="n">
        <v>40</v>
      </c>
      <c r="AB18" s="12" t="n">
        <v>51</v>
      </c>
      <c r="AC18" s="12" t="n">
        <v>70</v>
      </c>
      <c r="AD18" s="12" t="n">
        <v>66</v>
      </c>
      <c r="AE18" s="12" t="n">
        <v>74</v>
      </c>
      <c r="AF18" s="12" t="n">
        <v>46</v>
      </c>
    </row>
    <row r="19">
      <c r="A19" s="20" t="n"/>
      <c r="B19" s="13" t="inlineStr">
        <is>
          <t>Affordability and quality of housing</t>
        </is>
      </c>
      <c r="C19" s="14" t="n">
        <v>0.07000000000000001</v>
      </c>
      <c r="D19" s="14" t="n">
        <v>0.08</v>
      </c>
      <c r="E19" s="14" t="n">
        <v>0.02</v>
      </c>
      <c r="F19" s="14" t="n">
        <v>0.1</v>
      </c>
      <c r="G19" s="14" t="n">
        <v>0.03</v>
      </c>
      <c r="H19" s="14" t="n">
        <v>0.06</v>
      </c>
      <c r="I19" s="14" t="n">
        <v>0.06</v>
      </c>
      <c r="J19" s="14" t="n">
        <v>0.07000000000000001</v>
      </c>
      <c r="K19" s="14" t="n">
        <v>0.06</v>
      </c>
      <c r="L19" s="14" t="n">
        <v>0.15</v>
      </c>
      <c r="M19" s="14" t="n">
        <v>0.06</v>
      </c>
      <c r="N19" s="14" t="n">
        <v>0.09</v>
      </c>
      <c r="O19" s="14" t="n">
        <v>0.07000000000000001</v>
      </c>
      <c r="P19" s="14" t="n">
        <v>0.06</v>
      </c>
      <c r="Q19" s="14" t="n">
        <v>0.04</v>
      </c>
      <c r="R19" s="14" t="n">
        <v>0.15</v>
      </c>
      <c r="S19" s="14" t="n">
        <v>0.04</v>
      </c>
      <c r="T19" s="14" t="n">
        <v>0.07000000000000001</v>
      </c>
      <c r="U19" s="14" t="n">
        <v>0.15</v>
      </c>
      <c r="V19" s="14" t="n">
        <v>0.07000000000000001</v>
      </c>
      <c r="W19" s="14" t="n">
        <v>0.09</v>
      </c>
      <c r="X19" s="14" t="n">
        <v>0.12</v>
      </c>
      <c r="Y19" s="14" t="n">
        <v>0.05</v>
      </c>
      <c r="Z19" s="14" t="n">
        <v>0.06</v>
      </c>
      <c r="AA19" s="14" t="n">
        <v>0.04</v>
      </c>
      <c r="AB19" s="14" t="n">
        <v>0.05</v>
      </c>
      <c r="AC19" s="14" t="n">
        <v>0.07000000000000001</v>
      </c>
      <c r="AD19" s="14" t="n">
        <v>0.07000000000000001</v>
      </c>
      <c r="AE19" s="14" t="n">
        <v>0.07000000000000001</v>
      </c>
      <c r="AF19" s="14" t="n">
        <v>0.04</v>
      </c>
    </row>
    <row r="20">
      <c r="A20" s="20" t="n"/>
      <c r="B20" s="11" t="inlineStr">
        <is>
          <t>La qualité de l’environnement (air, eau, etc.)</t>
        </is>
      </c>
      <c r="C20" s="12" t="n">
        <v>1250</v>
      </c>
      <c r="D20" s="12" t="n">
        <v>63</v>
      </c>
      <c r="E20" s="12" t="n">
        <v>40</v>
      </c>
      <c r="F20" s="12" t="n">
        <v>52</v>
      </c>
      <c r="G20" s="12" t="n">
        <v>81</v>
      </c>
      <c r="H20" s="12" t="n">
        <v>53</v>
      </c>
      <c r="I20" s="12" t="n">
        <v>63</v>
      </c>
      <c r="J20" s="12" t="n">
        <v>10</v>
      </c>
      <c r="K20" s="12" t="n">
        <v>27</v>
      </c>
      <c r="L20" s="12" t="n">
        <v>35</v>
      </c>
      <c r="M20" s="12" t="n">
        <v>34</v>
      </c>
      <c r="N20" s="12" t="n">
        <v>23</v>
      </c>
      <c r="O20" s="12" t="n">
        <v>49</v>
      </c>
      <c r="P20" s="12" t="n">
        <v>25</v>
      </c>
      <c r="Q20" s="12" t="n">
        <v>81</v>
      </c>
      <c r="R20" s="12" t="n">
        <v>19</v>
      </c>
      <c r="S20" s="12" t="n">
        <v>18</v>
      </c>
      <c r="T20" s="12" t="n">
        <v>13</v>
      </c>
      <c r="U20" s="12" t="n">
        <v>28</v>
      </c>
      <c r="V20" s="12" t="n">
        <v>37</v>
      </c>
      <c r="W20" s="12" t="n">
        <v>32</v>
      </c>
      <c r="X20" s="12" t="n">
        <v>95</v>
      </c>
      <c r="Y20" s="12" t="n">
        <v>64</v>
      </c>
      <c r="Z20" s="12" t="n">
        <v>41</v>
      </c>
      <c r="AA20" s="12" t="n">
        <v>16</v>
      </c>
      <c r="AB20" s="12" t="n">
        <v>38</v>
      </c>
      <c r="AC20" s="12" t="n">
        <v>51</v>
      </c>
      <c r="AD20" s="12" t="n">
        <v>32</v>
      </c>
      <c r="AE20" s="12" t="n">
        <v>33</v>
      </c>
      <c r="AF20" s="12" t="n">
        <v>46</v>
      </c>
    </row>
    <row r="21">
      <c r="A21" s="20" t="n"/>
      <c r="B21" s="13" t="inlineStr">
        <is>
          <t>Quality of the environment (air, water, etc.)</t>
        </is>
      </c>
      <c r="C21" s="14" t="n">
        <v>0.05</v>
      </c>
      <c r="D21" s="14" t="n">
        <v>0.06</v>
      </c>
      <c r="E21" s="14" t="n">
        <v>0.04</v>
      </c>
      <c r="F21" s="14" t="n">
        <v>0.05</v>
      </c>
      <c r="G21" s="14" t="n">
        <v>0.08</v>
      </c>
      <c r="H21" s="14" t="n">
        <v>0.04</v>
      </c>
      <c r="I21" s="14" t="n">
        <v>0.04</v>
      </c>
      <c r="J21" s="14" t="n">
        <v>0.03</v>
      </c>
      <c r="K21" s="14" t="n">
        <v>0.03</v>
      </c>
      <c r="L21" s="14" t="n">
        <v>0.04</v>
      </c>
      <c r="M21" s="14" t="n">
        <v>0.03</v>
      </c>
      <c r="N21" s="14" t="n">
        <v>0.02</v>
      </c>
      <c r="O21" s="14" t="n">
        <v>0.05</v>
      </c>
      <c r="P21" s="14" t="n">
        <v>0.03</v>
      </c>
      <c r="Q21" s="14" t="n">
        <v>0.08</v>
      </c>
      <c r="R21" s="14" t="n">
        <v>0.04</v>
      </c>
      <c r="S21" s="14" t="n">
        <v>0.02</v>
      </c>
      <c r="T21" s="14" t="n">
        <v>0.01</v>
      </c>
      <c r="U21" s="14" t="n">
        <v>0.06</v>
      </c>
      <c r="V21" s="14" t="n">
        <v>0.04</v>
      </c>
      <c r="W21" s="14" t="n">
        <v>0.06</v>
      </c>
      <c r="X21" s="14" t="n">
        <v>0.09</v>
      </c>
      <c r="Y21" s="14" t="n">
        <v>0.06</v>
      </c>
      <c r="Z21" s="14" t="n">
        <v>0.04</v>
      </c>
      <c r="AA21" s="14" t="n">
        <v>0.02</v>
      </c>
      <c r="AB21" s="14" t="n">
        <v>0.03</v>
      </c>
      <c r="AC21" s="14" t="n">
        <v>0.05</v>
      </c>
      <c r="AD21" s="14" t="n">
        <v>0.03</v>
      </c>
      <c r="AE21" s="14" t="n">
        <v>0.03</v>
      </c>
      <c r="AF21" s="14" t="n">
        <v>0.04</v>
      </c>
    </row>
    <row r="22">
      <c r="A22" s="20" t="n"/>
      <c r="B22" s="11" t="inlineStr">
        <is>
          <t>Les droits civiques et les libertés (liberté d’expression, droits politiques, etc.)</t>
        </is>
      </c>
      <c r="C22" s="12" t="n">
        <v>898</v>
      </c>
      <c r="D22" s="12" t="n">
        <v>30</v>
      </c>
      <c r="E22" s="12" t="n">
        <v>27</v>
      </c>
      <c r="F22" s="12" t="n">
        <v>23</v>
      </c>
      <c r="G22" s="12" t="n">
        <v>31</v>
      </c>
      <c r="H22" s="12" t="n">
        <v>67</v>
      </c>
      <c r="I22" s="12" t="n">
        <v>76</v>
      </c>
      <c r="J22" s="12" t="n">
        <v>9</v>
      </c>
      <c r="K22" s="12" t="n">
        <v>25</v>
      </c>
      <c r="L22" s="12" t="n">
        <v>16</v>
      </c>
      <c r="M22" s="12" t="n">
        <v>19</v>
      </c>
      <c r="N22" s="12" t="n">
        <v>30</v>
      </c>
      <c r="O22" s="12" t="n">
        <v>17</v>
      </c>
      <c r="P22" s="12" t="n">
        <v>33</v>
      </c>
      <c r="Q22" s="12" t="n">
        <v>42</v>
      </c>
      <c r="R22" s="12" t="n">
        <v>15</v>
      </c>
      <c r="S22" s="12" t="n">
        <v>16</v>
      </c>
      <c r="T22" s="12" t="n">
        <v>22</v>
      </c>
      <c r="U22" s="12" t="n">
        <v>16</v>
      </c>
      <c r="V22" s="12" t="n">
        <v>35</v>
      </c>
      <c r="W22" s="12" t="n">
        <v>5</v>
      </c>
      <c r="X22" s="12" t="n">
        <v>34</v>
      </c>
      <c r="Y22" s="12" t="n">
        <v>29</v>
      </c>
      <c r="Z22" s="12" t="n">
        <v>38</v>
      </c>
      <c r="AA22" s="12" t="n">
        <v>18</v>
      </c>
      <c r="AB22" s="12" t="n">
        <v>61</v>
      </c>
      <c r="AC22" s="12" t="n">
        <v>25</v>
      </c>
      <c r="AD22" s="12" t="n">
        <v>32</v>
      </c>
      <c r="AE22" s="12" t="n">
        <v>14</v>
      </c>
      <c r="AF22" s="12" t="n">
        <v>36</v>
      </c>
    </row>
    <row r="23">
      <c r="A23" s="20" t="n"/>
      <c r="B23" s="13" t="inlineStr">
        <is>
          <t>Civil rights and freedoms (freedom of speech, political rights, etc.)</t>
        </is>
      </c>
      <c r="C23" s="14" t="n">
        <v>0.03</v>
      </c>
      <c r="D23" s="14" t="n">
        <v>0.03</v>
      </c>
      <c r="E23" s="14" t="n">
        <v>0.03</v>
      </c>
      <c r="F23" s="14" t="n">
        <v>0.02</v>
      </c>
      <c r="G23" s="14" t="n">
        <v>0.03</v>
      </c>
      <c r="H23" s="14" t="n">
        <v>0.05</v>
      </c>
      <c r="I23" s="14" t="n">
        <v>0.05</v>
      </c>
      <c r="J23" s="14" t="n">
        <v>0.03</v>
      </c>
      <c r="K23" s="14" t="n">
        <v>0.03</v>
      </c>
      <c r="L23" s="14" t="n">
        <v>0.02</v>
      </c>
      <c r="M23" s="14" t="n">
        <v>0.02</v>
      </c>
      <c r="N23" s="14" t="n">
        <v>0.03</v>
      </c>
      <c r="O23" s="14" t="n">
        <v>0.02</v>
      </c>
      <c r="P23" s="14" t="n">
        <v>0.03</v>
      </c>
      <c r="Q23" s="14" t="n">
        <v>0.04</v>
      </c>
      <c r="R23" s="14" t="n">
        <v>0.03</v>
      </c>
      <c r="S23" s="14" t="n">
        <v>0.02</v>
      </c>
      <c r="T23" s="14" t="n">
        <v>0.02</v>
      </c>
      <c r="U23" s="14" t="n">
        <v>0.03</v>
      </c>
      <c r="V23" s="14" t="n">
        <v>0.03</v>
      </c>
      <c r="W23" s="14" t="n">
        <v>0.01</v>
      </c>
      <c r="X23" s="14" t="n">
        <v>0.03</v>
      </c>
      <c r="Y23" s="14" t="n">
        <v>0.03</v>
      </c>
      <c r="Z23" s="14" t="n">
        <v>0.04</v>
      </c>
      <c r="AA23" s="14" t="n">
        <v>0.02</v>
      </c>
      <c r="AB23" s="14" t="n">
        <v>0.06</v>
      </c>
      <c r="AC23" s="14" t="n">
        <v>0.03</v>
      </c>
      <c r="AD23" s="14" t="n">
        <v>0.03</v>
      </c>
      <c r="AE23" s="14" t="n">
        <v>0.01</v>
      </c>
      <c r="AF23" s="14" t="n">
        <v>0.03</v>
      </c>
    </row>
    <row r="24">
      <c r="A24" s="20" t="n"/>
      <c r="B24" s="11" t="inlineStr">
        <is>
          <t>La situation financière et la capacité à couvrir les dépenses du quotidien</t>
        </is>
      </c>
      <c r="C24" s="12" t="n">
        <v>4513</v>
      </c>
      <c r="D24" s="12" t="n">
        <v>205</v>
      </c>
      <c r="E24" s="12" t="n">
        <v>343</v>
      </c>
      <c r="F24" s="12" t="n">
        <v>167</v>
      </c>
      <c r="G24" s="12" t="n">
        <v>114</v>
      </c>
      <c r="H24" s="12" t="n">
        <v>214</v>
      </c>
      <c r="I24" s="12" t="n">
        <v>274</v>
      </c>
      <c r="J24" s="12" t="n">
        <v>60</v>
      </c>
      <c r="K24" s="12" t="n">
        <v>218</v>
      </c>
      <c r="L24" s="12" t="n">
        <v>184</v>
      </c>
      <c r="M24" s="12" t="n">
        <v>238</v>
      </c>
      <c r="N24" s="12" t="n">
        <v>136</v>
      </c>
      <c r="O24" s="12" t="n">
        <v>184</v>
      </c>
      <c r="P24" s="12" t="n">
        <v>247</v>
      </c>
      <c r="Q24" s="12" t="n">
        <v>132</v>
      </c>
      <c r="R24" s="12" t="n">
        <v>88</v>
      </c>
      <c r="S24" s="12" t="n">
        <v>252</v>
      </c>
      <c r="T24" s="12" t="n">
        <v>178</v>
      </c>
      <c r="U24" s="12" t="n">
        <v>71</v>
      </c>
      <c r="V24" s="12" t="n">
        <v>200</v>
      </c>
      <c r="W24" s="12" t="n">
        <v>55</v>
      </c>
      <c r="X24" s="12" t="n">
        <v>157</v>
      </c>
      <c r="Y24" s="12" t="n">
        <v>149</v>
      </c>
      <c r="Z24" s="12" t="n">
        <v>178</v>
      </c>
      <c r="AA24" s="12" t="n">
        <v>218</v>
      </c>
      <c r="AB24" s="12" t="n">
        <v>181</v>
      </c>
      <c r="AC24" s="12" t="n">
        <v>165</v>
      </c>
      <c r="AD24" s="12" t="n">
        <v>212</v>
      </c>
      <c r="AE24" s="12" t="n">
        <v>214</v>
      </c>
      <c r="AF24" s="12" t="n">
        <v>147</v>
      </c>
    </row>
    <row r="25">
      <c r="A25" s="20" t="n"/>
      <c r="B25" s="13" t="inlineStr">
        <is>
          <t>Financial situation and ability to afford daily life</t>
        </is>
      </c>
      <c r="C25" s="14" t="n">
        <v>0.17</v>
      </c>
      <c r="D25" s="14" t="n">
        <v>0.2</v>
      </c>
      <c r="E25" s="14" t="n">
        <v>0.34</v>
      </c>
      <c r="F25" s="14" t="n">
        <v>0.16</v>
      </c>
      <c r="G25" s="14" t="n">
        <v>0.11</v>
      </c>
      <c r="H25" s="14" t="n">
        <v>0.18</v>
      </c>
      <c r="I25" s="14" t="n">
        <v>0.18</v>
      </c>
      <c r="J25" s="14" t="n">
        <v>0.2</v>
      </c>
      <c r="K25" s="14" t="n">
        <v>0.22</v>
      </c>
      <c r="L25" s="14" t="n">
        <v>0.18</v>
      </c>
      <c r="M25" s="14" t="n">
        <v>0.24</v>
      </c>
      <c r="N25" s="14" t="n">
        <v>0.14</v>
      </c>
      <c r="O25" s="14" t="n">
        <v>0.18</v>
      </c>
      <c r="P25" s="14" t="n">
        <v>0.25</v>
      </c>
      <c r="Q25" s="14" t="n">
        <v>0.13</v>
      </c>
      <c r="R25" s="14" t="n">
        <v>0.17</v>
      </c>
      <c r="S25" s="14" t="n">
        <v>0.25</v>
      </c>
      <c r="T25" s="14" t="n">
        <v>0.18</v>
      </c>
      <c r="U25" s="14" t="n">
        <v>0.14</v>
      </c>
      <c r="V25" s="14" t="n">
        <v>0.2</v>
      </c>
      <c r="W25" s="14" t="n">
        <v>0.11</v>
      </c>
      <c r="X25" s="14" t="n">
        <v>0.15</v>
      </c>
      <c r="Y25" s="14" t="n">
        <v>0.15</v>
      </c>
      <c r="Z25" s="14" t="n">
        <v>0.17</v>
      </c>
      <c r="AA25" s="14" t="n">
        <v>0.21</v>
      </c>
      <c r="AB25" s="14" t="n">
        <v>0.17</v>
      </c>
      <c r="AC25" s="14" t="n">
        <v>0.16</v>
      </c>
      <c r="AD25" s="14" t="n">
        <v>0.21</v>
      </c>
      <c r="AE25" s="14" t="n">
        <v>0.21</v>
      </c>
      <c r="AF25" s="14" t="n">
        <v>0.14</v>
      </c>
    </row>
    <row r="26">
      <c r="A26" s="20" t="n"/>
      <c r="B26" s="11" t="inlineStr">
        <is>
          <t>La qualité et l’accessibilité des soins de santé</t>
        </is>
      </c>
      <c r="C26" s="12" t="n">
        <v>2642</v>
      </c>
      <c r="D26" s="12" t="n">
        <v>81</v>
      </c>
      <c r="E26" s="12" t="n">
        <v>82</v>
      </c>
      <c r="F26" s="12" t="n">
        <v>108</v>
      </c>
      <c r="G26" s="12" t="n">
        <v>87</v>
      </c>
      <c r="H26" s="12" t="n">
        <v>109</v>
      </c>
      <c r="I26" s="12" t="n">
        <v>143</v>
      </c>
      <c r="J26" s="12" t="n">
        <v>33</v>
      </c>
      <c r="K26" s="12" t="n">
        <v>116</v>
      </c>
      <c r="L26" s="12" t="n">
        <v>83</v>
      </c>
      <c r="M26" s="12" t="n">
        <v>134</v>
      </c>
      <c r="N26" s="12" t="n">
        <v>117</v>
      </c>
      <c r="O26" s="12" t="n">
        <v>101</v>
      </c>
      <c r="P26" s="12" t="n">
        <v>104</v>
      </c>
      <c r="Q26" s="12" t="n">
        <v>63</v>
      </c>
      <c r="R26" s="12" t="n">
        <v>36</v>
      </c>
      <c r="S26" s="12" t="n">
        <v>206</v>
      </c>
      <c r="T26" s="12" t="n">
        <v>205</v>
      </c>
      <c r="U26" s="12" t="n">
        <v>28</v>
      </c>
      <c r="V26" s="12" t="n">
        <v>160</v>
      </c>
      <c r="W26" s="12" t="n">
        <v>40</v>
      </c>
      <c r="X26" s="12" t="n">
        <v>82</v>
      </c>
      <c r="Y26" s="12" t="n">
        <v>65</v>
      </c>
      <c r="Z26" s="12" t="n">
        <v>130</v>
      </c>
      <c r="AA26" s="12" t="n">
        <v>129</v>
      </c>
      <c r="AB26" s="12" t="n">
        <v>70</v>
      </c>
      <c r="AC26" s="12" t="n">
        <v>138</v>
      </c>
      <c r="AD26" s="12" t="n">
        <v>126</v>
      </c>
      <c r="AE26" s="12" t="n">
        <v>153</v>
      </c>
      <c r="AF26" s="12" t="n">
        <v>177</v>
      </c>
    </row>
    <row r="27">
      <c r="A27" s="20" t="n"/>
      <c r="B27" s="13" t="inlineStr">
        <is>
          <t>Quality and accessibility of healthcare</t>
        </is>
      </c>
      <c r="C27" s="14" t="n">
        <v>0.1</v>
      </c>
      <c r="D27" s="14" t="n">
        <v>0.08</v>
      </c>
      <c r="E27" s="14" t="n">
        <v>0.08</v>
      </c>
      <c r="F27" s="14" t="n">
        <v>0.1</v>
      </c>
      <c r="G27" s="14" t="n">
        <v>0.09</v>
      </c>
      <c r="H27" s="14" t="n">
        <v>0.09</v>
      </c>
      <c r="I27" s="14" t="n">
        <v>0.09</v>
      </c>
      <c r="J27" s="14" t="n">
        <v>0.11</v>
      </c>
      <c r="K27" s="14" t="n">
        <v>0.11</v>
      </c>
      <c r="L27" s="14" t="n">
        <v>0.08</v>
      </c>
      <c r="M27" s="14" t="n">
        <v>0.13</v>
      </c>
      <c r="N27" s="14" t="n">
        <v>0.12</v>
      </c>
      <c r="O27" s="14" t="n">
        <v>0.1</v>
      </c>
      <c r="P27" s="14" t="n">
        <v>0.1</v>
      </c>
      <c r="Q27" s="14" t="n">
        <v>0.06</v>
      </c>
      <c r="R27" s="14" t="n">
        <v>0.07000000000000001</v>
      </c>
      <c r="S27" s="14" t="n">
        <v>0.21</v>
      </c>
      <c r="T27" s="14" t="n">
        <v>0.2</v>
      </c>
      <c r="U27" s="14" t="n">
        <v>0.06</v>
      </c>
      <c r="V27" s="14" t="n">
        <v>0.16</v>
      </c>
      <c r="W27" s="14" t="n">
        <v>0.08</v>
      </c>
      <c r="X27" s="14" t="n">
        <v>0.08</v>
      </c>
      <c r="Y27" s="14" t="n">
        <v>0.07000000000000001</v>
      </c>
      <c r="Z27" s="14" t="n">
        <v>0.13</v>
      </c>
      <c r="AA27" s="14" t="n">
        <v>0.12</v>
      </c>
      <c r="AB27" s="14" t="n">
        <v>0.07000000000000001</v>
      </c>
      <c r="AC27" s="14" t="n">
        <v>0.14</v>
      </c>
      <c r="AD27" s="14" t="n">
        <v>0.13</v>
      </c>
      <c r="AE27" s="14" t="n">
        <v>0.15</v>
      </c>
      <c r="AF27" s="14" t="n">
        <v>0.17</v>
      </c>
    </row>
    <row r="28">
      <c r="A28" s="20" t="n"/>
      <c r="B28" s="11" t="inlineStr">
        <is>
          <t>La qualité des transports et la facilité de déplacement</t>
        </is>
      </c>
      <c r="C28" s="12" t="n">
        <v>742</v>
      </c>
      <c r="D28" s="12" t="n">
        <v>38</v>
      </c>
      <c r="E28" s="12" t="n">
        <v>20</v>
      </c>
      <c r="F28" s="12" t="n">
        <v>21</v>
      </c>
      <c r="G28" s="12" t="n">
        <v>33</v>
      </c>
      <c r="H28" s="12" t="n">
        <v>44</v>
      </c>
      <c r="I28" s="12" t="n">
        <v>51</v>
      </c>
      <c r="J28" s="12" t="n">
        <v>7</v>
      </c>
      <c r="K28" s="12" t="n">
        <v>17</v>
      </c>
      <c r="L28" s="12" t="n">
        <v>23</v>
      </c>
      <c r="M28" s="12" t="n">
        <v>14</v>
      </c>
      <c r="N28" s="12" t="n">
        <v>19</v>
      </c>
      <c r="O28" s="12" t="n">
        <v>36</v>
      </c>
      <c r="P28" s="12" t="n">
        <v>23</v>
      </c>
      <c r="Q28" s="12" t="n">
        <v>22</v>
      </c>
      <c r="R28" s="12" t="n">
        <v>11</v>
      </c>
      <c r="S28" s="12" t="n">
        <v>12</v>
      </c>
      <c r="T28" s="12" t="n">
        <v>19</v>
      </c>
      <c r="U28" s="12" t="n">
        <v>8</v>
      </c>
      <c r="V28" s="12" t="n">
        <v>20</v>
      </c>
      <c r="W28" s="12" t="n">
        <v>30</v>
      </c>
      <c r="X28" s="12" t="n">
        <v>26</v>
      </c>
      <c r="Y28" s="12" t="n">
        <v>44</v>
      </c>
      <c r="Z28" s="12" t="n">
        <v>37</v>
      </c>
      <c r="AA28" s="12" t="n">
        <v>11</v>
      </c>
      <c r="AB28" s="12" t="n">
        <v>36</v>
      </c>
      <c r="AC28" s="12" t="n">
        <v>21</v>
      </c>
      <c r="AD28" s="12" t="n">
        <v>22</v>
      </c>
      <c r="AE28" s="12" t="n">
        <v>20</v>
      </c>
      <c r="AF28" s="12" t="n">
        <v>29</v>
      </c>
    </row>
    <row r="29">
      <c r="A29" s="20" t="n"/>
      <c r="B29" s="13" t="inlineStr">
        <is>
          <t>Quality of transport and ease of getting around</t>
        </is>
      </c>
      <c r="C29" s="14" t="n">
        <v>0.03</v>
      </c>
      <c r="D29" s="14" t="n">
        <v>0.04</v>
      </c>
      <c r="E29" s="14" t="n">
        <v>0.02</v>
      </c>
      <c r="F29" s="14" t="n">
        <v>0.02</v>
      </c>
      <c r="G29" s="14" t="n">
        <v>0.03</v>
      </c>
      <c r="H29" s="14" t="n">
        <v>0.04</v>
      </c>
      <c r="I29" s="14" t="n">
        <v>0.03</v>
      </c>
      <c r="J29" s="14" t="n">
        <v>0.02</v>
      </c>
      <c r="K29" s="14" t="n">
        <v>0.02</v>
      </c>
      <c r="L29" s="14" t="n">
        <v>0.02</v>
      </c>
      <c r="M29" s="14" t="n">
        <v>0.01</v>
      </c>
      <c r="N29" s="14" t="n">
        <v>0.02</v>
      </c>
      <c r="O29" s="14" t="n">
        <v>0.04</v>
      </c>
      <c r="P29" s="14" t="n">
        <v>0.02</v>
      </c>
      <c r="Q29" s="14" t="n">
        <v>0.02</v>
      </c>
      <c r="R29" s="14" t="n">
        <v>0.02</v>
      </c>
      <c r="S29" s="14" t="n">
        <v>0.01</v>
      </c>
      <c r="T29" s="14" t="n">
        <v>0.02</v>
      </c>
      <c r="U29" s="14" t="n">
        <v>0.02</v>
      </c>
      <c r="V29" s="14" t="n">
        <v>0.02</v>
      </c>
      <c r="W29" s="14" t="n">
        <v>0.06</v>
      </c>
      <c r="X29" s="14" t="n">
        <v>0.03</v>
      </c>
      <c r="Y29" s="14" t="n">
        <v>0.04</v>
      </c>
      <c r="Z29" s="14" t="n">
        <v>0.04</v>
      </c>
      <c r="AA29" s="14" t="n">
        <v>0.01</v>
      </c>
      <c r="AB29" s="14" t="n">
        <v>0.03</v>
      </c>
      <c r="AC29" s="14" t="n">
        <v>0.02</v>
      </c>
      <c r="AD29" s="14" t="n">
        <v>0.02</v>
      </c>
      <c r="AE29" s="14" t="n">
        <v>0.02</v>
      </c>
      <c r="AF29" s="14" t="n">
        <v>0.03</v>
      </c>
    </row>
    <row r="30">
      <c r="A30" s="20" t="n"/>
      <c r="B30" s="11" t="inlineStr">
        <is>
          <t>La sécurité publique et personnelle</t>
        </is>
      </c>
      <c r="C30" s="12" t="n">
        <v>1723</v>
      </c>
      <c r="D30" s="12" t="n">
        <v>58</v>
      </c>
      <c r="E30" s="12" t="n">
        <v>36</v>
      </c>
      <c r="F30" s="12" t="n">
        <v>51</v>
      </c>
      <c r="G30" s="12" t="n">
        <v>42</v>
      </c>
      <c r="H30" s="12" t="n">
        <v>105</v>
      </c>
      <c r="I30" s="12" t="n">
        <v>124</v>
      </c>
      <c r="J30" s="12" t="n">
        <v>19</v>
      </c>
      <c r="K30" s="12" t="n">
        <v>58</v>
      </c>
      <c r="L30" s="12" t="n">
        <v>51</v>
      </c>
      <c r="M30" s="12" t="n">
        <v>48</v>
      </c>
      <c r="N30" s="12" t="n">
        <v>49</v>
      </c>
      <c r="O30" s="12" t="n">
        <v>41</v>
      </c>
      <c r="P30" s="12" t="n">
        <v>54</v>
      </c>
      <c r="Q30" s="12" t="n">
        <v>115</v>
      </c>
      <c r="R30" s="12" t="n">
        <v>39</v>
      </c>
      <c r="S30" s="12" t="n">
        <v>71</v>
      </c>
      <c r="T30" s="12" t="n">
        <v>66</v>
      </c>
      <c r="U30" s="12" t="n">
        <v>40</v>
      </c>
      <c r="V30" s="12" t="n">
        <v>44</v>
      </c>
      <c r="W30" s="12" t="n">
        <v>23</v>
      </c>
      <c r="X30" s="12" t="n">
        <v>55</v>
      </c>
      <c r="Y30" s="12" t="n">
        <v>67</v>
      </c>
      <c r="Z30" s="12" t="n">
        <v>82</v>
      </c>
      <c r="AA30" s="12" t="n">
        <v>35</v>
      </c>
      <c r="AB30" s="12" t="n">
        <v>49</v>
      </c>
      <c r="AC30" s="12" t="n">
        <v>51</v>
      </c>
      <c r="AD30" s="12" t="n">
        <v>34</v>
      </c>
      <c r="AE30" s="12" t="n">
        <v>61</v>
      </c>
      <c r="AF30" s="12" t="n">
        <v>56</v>
      </c>
    </row>
    <row r="31">
      <c r="A31" s="20" t="n"/>
      <c r="B31" s="13" t="inlineStr">
        <is>
          <t>Public safety and personal security</t>
        </is>
      </c>
      <c r="C31" s="14" t="n">
        <v>0.06</v>
      </c>
      <c r="D31" s="14" t="n">
        <v>0.06</v>
      </c>
      <c r="E31" s="14" t="n">
        <v>0.03</v>
      </c>
      <c r="F31" s="14" t="n">
        <v>0.05</v>
      </c>
      <c r="G31" s="14" t="n">
        <v>0.04</v>
      </c>
      <c r="H31" s="14" t="n">
        <v>0.09</v>
      </c>
      <c r="I31" s="14" t="n">
        <v>0.08</v>
      </c>
      <c r="J31" s="14" t="n">
        <v>0.07000000000000001</v>
      </c>
      <c r="K31" s="14" t="n">
        <v>0.06</v>
      </c>
      <c r="L31" s="14" t="n">
        <v>0.05</v>
      </c>
      <c r="M31" s="14" t="n">
        <v>0.05</v>
      </c>
      <c r="N31" s="14" t="n">
        <v>0.05</v>
      </c>
      <c r="O31" s="14" t="n">
        <v>0.04</v>
      </c>
      <c r="P31" s="14" t="n">
        <v>0.05</v>
      </c>
      <c r="Q31" s="14" t="n">
        <v>0.11</v>
      </c>
      <c r="R31" s="14" t="n">
        <v>0.08</v>
      </c>
      <c r="S31" s="14" t="n">
        <v>0.07000000000000001</v>
      </c>
      <c r="T31" s="14" t="n">
        <v>0.06</v>
      </c>
      <c r="U31" s="14" t="n">
        <v>0.08</v>
      </c>
      <c r="V31" s="14" t="n">
        <v>0.04</v>
      </c>
      <c r="W31" s="14" t="n">
        <v>0.05</v>
      </c>
      <c r="X31" s="14" t="n">
        <v>0.05</v>
      </c>
      <c r="Y31" s="14" t="n">
        <v>0.07000000000000001</v>
      </c>
      <c r="Z31" s="14" t="n">
        <v>0.08</v>
      </c>
      <c r="AA31" s="14" t="n">
        <v>0.03</v>
      </c>
      <c r="AB31" s="14" t="n">
        <v>0.05</v>
      </c>
      <c r="AC31" s="14" t="n">
        <v>0.05</v>
      </c>
      <c r="AD31" s="14" t="n">
        <v>0.03</v>
      </c>
      <c r="AE31" s="14" t="n">
        <v>0.06</v>
      </c>
      <c r="AF31" s="14" t="n">
        <v>0.05</v>
      </c>
    </row>
    <row r="32">
      <c r="A32" s="20" t="n"/>
      <c r="B32" s="11" t="inlineStr">
        <is>
          <t>La qualité de l’éducation et les opportunités d’apprentissage</t>
        </is>
      </c>
      <c r="C32" s="12" t="n">
        <v>924</v>
      </c>
      <c r="D32" s="12" t="n">
        <v>28</v>
      </c>
      <c r="E32" s="12" t="n">
        <v>37</v>
      </c>
      <c r="F32" s="12" t="n">
        <v>29</v>
      </c>
      <c r="G32" s="12" t="n">
        <v>25</v>
      </c>
      <c r="H32" s="12" t="n">
        <v>48</v>
      </c>
      <c r="I32" s="12" t="n">
        <v>56</v>
      </c>
      <c r="J32" s="12" t="n">
        <v>9</v>
      </c>
      <c r="K32" s="12" t="n">
        <v>54</v>
      </c>
      <c r="L32" s="12" t="n">
        <v>25</v>
      </c>
      <c r="M32" s="12" t="n">
        <v>51</v>
      </c>
      <c r="N32" s="12" t="n">
        <v>47</v>
      </c>
      <c r="O32" s="12" t="n">
        <v>22</v>
      </c>
      <c r="P32" s="12" t="n">
        <v>38</v>
      </c>
      <c r="Q32" s="12" t="n">
        <v>36</v>
      </c>
      <c r="R32" s="12" t="n">
        <v>29</v>
      </c>
      <c r="S32" s="12" t="n">
        <v>49</v>
      </c>
      <c r="T32" s="12" t="n">
        <v>46</v>
      </c>
      <c r="U32" s="12" t="n">
        <v>23</v>
      </c>
      <c r="V32" s="12" t="n">
        <v>61</v>
      </c>
      <c r="W32" s="12" t="n">
        <v>33</v>
      </c>
      <c r="X32" s="12" t="n">
        <v>21</v>
      </c>
      <c r="Y32" s="12" t="n">
        <v>35</v>
      </c>
      <c r="Z32" s="12" t="n">
        <v>28</v>
      </c>
      <c r="AA32" s="12" t="n">
        <v>41</v>
      </c>
      <c r="AB32" s="12" t="n">
        <v>60</v>
      </c>
      <c r="AC32" s="12" t="n">
        <v>21</v>
      </c>
      <c r="AD32" s="12" t="n">
        <v>37</v>
      </c>
      <c r="AE32" s="12" t="n">
        <v>16</v>
      </c>
      <c r="AF32" s="12" t="n">
        <v>31</v>
      </c>
    </row>
    <row r="33">
      <c r="A33" s="20" t="n"/>
      <c r="B33" s="13" t="inlineStr">
        <is>
          <t>Quality of education and opportunities to learn</t>
        </is>
      </c>
      <c r="C33" s="14" t="n">
        <v>0.03</v>
      </c>
      <c r="D33" s="14" t="n">
        <v>0.03</v>
      </c>
      <c r="E33" s="14" t="n">
        <v>0.04</v>
      </c>
      <c r="F33" s="14" t="n">
        <v>0.03</v>
      </c>
      <c r="G33" s="14" t="n">
        <v>0.03</v>
      </c>
      <c r="H33" s="14" t="n">
        <v>0.04</v>
      </c>
      <c r="I33" s="14" t="n">
        <v>0.04</v>
      </c>
      <c r="J33" s="14" t="n">
        <v>0.03</v>
      </c>
      <c r="K33" s="14" t="n">
        <v>0.05</v>
      </c>
      <c r="L33" s="14" t="n">
        <v>0.03</v>
      </c>
      <c r="M33" s="14" t="n">
        <v>0.05</v>
      </c>
      <c r="N33" s="14" t="n">
        <v>0.05</v>
      </c>
      <c r="O33" s="14" t="n">
        <v>0.02</v>
      </c>
      <c r="P33" s="14" t="n">
        <v>0.04</v>
      </c>
      <c r="Q33" s="14" t="n">
        <v>0.04</v>
      </c>
      <c r="R33" s="14" t="n">
        <v>0.06</v>
      </c>
      <c r="S33" s="14" t="n">
        <v>0.05</v>
      </c>
      <c r="T33" s="14" t="n">
        <v>0.05</v>
      </c>
      <c r="U33" s="14" t="n">
        <v>0.05</v>
      </c>
      <c r="V33" s="14" t="n">
        <v>0.06</v>
      </c>
      <c r="W33" s="14" t="n">
        <v>0.06</v>
      </c>
      <c r="X33" s="14" t="n">
        <v>0.02</v>
      </c>
      <c r="Y33" s="14" t="n">
        <v>0.03</v>
      </c>
      <c r="Z33" s="14" t="n">
        <v>0.03</v>
      </c>
      <c r="AA33" s="14" t="n">
        <v>0.04</v>
      </c>
      <c r="AB33" s="14" t="n">
        <v>0.06</v>
      </c>
      <c r="AC33" s="14" t="n">
        <v>0.02</v>
      </c>
      <c r="AD33" s="14" t="n">
        <v>0.04</v>
      </c>
      <c r="AE33" s="14" t="n">
        <v>0.02</v>
      </c>
      <c r="AF33" s="14" t="n">
        <v>0.03</v>
      </c>
    </row>
    <row r="34">
      <c r="A34" s="20" t="n"/>
      <c r="B34" s="11" t="inlineStr">
        <is>
          <t>L’accès à la nature et aux espaces verts</t>
        </is>
      </c>
      <c r="C34" s="12" t="n">
        <v>562</v>
      </c>
      <c r="D34" s="12" t="n">
        <v>21</v>
      </c>
      <c r="E34" s="12" t="n">
        <v>6</v>
      </c>
      <c r="F34" s="12" t="n">
        <v>21</v>
      </c>
      <c r="G34" s="12" t="n">
        <v>26</v>
      </c>
      <c r="H34" s="12" t="n">
        <v>21</v>
      </c>
      <c r="I34" s="12" t="n">
        <v>24</v>
      </c>
      <c r="J34" s="12" t="n">
        <v>3</v>
      </c>
      <c r="K34" s="12" t="n">
        <v>14</v>
      </c>
      <c r="L34" s="12" t="n">
        <v>20</v>
      </c>
      <c r="M34" s="12" t="n">
        <v>9</v>
      </c>
      <c r="N34" s="12" t="n">
        <v>15</v>
      </c>
      <c r="O34" s="12" t="n">
        <v>23</v>
      </c>
      <c r="P34" s="12" t="n">
        <v>29</v>
      </c>
      <c r="Q34" s="12" t="n">
        <v>29</v>
      </c>
      <c r="R34" s="12" t="n">
        <v>5</v>
      </c>
      <c r="S34" s="12" t="n">
        <v>6</v>
      </c>
      <c r="T34" s="12" t="n">
        <v>7</v>
      </c>
      <c r="U34" s="12" t="n">
        <v>9</v>
      </c>
      <c r="V34" s="12" t="n">
        <v>22</v>
      </c>
      <c r="W34" s="12" t="n">
        <v>24</v>
      </c>
      <c r="X34" s="12" t="n">
        <v>18</v>
      </c>
      <c r="Y34" s="12" t="n">
        <v>37</v>
      </c>
      <c r="Z34" s="12" t="n">
        <v>41</v>
      </c>
      <c r="AA34" s="12" t="n">
        <v>10</v>
      </c>
      <c r="AB34" s="12" t="n">
        <v>25</v>
      </c>
      <c r="AC34" s="12" t="n">
        <v>25</v>
      </c>
      <c r="AD34" s="12" t="n">
        <v>20</v>
      </c>
      <c r="AE34" s="12" t="n">
        <v>9</v>
      </c>
      <c r="AF34" s="12" t="n">
        <v>22</v>
      </c>
    </row>
    <row r="35">
      <c r="A35" s="20" t="n"/>
      <c r="B35" s="13" t="inlineStr">
        <is>
          <t>Access to nature and green spaces</t>
        </is>
      </c>
      <c r="C35" s="14" t="n">
        <v>0.02</v>
      </c>
      <c r="D35" s="14" t="n">
        <v>0.02</v>
      </c>
      <c r="E35" s="14" t="n">
        <v>0.01</v>
      </c>
      <c r="F35" s="14" t="n">
        <v>0.02</v>
      </c>
      <c r="G35" s="14" t="n">
        <v>0.03</v>
      </c>
      <c r="H35" s="14" t="n">
        <v>0.02</v>
      </c>
      <c r="I35" s="14" t="n">
        <v>0.02</v>
      </c>
      <c r="J35" s="14" t="n">
        <v>0.01</v>
      </c>
      <c r="K35" s="14" t="n">
        <v>0.01</v>
      </c>
      <c r="L35" s="14" t="n">
        <v>0.02</v>
      </c>
      <c r="M35" s="14" t="n">
        <v>0.01</v>
      </c>
      <c r="N35" s="14" t="n">
        <v>0.01</v>
      </c>
      <c r="O35" s="14" t="n">
        <v>0.02</v>
      </c>
      <c r="P35" s="14" t="n">
        <v>0.03</v>
      </c>
      <c r="Q35" s="14" t="n">
        <v>0.03</v>
      </c>
      <c r="R35" s="14" t="n">
        <v>0.01</v>
      </c>
      <c r="S35" s="14" t="n">
        <v>0.01</v>
      </c>
      <c r="T35" s="14" t="n">
        <v>0.01</v>
      </c>
      <c r="U35" s="14" t="n">
        <v>0.02</v>
      </c>
      <c r="V35" s="14" t="n">
        <v>0.02</v>
      </c>
      <c r="W35" s="14" t="n">
        <v>0.05</v>
      </c>
      <c r="X35" s="14" t="n">
        <v>0.02</v>
      </c>
      <c r="Y35" s="14" t="n">
        <v>0.04</v>
      </c>
      <c r="Z35" s="14" t="n">
        <v>0.04</v>
      </c>
      <c r="AA35" s="14" t="n">
        <v>0.01</v>
      </c>
      <c r="AB35" s="14" t="n">
        <v>0.02</v>
      </c>
      <c r="AC35" s="14" t="n">
        <v>0.03</v>
      </c>
      <c r="AD35" s="14" t="n">
        <v>0.02</v>
      </c>
      <c r="AE35" s="14" t="n">
        <v>0.01</v>
      </c>
      <c r="AF35" s="14" t="n">
        <v>0.02</v>
      </c>
    </row>
    <row r="36">
      <c r="A36" s="20" t="n"/>
      <c r="B36" s="11" t="inlineStr">
        <is>
          <t>L’équilibre entre vie professionnelle et vie privée</t>
        </is>
      </c>
      <c r="C36" s="12" t="n">
        <v>1592</v>
      </c>
      <c r="D36" s="12" t="n">
        <v>68</v>
      </c>
      <c r="E36" s="12" t="n">
        <v>48</v>
      </c>
      <c r="F36" s="12" t="n">
        <v>54</v>
      </c>
      <c r="G36" s="12" t="n">
        <v>124</v>
      </c>
      <c r="H36" s="12" t="n">
        <v>40</v>
      </c>
      <c r="I36" s="12" t="n">
        <v>56</v>
      </c>
      <c r="J36" s="12" t="n">
        <v>16</v>
      </c>
      <c r="K36" s="12" t="n">
        <v>60</v>
      </c>
      <c r="L36" s="12" t="n">
        <v>75</v>
      </c>
      <c r="M36" s="12" t="n">
        <v>41</v>
      </c>
      <c r="N36" s="12" t="n">
        <v>69</v>
      </c>
      <c r="O36" s="12" t="n">
        <v>67</v>
      </c>
      <c r="P36" s="12" t="n">
        <v>46</v>
      </c>
      <c r="Q36" s="12" t="n">
        <v>72</v>
      </c>
      <c r="R36" s="12" t="n">
        <v>23</v>
      </c>
      <c r="S36" s="12" t="n">
        <v>68</v>
      </c>
      <c r="T36" s="12" t="n">
        <v>58</v>
      </c>
      <c r="U36" s="12" t="n">
        <v>37</v>
      </c>
      <c r="V36" s="12" t="n">
        <v>56</v>
      </c>
      <c r="W36" s="12" t="n">
        <v>47</v>
      </c>
      <c r="X36" s="12" t="n">
        <v>69</v>
      </c>
      <c r="Y36" s="12" t="n">
        <v>44</v>
      </c>
      <c r="Z36" s="12" t="n">
        <v>54</v>
      </c>
      <c r="AA36" s="12" t="n">
        <v>109</v>
      </c>
      <c r="AB36" s="12" t="n">
        <v>42</v>
      </c>
      <c r="AC36" s="12" t="n">
        <v>69</v>
      </c>
      <c r="AD36" s="12" t="n">
        <v>68</v>
      </c>
      <c r="AE36" s="12" t="n">
        <v>81</v>
      </c>
      <c r="AF36" s="12" t="n">
        <v>112</v>
      </c>
    </row>
    <row r="37">
      <c r="A37" s="20" t="n"/>
      <c r="B37" s="13" t="inlineStr">
        <is>
          <t>Work-life balance</t>
        </is>
      </c>
      <c r="C37" s="14" t="n">
        <v>0.06</v>
      </c>
      <c r="D37" s="14" t="n">
        <v>0.07000000000000001</v>
      </c>
      <c r="E37" s="14" t="n">
        <v>0.05</v>
      </c>
      <c r="F37" s="14" t="n">
        <v>0.05</v>
      </c>
      <c r="G37" s="14" t="n">
        <v>0.12</v>
      </c>
      <c r="H37" s="14" t="n">
        <v>0.03</v>
      </c>
      <c r="I37" s="14" t="n">
        <v>0.04</v>
      </c>
      <c r="J37" s="14" t="n">
        <v>0.06</v>
      </c>
      <c r="K37" s="14" t="n">
        <v>0.06</v>
      </c>
      <c r="L37" s="14" t="n">
        <v>0.07000000000000001</v>
      </c>
      <c r="M37" s="14" t="n">
        <v>0.04</v>
      </c>
      <c r="N37" s="14" t="n">
        <v>0.07000000000000001</v>
      </c>
      <c r="O37" s="14" t="n">
        <v>0.07000000000000001</v>
      </c>
      <c r="P37" s="14" t="n">
        <v>0.05</v>
      </c>
      <c r="Q37" s="14" t="n">
        <v>0.07000000000000001</v>
      </c>
      <c r="R37" s="14" t="n">
        <v>0.05</v>
      </c>
      <c r="S37" s="14" t="n">
        <v>0.07000000000000001</v>
      </c>
      <c r="T37" s="14" t="n">
        <v>0.06</v>
      </c>
      <c r="U37" s="14" t="n">
        <v>0.07000000000000001</v>
      </c>
      <c r="V37" s="14" t="n">
        <v>0.06</v>
      </c>
      <c r="W37" s="14" t="n">
        <v>0.09</v>
      </c>
      <c r="X37" s="14" t="n">
        <v>0.07000000000000001</v>
      </c>
      <c r="Y37" s="14" t="n">
        <v>0.04</v>
      </c>
      <c r="Z37" s="14" t="n">
        <v>0.05</v>
      </c>
      <c r="AA37" s="14" t="n">
        <v>0.11</v>
      </c>
      <c r="AB37" s="14" t="n">
        <v>0.04</v>
      </c>
      <c r="AC37" s="14" t="n">
        <v>0.07000000000000001</v>
      </c>
      <c r="AD37" s="14" t="n">
        <v>0.07000000000000001</v>
      </c>
      <c r="AE37" s="14" t="n">
        <v>0.08</v>
      </c>
      <c r="AF37" s="14" t="n">
        <v>0.11</v>
      </c>
    </row>
    <row r="38">
      <c r="A38" s="20" t="n"/>
      <c r="B38" s="11" t="inlineStr">
        <is>
          <t>La sécurité de l’emploi et les conditions de travail</t>
        </is>
      </c>
      <c r="C38" s="12" t="n">
        <v>2038</v>
      </c>
      <c r="D38" s="12" t="n">
        <v>75</v>
      </c>
      <c r="E38" s="12" t="n">
        <v>76</v>
      </c>
      <c r="F38" s="12" t="n">
        <v>76</v>
      </c>
      <c r="G38" s="12" t="n">
        <v>37</v>
      </c>
      <c r="H38" s="12" t="n">
        <v>76</v>
      </c>
      <c r="I38" s="12" t="n">
        <v>94</v>
      </c>
      <c r="J38" s="12" t="n">
        <v>18</v>
      </c>
      <c r="K38" s="12" t="n">
        <v>82</v>
      </c>
      <c r="L38" s="12" t="n">
        <v>55</v>
      </c>
      <c r="M38" s="12" t="n">
        <v>100</v>
      </c>
      <c r="N38" s="12" t="n">
        <v>91</v>
      </c>
      <c r="O38" s="12" t="n">
        <v>76</v>
      </c>
      <c r="P38" s="12" t="n">
        <v>89</v>
      </c>
      <c r="Q38" s="12" t="n">
        <v>104</v>
      </c>
      <c r="R38" s="12" t="n">
        <v>22</v>
      </c>
      <c r="S38" s="12" t="n">
        <v>35</v>
      </c>
      <c r="T38" s="12" t="n">
        <v>42</v>
      </c>
      <c r="U38" s="12" t="n">
        <v>23</v>
      </c>
      <c r="V38" s="12" t="n">
        <v>69</v>
      </c>
      <c r="W38" s="12" t="n">
        <v>21</v>
      </c>
      <c r="X38" s="12" t="n">
        <v>47</v>
      </c>
      <c r="Y38" s="12" t="n">
        <v>68</v>
      </c>
      <c r="Z38" s="12" t="n">
        <v>77</v>
      </c>
      <c r="AA38" s="12" t="n">
        <v>113</v>
      </c>
      <c r="AB38" s="12" t="n">
        <v>126</v>
      </c>
      <c r="AC38" s="12" t="n">
        <v>49</v>
      </c>
      <c r="AD38" s="12" t="n">
        <v>89</v>
      </c>
      <c r="AE38" s="12" t="n">
        <v>30</v>
      </c>
      <c r="AF38" s="12" t="n">
        <v>40</v>
      </c>
    </row>
    <row r="39">
      <c r="A39" s="20" t="n"/>
      <c r="B39" s="13" t="inlineStr">
        <is>
          <t>Job security and working conditions</t>
        </is>
      </c>
      <c r="C39" s="14" t="n">
        <v>0.08</v>
      </c>
      <c r="D39" s="14" t="n">
        <v>0.07000000000000001</v>
      </c>
      <c r="E39" s="14" t="n">
        <v>0.07000000000000001</v>
      </c>
      <c r="F39" s="14" t="n">
        <v>0.07000000000000001</v>
      </c>
      <c r="G39" s="14" t="n">
        <v>0.04</v>
      </c>
      <c r="H39" s="14" t="n">
        <v>0.06</v>
      </c>
      <c r="I39" s="14" t="n">
        <v>0.06</v>
      </c>
      <c r="J39" s="14" t="n">
        <v>0.06</v>
      </c>
      <c r="K39" s="14" t="n">
        <v>0.08</v>
      </c>
      <c r="L39" s="14" t="n">
        <v>0.05</v>
      </c>
      <c r="M39" s="14" t="n">
        <v>0.1</v>
      </c>
      <c r="N39" s="14" t="n">
        <v>0.09</v>
      </c>
      <c r="O39" s="14" t="n">
        <v>0.07000000000000001</v>
      </c>
      <c r="P39" s="14" t="n">
        <v>0.09</v>
      </c>
      <c r="Q39" s="14" t="n">
        <v>0.1</v>
      </c>
      <c r="R39" s="14" t="n">
        <v>0.04</v>
      </c>
      <c r="S39" s="14" t="n">
        <v>0.03</v>
      </c>
      <c r="T39" s="14" t="n">
        <v>0.04</v>
      </c>
      <c r="U39" s="14" t="n">
        <v>0.05</v>
      </c>
      <c r="V39" s="14" t="n">
        <v>0.07000000000000001</v>
      </c>
      <c r="W39" s="14" t="n">
        <v>0.04</v>
      </c>
      <c r="X39" s="14" t="n">
        <v>0.05</v>
      </c>
      <c r="Y39" s="14" t="n">
        <v>0.07000000000000001</v>
      </c>
      <c r="Z39" s="14" t="n">
        <v>0.08</v>
      </c>
      <c r="AA39" s="14" t="n">
        <v>0.11</v>
      </c>
      <c r="AB39" s="14" t="n">
        <v>0.12</v>
      </c>
      <c r="AC39" s="14" t="n">
        <v>0.05</v>
      </c>
      <c r="AD39" s="14" t="n">
        <v>0.09</v>
      </c>
      <c r="AE39" s="14" t="n">
        <v>0.03</v>
      </c>
      <c r="AF39" s="14" t="n">
        <v>0.04</v>
      </c>
    </row>
    <row r="40">
      <c r="A40" s="20" t="n"/>
      <c r="B40" s="11" t="inlineStr">
        <is>
          <t>La vie sociale (famille, amis, autres relations, etc.)</t>
        </is>
      </c>
      <c r="C40" s="12" t="n">
        <v>1631</v>
      </c>
      <c r="D40" s="12" t="n">
        <v>50</v>
      </c>
      <c r="E40" s="12" t="n">
        <v>86</v>
      </c>
      <c r="F40" s="12" t="n">
        <v>50</v>
      </c>
      <c r="G40" s="12" t="n">
        <v>96</v>
      </c>
      <c r="H40" s="12" t="n">
        <v>91</v>
      </c>
      <c r="I40" s="12" t="n">
        <v>111</v>
      </c>
      <c r="J40" s="12" t="n">
        <v>20</v>
      </c>
      <c r="K40" s="12" t="n">
        <v>74</v>
      </c>
      <c r="L40" s="12" t="n">
        <v>72</v>
      </c>
      <c r="M40" s="12" t="n">
        <v>37</v>
      </c>
      <c r="N40" s="12" t="n">
        <v>61</v>
      </c>
      <c r="O40" s="12" t="n">
        <v>68</v>
      </c>
      <c r="P40" s="12" t="n">
        <v>63</v>
      </c>
      <c r="Q40" s="12" t="n">
        <v>61</v>
      </c>
      <c r="R40" s="12" t="n">
        <v>18</v>
      </c>
      <c r="S40" s="12" t="n">
        <v>47</v>
      </c>
      <c r="T40" s="12" t="n">
        <v>101</v>
      </c>
      <c r="U40" s="12" t="n">
        <v>36</v>
      </c>
      <c r="V40" s="12" t="n">
        <v>43</v>
      </c>
      <c r="W40" s="12" t="n">
        <v>35</v>
      </c>
      <c r="X40" s="12" t="n">
        <v>73</v>
      </c>
      <c r="Y40" s="12" t="n">
        <v>101</v>
      </c>
      <c r="Z40" s="12" t="n">
        <v>28</v>
      </c>
      <c r="AA40" s="12" t="n">
        <v>52</v>
      </c>
      <c r="AB40" s="12" t="n">
        <v>60</v>
      </c>
      <c r="AC40" s="12" t="n">
        <v>55</v>
      </c>
      <c r="AD40" s="12" t="n">
        <v>56</v>
      </c>
      <c r="AE40" s="12" t="n">
        <v>79</v>
      </c>
      <c r="AF40" s="12" t="n">
        <v>67</v>
      </c>
    </row>
    <row r="41">
      <c r="A41" s="20" t="n"/>
      <c r="B41" s="13" t="inlineStr">
        <is>
          <t>Social life (family, friends, other relationships, etc.)</t>
        </is>
      </c>
      <c r="C41" s="14" t="n">
        <v>0.06</v>
      </c>
      <c r="D41" s="14" t="n">
        <v>0.05</v>
      </c>
      <c r="E41" s="14" t="n">
        <v>0.08</v>
      </c>
      <c r="F41" s="14" t="n">
        <v>0.05</v>
      </c>
      <c r="G41" s="14" t="n">
        <v>0.1</v>
      </c>
      <c r="H41" s="14" t="n">
        <v>0.07000000000000001</v>
      </c>
      <c r="I41" s="14" t="n">
        <v>0.07000000000000001</v>
      </c>
      <c r="J41" s="14" t="n">
        <v>0.07000000000000001</v>
      </c>
      <c r="K41" s="14" t="n">
        <v>0.07000000000000001</v>
      </c>
      <c r="L41" s="14" t="n">
        <v>0.07000000000000001</v>
      </c>
      <c r="M41" s="14" t="n">
        <v>0.04</v>
      </c>
      <c r="N41" s="14" t="n">
        <v>0.06</v>
      </c>
      <c r="O41" s="14" t="n">
        <v>0.07000000000000001</v>
      </c>
      <c r="P41" s="14" t="n">
        <v>0.06</v>
      </c>
      <c r="Q41" s="14" t="n">
        <v>0.06</v>
      </c>
      <c r="R41" s="14" t="n">
        <v>0.04</v>
      </c>
      <c r="S41" s="14" t="n">
        <v>0.05</v>
      </c>
      <c r="T41" s="14" t="n">
        <v>0.1</v>
      </c>
      <c r="U41" s="14" t="n">
        <v>0.07000000000000001</v>
      </c>
      <c r="V41" s="14" t="n">
        <v>0.04</v>
      </c>
      <c r="W41" s="14" t="n">
        <v>0.07000000000000001</v>
      </c>
      <c r="X41" s="14" t="n">
        <v>0.07000000000000001</v>
      </c>
      <c r="Y41" s="14" t="n">
        <v>0.1</v>
      </c>
      <c r="Z41" s="14" t="n">
        <v>0.03</v>
      </c>
      <c r="AA41" s="14" t="n">
        <v>0.05</v>
      </c>
      <c r="AB41" s="14" t="n">
        <v>0.06</v>
      </c>
      <c r="AC41" s="14" t="n">
        <v>0.05</v>
      </c>
      <c r="AD41" s="14" t="n">
        <v>0.06</v>
      </c>
      <c r="AE41" s="14" t="n">
        <v>0.08</v>
      </c>
      <c r="AF41" s="14" t="n">
        <v>0.07000000000000001</v>
      </c>
    </row>
    <row r="42">
      <c r="A42" s="20" t="n"/>
      <c r="B42" s="11" t="inlineStr">
        <is>
          <t>L’accès à la culture</t>
        </is>
      </c>
      <c r="C42" s="12" t="n">
        <v>448</v>
      </c>
      <c r="D42" s="12" t="n">
        <v>12</v>
      </c>
      <c r="E42" s="12" t="n">
        <v>12</v>
      </c>
      <c r="F42" s="12" t="n">
        <v>16</v>
      </c>
      <c r="G42" s="12" t="n">
        <v>4</v>
      </c>
      <c r="H42" s="12" t="n">
        <v>20</v>
      </c>
      <c r="I42" s="12" t="n">
        <v>25</v>
      </c>
      <c r="J42" s="12" t="n">
        <v>5</v>
      </c>
      <c r="K42" s="12" t="n">
        <v>17</v>
      </c>
      <c r="L42" s="12" t="n">
        <v>5</v>
      </c>
      <c r="M42" s="12" t="n">
        <v>8</v>
      </c>
      <c r="N42" s="12" t="n">
        <v>14</v>
      </c>
      <c r="O42" s="12" t="n">
        <v>19</v>
      </c>
      <c r="P42" s="12" t="n">
        <v>11</v>
      </c>
      <c r="Q42" s="12" t="n">
        <v>22</v>
      </c>
      <c r="R42" s="12" t="n">
        <v>18</v>
      </c>
      <c r="S42" s="12" t="n">
        <v>6</v>
      </c>
      <c r="T42" s="12" t="n">
        <v>12</v>
      </c>
      <c r="U42" s="12" t="n">
        <v>7</v>
      </c>
      <c r="V42" s="12" t="n">
        <v>12</v>
      </c>
      <c r="W42" s="12" t="n">
        <v>2</v>
      </c>
      <c r="X42" s="12" t="n">
        <v>7</v>
      </c>
      <c r="Y42" s="12" t="n">
        <v>15</v>
      </c>
      <c r="Z42" s="12" t="n">
        <v>23</v>
      </c>
      <c r="AA42" s="12" t="n">
        <v>21</v>
      </c>
      <c r="AB42" s="12" t="n">
        <v>40</v>
      </c>
      <c r="AC42" s="12" t="n">
        <v>8</v>
      </c>
      <c r="AD42" s="12" t="n">
        <v>13</v>
      </c>
      <c r="AE42" s="12" t="n">
        <v>12</v>
      </c>
      <c r="AF42" s="12" t="n">
        <v>13</v>
      </c>
    </row>
    <row r="43">
      <c r="A43" s="20" t="n"/>
      <c r="B43" s="13" t="inlineStr">
        <is>
          <t>Access to culture</t>
        </is>
      </c>
      <c r="C43" s="14" t="n">
        <v>0.02</v>
      </c>
      <c r="D43" s="14" t="n">
        <v>0.01</v>
      </c>
      <c r="E43" s="14" t="n">
        <v>0.01</v>
      </c>
      <c r="F43" s="14" t="n">
        <v>0.01</v>
      </c>
      <c r="G43" s="15" t="inlineStr">
        <is>
          <t>-</t>
        </is>
      </c>
      <c r="H43" s="14" t="n">
        <v>0.02</v>
      </c>
      <c r="I43" s="14" t="n">
        <v>0.02</v>
      </c>
      <c r="J43" s="14" t="n">
        <v>0.02</v>
      </c>
      <c r="K43" s="14" t="n">
        <v>0.02</v>
      </c>
      <c r="L43" s="14" t="n">
        <v>0.01</v>
      </c>
      <c r="M43" s="14" t="n">
        <v>0.01</v>
      </c>
      <c r="N43" s="14" t="n">
        <v>0.01</v>
      </c>
      <c r="O43" s="14" t="n">
        <v>0.02</v>
      </c>
      <c r="P43" s="14" t="n">
        <v>0.01</v>
      </c>
      <c r="Q43" s="14" t="n">
        <v>0.02</v>
      </c>
      <c r="R43" s="14" t="n">
        <v>0.04</v>
      </c>
      <c r="S43" s="14" t="n">
        <v>0.01</v>
      </c>
      <c r="T43" s="14" t="n">
        <v>0.01</v>
      </c>
      <c r="U43" s="14" t="n">
        <v>0.01</v>
      </c>
      <c r="V43" s="14" t="n">
        <v>0.01</v>
      </c>
      <c r="W43" s="14" t="n">
        <v>0.01</v>
      </c>
      <c r="X43" s="14" t="n">
        <v>0.01</v>
      </c>
      <c r="Y43" s="14" t="n">
        <v>0.02</v>
      </c>
      <c r="Z43" s="14" t="n">
        <v>0.02</v>
      </c>
      <c r="AA43" s="14" t="n">
        <v>0.02</v>
      </c>
      <c r="AB43" s="14" t="n">
        <v>0.04</v>
      </c>
      <c r="AC43" s="14" t="n">
        <v>0.01</v>
      </c>
      <c r="AD43" s="14" t="n">
        <v>0.01</v>
      </c>
      <c r="AE43" s="14" t="n">
        <v>0.01</v>
      </c>
      <c r="AF43" s="14" t="n">
        <v>0.01</v>
      </c>
    </row>
    <row r="44">
      <c r="A44" s="20" t="n"/>
      <c r="B44" s="11" t="inlineStr">
        <is>
          <t>Autre (SPONTANÉ)</t>
        </is>
      </c>
      <c r="C44" s="12" t="n">
        <v>175</v>
      </c>
      <c r="D44" s="12" t="n">
        <v>1</v>
      </c>
      <c r="E44" s="12" t="n">
        <v>0</v>
      </c>
      <c r="F44" s="12" t="n">
        <v>0</v>
      </c>
      <c r="G44" s="12" t="n">
        <v>11</v>
      </c>
      <c r="H44" s="12" t="n">
        <v>35</v>
      </c>
      <c r="I44" s="12" t="n">
        <v>35</v>
      </c>
      <c r="J44" s="12" t="n">
        <v>0</v>
      </c>
      <c r="K44" s="12" t="n">
        <v>19</v>
      </c>
      <c r="L44" s="12" t="n">
        <v>0</v>
      </c>
      <c r="M44" s="12" t="n">
        <v>0</v>
      </c>
      <c r="N44" s="12" t="n">
        <v>3</v>
      </c>
      <c r="O44" s="12" t="n">
        <v>1</v>
      </c>
      <c r="P44" s="12" t="n">
        <v>0</v>
      </c>
      <c r="Q44" s="12" t="n">
        <v>3</v>
      </c>
      <c r="R44" s="12" t="n">
        <v>0</v>
      </c>
      <c r="S44" s="12" t="n">
        <v>5</v>
      </c>
      <c r="T44" s="12" t="n">
        <v>2</v>
      </c>
      <c r="U44" s="12" t="n">
        <v>1</v>
      </c>
      <c r="V44" s="12" t="n">
        <v>0</v>
      </c>
      <c r="W44" s="12" t="n">
        <v>0</v>
      </c>
      <c r="X44" s="12" t="n">
        <v>24</v>
      </c>
      <c r="Y44" s="12" t="n">
        <v>7</v>
      </c>
      <c r="Z44" s="12" t="n">
        <v>0</v>
      </c>
      <c r="AA44" s="12" t="n">
        <v>0</v>
      </c>
      <c r="AB44" s="12" t="n">
        <v>0</v>
      </c>
      <c r="AC44" s="12" t="n">
        <v>1</v>
      </c>
      <c r="AD44" s="12" t="n">
        <v>0</v>
      </c>
      <c r="AE44" s="12" t="n">
        <v>1</v>
      </c>
      <c r="AF44" s="12" t="n">
        <v>6</v>
      </c>
    </row>
    <row r="45">
      <c r="A45" s="20" t="n"/>
      <c r="B45" s="13" t="inlineStr">
        <is>
          <t>Other (SPONTANEOUS)</t>
        </is>
      </c>
      <c r="C45" s="14" t="n">
        <v>0.01</v>
      </c>
      <c r="D45" s="15" t="inlineStr">
        <is>
          <t>-</t>
        </is>
      </c>
      <c r="E45" s="15" t="inlineStr">
        <is>
          <t>-</t>
        </is>
      </c>
      <c r="F45" s="15" t="inlineStr">
        <is>
          <t>-</t>
        </is>
      </c>
      <c r="G45" s="14" t="n">
        <v>0.01</v>
      </c>
      <c r="H45" s="14" t="n">
        <v>0.03</v>
      </c>
      <c r="I45" s="14" t="n">
        <v>0.02</v>
      </c>
      <c r="J45" s="15" t="inlineStr">
        <is>
          <t>-</t>
        </is>
      </c>
      <c r="K45" s="14" t="n">
        <v>0.02</v>
      </c>
      <c r="L45" s="15" t="inlineStr">
        <is>
          <t>-</t>
        </is>
      </c>
      <c r="M45" s="15" t="inlineStr">
        <is>
          <t>-</t>
        </is>
      </c>
      <c r="N45" s="15" t="inlineStr">
        <is>
          <t>-</t>
        </is>
      </c>
      <c r="O45" s="15" t="inlineStr">
        <is>
          <t>-</t>
        </is>
      </c>
      <c r="P45" s="15" t="inlineStr">
        <is>
          <t>-</t>
        </is>
      </c>
      <c r="Q45" s="15" t="inlineStr">
        <is>
          <t>-</t>
        </is>
      </c>
      <c r="R45" s="15" t="inlineStr">
        <is>
          <t>-</t>
        </is>
      </c>
      <c r="S45" s="15" t="inlineStr">
        <is>
          <t>-</t>
        </is>
      </c>
      <c r="T45" s="15" t="inlineStr">
        <is>
          <t>-</t>
        </is>
      </c>
      <c r="U45" s="15" t="inlineStr">
        <is>
          <t>-</t>
        </is>
      </c>
      <c r="V45" s="15" t="inlineStr">
        <is>
          <t>-</t>
        </is>
      </c>
      <c r="W45" s="15" t="inlineStr">
        <is>
          <t>-</t>
        </is>
      </c>
      <c r="X45" s="14" t="n">
        <v>0.02</v>
      </c>
      <c r="Y45" s="14" t="n">
        <v>0.01</v>
      </c>
      <c r="Z45" s="15" t="inlineStr">
        <is>
          <t>-</t>
        </is>
      </c>
      <c r="AA45" s="15" t="inlineStr">
        <is>
          <t>-</t>
        </is>
      </c>
      <c r="AB45" s="15" t="inlineStr">
        <is>
          <t>-</t>
        </is>
      </c>
      <c r="AC45" s="15" t="inlineStr">
        <is>
          <t>-</t>
        </is>
      </c>
      <c r="AD45" s="15" t="inlineStr">
        <is>
          <t>-</t>
        </is>
      </c>
      <c r="AE45" s="15" t="inlineStr">
        <is>
          <t>-</t>
        </is>
      </c>
      <c r="AF45" s="14" t="n">
        <v>0.01</v>
      </c>
    </row>
    <row r="46">
      <c r="A46" s="20" t="n"/>
      <c r="B46" s="11" t="inlineStr">
        <is>
          <t>Ne sait pas</t>
        </is>
      </c>
      <c r="C46" s="12" t="n">
        <v>299</v>
      </c>
      <c r="D46" s="12" t="n">
        <v>4</v>
      </c>
      <c r="E46" s="12" t="n">
        <v>7</v>
      </c>
      <c r="F46" s="12" t="n">
        <v>40</v>
      </c>
      <c r="G46" s="12" t="n">
        <v>29</v>
      </c>
      <c r="H46" s="12" t="n">
        <v>21</v>
      </c>
      <c r="I46" s="12" t="n">
        <v>23</v>
      </c>
      <c r="J46" s="12" t="n">
        <v>2</v>
      </c>
      <c r="K46" s="12" t="n">
        <v>20</v>
      </c>
      <c r="L46" s="12" t="n">
        <v>5</v>
      </c>
      <c r="M46" s="12" t="n">
        <v>0</v>
      </c>
      <c r="N46" s="12" t="n">
        <v>11</v>
      </c>
      <c r="O46" s="12" t="n">
        <v>13</v>
      </c>
      <c r="P46" s="12" t="n">
        <v>3</v>
      </c>
      <c r="Q46" s="12" t="n">
        <v>8</v>
      </c>
      <c r="R46" s="12" t="n">
        <v>8</v>
      </c>
      <c r="S46" s="12" t="n">
        <v>14</v>
      </c>
      <c r="T46" s="12" t="n">
        <v>3</v>
      </c>
      <c r="U46" s="12" t="n">
        <v>6</v>
      </c>
      <c r="V46" s="12" t="n">
        <v>0</v>
      </c>
      <c r="W46" s="12" t="n">
        <v>3</v>
      </c>
      <c r="X46" s="12" t="n">
        <v>17</v>
      </c>
      <c r="Y46" s="12" t="n">
        <v>14</v>
      </c>
      <c r="Z46" s="12" t="n">
        <v>7</v>
      </c>
      <c r="AA46" s="12" t="n">
        <v>7</v>
      </c>
      <c r="AB46" s="12" t="n">
        <v>7</v>
      </c>
      <c r="AC46" s="12" t="n">
        <v>5</v>
      </c>
      <c r="AD46" s="12" t="n">
        <v>0</v>
      </c>
      <c r="AE46" s="12" t="n">
        <v>16</v>
      </c>
      <c r="AF46" s="12" t="n">
        <v>15</v>
      </c>
    </row>
    <row r="47">
      <c r="A47" s="23" t="n"/>
      <c r="B47" s="13" t="inlineStr">
        <is>
          <t>Don't know</t>
        </is>
      </c>
      <c r="C47" s="14" t="n">
        <v>0.01</v>
      </c>
      <c r="D47" s="15" t="inlineStr">
        <is>
          <t>-</t>
        </is>
      </c>
      <c r="E47" s="14" t="n">
        <v>0.01</v>
      </c>
      <c r="F47" s="14" t="n">
        <v>0.04</v>
      </c>
      <c r="G47" s="14" t="n">
        <v>0.03</v>
      </c>
      <c r="H47" s="14" t="n">
        <v>0.02</v>
      </c>
      <c r="I47" s="14" t="n">
        <v>0.02</v>
      </c>
      <c r="J47" s="14" t="n">
        <v>0.01</v>
      </c>
      <c r="K47" s="14" t="n">
        <v>0.02</v>
      </c>
      <c r="L47" s="14" t="n">
        <v>0.01</v>
      </c>
      <c r="M47" s="15" t="inlineStr">
        <is>
          <t>-</t>
        </is>
      </c>
      <c r="N47" s="14" t="n">
        <v>0.01</v>
      </c>
      <c r="O47" s="14" t="n">
        <v>0.01</v>
      </c>
      <c r="P47" s="15" t="inlineStr">
        <is>
          <t>-</t>
        </is>
      </c>
      <c r="Q47" s="14" t="n">
        <v>0.01</v>
      </c>
      <c r="R47" s="14" t="n">
        <v>0.02</v>
      </c>
      <c r="S47" s="14" t="n">
        <v>0.01</v>
      </c>
      <c r="T47" s="15" t="inlineStr">
        <is>
          <t>-</t>
        </is>
      </c>
      <c r="U47" s="14" t="n">
        <v>0.01</v>
      </c>
      <c r="V47" s="15" t="inlineStr">
        <is>
          <t>-</t>
        </is>
      </c>
      <c r="W47" s="14" t="n">
        <v>0.01</v>
      </c>
      <c r="X47" s="14" t="n">
        <v>0.02</v>
      </c>
      <c r="Y47" s="14" t="n">
        <v>0.01</v>
      </c>
      <c r="Z47" s="14" t="n">
        <v>0.01</v>
      </c>
      <c r="AA47" s="14" t="n">
        <v>0.01</v>
      </c>
      <c r="AB47" s="14" t="n">
        <v>0.01</v>
      </c>
      <c r="AC47" s="15" t="inlineStr">
        <is>
          <t>-</t>
        </is>
      </c>
      <c r="AD47" s="15" t="inlineStr">
        <is>
          <t>-</t>
        </is>
      </c>
      <c r="AE47" s="14" t="n">
        <v>0.02</v>
      </c>
      <c r="AF47" s="14" t="n">
        <v>0.02</v>
      </c>
    </row>
  </sheetData>
  <mergeCells count="9">
    <mergeCell ref="B4:F4"/>
    <mergeCell ref="A10:A47"/>
    <mergeCell ref="H3:L3"/>
    <mergeCell ref="C8:AF8"/>
    <mergeCell ref="B3:F3"/>
    <mergeCell ref="B5:F5"/>
    <mergeCell ref="H5:L5"/>
    <mergeCell ref="B10:B11"/>
    <mergeCell ref="H4:L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F47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12" customHeight="1" s="18">
      <c r="B3" s="21" t="inlineStr">
        <is>
          <t>QA14b. Et ensuite ? (4 RÉPONSES MAX.)</t>
        </is>
      </c>
      <c r="H3" s="21" t="inlineStr">
        <is>
          <t>QA14b. And then? (MAX. 4 ANSWERS)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Not asked to respondents who answered "Don't know" in QA14a</t>
        </is>
      </c>
      <c r="H5" s="21" t="inlineStr">
        <is>
          <t>Base: Pas demandé aux répondants qui ont répondu “Ne sait pas” à la QA14a</t>
        </is>
      </c>
    </row>
    <row r="6" ht="0.95" customHeight="1" s="18"/>
    <row r="7" ht="0.95" customHeight="1" s="18"/>
    <row r="8">
      <c r="C8" s="22" t="n"/>
    </row>
    <row r="9">
      <c r="A9" s="5">
        <f>HYPERLINK("#Content!A38","&lt;&lt;Back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26122</v>
      </c>
      <c r="D10" s="10" t="n">
        <v>1017</v>
      </c>
      <c r="E10" s="10" t="n">
        <v>1007</v>
      </c>
      <c r="F10" s="10" t="n">
        <v>1009</v>
      </c>
      <c r="G10" s="10" t="n">
        <v>978</v>
      </c>
      <c r="H10" s="10" t="n">
        <v>1192</v>
      </c>
      <c r="I10" s="10" t="n">
        <v>1484</v>
      </c>
      <c r="J10" s="10" t="n">
        <v>289</v>
      </c>
      <c r="K10" s="10" t="n">
        <v>986</v>
      </c>
      <c r="L10" s="10" t="n">
        <v>1005</v>
      </c>
      <c r="M10" s="10" t="n">
        <v>999</v>
      </c>
      <c r="N10" s="10" t="n">
        <v>995</v>
      </c>
      <c r="O10" s="10" t="n">
        <v>1003</v>
      </c>
      <c r="P10" s="10" t="n">
        <v>993</v>
      </c>
      <c r="Q10" s="10" t="n">
        <v>1021</v>
      </c>
      <c r="R10" s="10" t="n">
        <v>496</v>
      </c>
      <c r="S10" s="10" t="n">
        <v>991</v>
      </c>
      <c r="T10" s="10" t="n">
        <v>1014</v>
      </c>
      <c r="U10" s="10" t="n">
        <v>502</v>
      </c>
      <c r="V10" s="10" t="n">
        <v>1008</v>
      </c>
      <c r="W10" s="10" t="n">
        <v>502</v>
      </c>
      <c r="X10" s="10" t="n">
        <v>1006</v>
      </c>
      <c r="Y10" s="10" t="n">
        <v>989</v>
      </c>
      <c r="Z10" s="10" t="n">
        <v>1013</v>
      </c>
      <c r="AA10" s="10" t="n">
        <v>1024</v>
      </c>
      <c r="AB10" s="10" t="n">
        <v>1038</v>
      </c>
      <c r="AC10" s="10" t="n">
        <v>1002</v>
      </c>
      <c r="AD10" s="10" t="n">
        <v>988</v>
      </c>
      <c r="AE10" s="10" t="n">
        <v>1000</v>
      </c>
      <c r="AF10" s="10" t="n">
        <v>1022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L’efficacité des services publics</t>
        </is>
      </c>
      <c r="C12" s="12" t="n">
        <v>3701</v>
      </c>
      <c r="D12" s="12" t="n">
        <v>134</v>
      </c>
      <c r="E12" s="12" t="n">
        <v>115</v>
      </c>
      <c r="F12" s="12" t="n">
        <v>95</v>
      </c>
      <c r="G12" s="12" t="n">
        <v>119</v>
      </c>
      <c r="H12" s="12" t="n">
        <v>109</v>
      </c>
      <c r="I12" s="12" t="n">
        <v>139</v>
      </c>
      <c r="J12" s="12" t="n">
        <v>30</v>
      </c>
      <c r="K12" s="12" t="n">
        <v>114</v>
      </c>
      <c r="L12" s="12" t="n">
        <v>187</v>
      </c>
      <c r="M12" s="12" t="n">
        <v>207</v>
      </c>
      <c r="N12" s="12" t="n">
        <v>190</v>
      </c>
      <c r="O12" s="12" t="n">
        <v>144</v>
      </c>
      <c r="P12" s="12" t="n">
        <v>119</v>
      </c>
      <c r="Q12" s="12" t="n">
        <v>197</v>
      </c>
      <c r="R12" s="12" t="n">
        <v>49</v>
      </c>
      <c r="S12" s="12" t="n">
        <v>138</v>
      </c>
      <c r="T12" s="12" t="n">
        <v>92</v>
      </c>
      <c r="U12" s="12" t="n">
        <v>51</v>
      </c>
      <c r="V12" s="12" t="n">
        <v>171</v>
      </c>
      <c r="W12" s="12" t="n">
        <v>52</v>
      </c>
      <c r="X12" s="12" t="n">
        <v>125</v>
      </c>
      <c r="Y12" s="12" t="n">
        <v>101</v>
      </c>
      <c r="Z12" s="12" t="n">
        <v>95</v>
      </c>
      <c r="AA12" s="12" t="n">
        <v>270</v>
      </c>
      <c r="AB12" s="12" t="n">
        <v>127</v>
      </c>
      <c r="AC12" s="12" t="n">
        <v>144</v>
      </c>
      <c r="AD12" s="12" t="n">
        <v>109</v>
      </c>
      <c r="AE12" s="12" t="n">
        <v>166</v>
      </c>
      <c r="AF12" s="12" t="n">
        <v>139</v>
      </c>
    </row>
    <row r="13">
      <c r="A13" s="20" t="n"/>
      <c r="B13" s="13" t="inlineStr">
        <is>
          <t>Efficiency of public services</t>
        </is>
      </c>
      <c r="C13" s="14" t="n">
        <v>0.15</v>
      </c>
      <c r="D13" s="14" t="n">
        <v>0.14</v>
      </c>
      <c r="E13" s="14" t="n">
        <v>0.12</v>
      </c>
      <c r="F13" s="14" t="n">
        <v>0.1</v>
      </c>
      <c r="G13" s="14" t="n">
        <v>0.12</v>
      </c>
      <c r="H13" s="14" t="n">
        <v>0.09</v>
      </c>
      <c r="I13" s="14" t="n">
        <v>0.1</v>
      </c>
      <c r="J13" s="14" t="n">
        <v>0.11</v>
      </c>
      <c r="K13" s="14" t="n">
        <v>0.12</v>
      </c>
      <c r="L13" s="14" t="n">
        <v>0.2</v>
      </c>
      <c r="M13" s="14" t="n">
        <v>0.21</v>
      </c>
      <c r="N13" s="14" t="n">
        <v>0.2</v>
      </c>
      <c r="O13" s="14" t="n">
        <v>0.15</v>
      </c>
      <c r="P13" s="14" t="n">
        <v>0.12</v>
      </c>
      <c r="Q13" s="14" t="n">
        <v>0.2</v>
      </c>
      <c r="R13" s="14" t="n">
        <v>0.1</v>
      </c>
      <c r="S13" s="14" t="n">
        <v>0.14</v>
      </c>
      <c r="T13" s="14" t="n">
        <v>0.09</v>
      </c>
      <c r="U13" s="14" t="n">
        <v>0.11</v>
      </c>
      <c r="V13" s="14" t="n">
        <v>0.17</v>
      </c>
      <c r="W13" s="14" t="n">
        <v>0.11</v>
      </c>
      <c r="X13" s="14" t="n">
        <v>0.13</v>
      </c>
      <c r="Y13" s="14" t="n">
        <v>0.1</v>
      </c>
      <c r="Z13" s="14" t="n">
        <v>0.1</v>
      </c>
      <c r="AA13" s="14" t="n">
        <v>0.27</v>
      </c>
      <c r="AB13" s="14" t="n">
        <v>0.13</v>
      </c>
      <c r="AC13" s="14" t="n">
        <v>0.15</v>
      </c>
      <c r="AD13" s="14" t="n">
        <v>0.11</v>
      </c>
      <c r="AE13" s="14" t="n">
        <v>0.17</v>
      </c>
      <c r="AF13" s="14" t="n">
        <v>0.14</v>
      </c>
    </row>
    <row r="14">
      <c r="A14" s="20" t="n"/>
      <c r="B14" s="11" t="inlineStr">
        <is>
          <t>La santé physique et mentale</t>
        </is>
      </c>
      <c r="C14" s="12" t="n">
        <v>6347</v>
      </c>
      <c r="D14" s="12" t="n">
        <v>216</v>
      </c>
      <c r="E14" s="12" t="n">
        <v>289</v>
      </c>
      <c r="F14" s="12" t="n">
        <v>220</v>
      </c>
      <c r="G14" s="12" t="n">
        <v>311</v>
      </c>
      <c r="H14" s="12" t="n">
        <v>268</v>
      </c>
      <c r="I14" s="12" t="n">
        <v>335</v>
      </c>
      <c r="J14" s="12" t="n">
        <v>67</v>
      </c>
      <c r="K14" s="12" t="n">
        <v>249</v>
      </c>
      <c r="L14" s="12" t="n">
        <v>291</v>
      </c>
      <c r="M14" s="12" t="n">
        <v>296</v>
      </c>
      <c r="N14" s="12" t="n">
        <v>242</v>
      </c>
      <c r="O14" s="12" t="n">
        <v>240</v>
      </c>
      <c r="P14" s="12" t="n">
        <v>247</v>
      </c>
      <c r="Q14" s="12" t="n">
        <v>271</v>
      </c>
      <c r="R14" s="12" t="n">
        <v>155</v>
      </c>
      <c r="S14" s="12" t="n">
        <v>282</v>
      </c>
      <c r="T14" s="12" t="n">
        <v>309</v>
      </c>
      <c r="U14" s="12" t="n">
        <v>133</v>
      </c>
      <c r="V14" s="12" t="n">
        <v>262</v>
      </c>
      <c r="W14" s="12" t="n">
        <v>146</v>
      </c>
      <c r="X14" s="12" t="n">
        <v>282</v>
      </c>
      <c r="Y14" s="12" t="n">
        <v>248</v>
      </c>
      <c r="Z14" s="12" t="n">
        <v>207</v>
      </c>
      <c r="AA14" s="12" t="n">
        <v>260</v>
      </c>
      <c r="AB14" s="12" t="n">
        <v>187</v>
      </c>
      <c r="AC14" s="12" t="n">
        <v>253</v>
      </c>
      <c r="AD14" s="12" t="n">
        <v>234</v>
      </c>
      <c r="AE14" s="12" t="n">
        <v>251</v>
      </c>
      <c r="AF14" s="12" t="n">
        <v>309</v>
      </c>
    </row>
    <row r="15">
      <c r="A15" s="20" t="n"/>
      <c r="B15" s="13" t="inlineStr">
        <is>
          <t>Physical and mental health</t>
        </is>
      </c>
      <c r="C15" s="14" t="n">
        <v>0.27</v>
      </c>
      <c r="D15" s="14" t="n">
        <v>0.24</v>
      </c>
      <c r="E15" s="14" t="n">
        <v>0.32</v>
      </c>
      <c r="F15" s="14" t="n">
        <v>0.25</v>
      </c>
      <c r="G15" s="14" t="n">
        <v>0.39</v>
      </c>
      <c r="H15" s="14" t="n">
        <v>0.25</v>
      </c>
      <c r="I15" s="14" t="n">
        <v>0.25</v>
      </c>
      <c r="J15" s="14" t="n">
        <v>0.26</v>
      </c>
      <c r="K15" s="14" t="n">
        <v>0.28</v>
      </c>
      <c r="L15" s="14" t="n">
        <v>0.33</v>
      </c>
      <c r="M15" s="14" t="n">
        <v>0.33</v>
      </c>
      <c r="N15" s="14" t="n">
        <v>0.28</v>
      </c>
      <c r="O15" s="14" t="n">
        <v>0.27</v>
      </c>
      <c r="P15" s="14" t="n">
        <v>0.27</v>
      </c>
      <c r="Q15" s="14" t="n">
        <v>0.29</v>
      </c>
      <c r="R15" s="14" t="n">
        <v>0.35</v>
      </c>
      <c r="S15" s="14" t="n">
        <v>0.32</v>
      </c>
      <c r="T15" s="14" t="n">
        <v>0.35</v>
      </c>
      <c r="U15" s="14" t="n">
        <v>0.3</v>
      </c>
      <c r="V15" s="14" t="n">
        <v>0.28</v>
      </c>
      <c r="W15" s="14" t="n">
        <v>0.35</v>
      </c>
      <c r="X15" s="14" t="n">
        <v>0.31</v>
      </c>
      <c r="Y15" s="14" t="n">
        <v>0.28</v>
      </c>
      <c r="Z15" s="14" t="n">
        <v>0.22</v>
      </c>
      <c r="AA15" s="14" t="n">
        <v>0.29</v>
      </c>
      <c r="AB15" s="14" t="n">
        <v>0.2</v>
      </c>
      <c r="AC15" s="14" t="n">
        <v>0.29</v>
      </c>
      <c r="AD15" s="14" t="n">
        <v>0.26</v>
      </c>
      <c r="AE15" s="14" t="n">
        <v>0.3</v>
      </c>
      <c r="AF15" s="14" t="n">
        <v>0.34</v>
      </c>
    </row>
    <row r="16">
      <c r="A16" s="20" t="n"/>
      <c r="B16" s="11" t="inlineStr">
        <is>
          <t>La sécurité alimentaire et la qualité des aliments</t>
        </is>
      </c>
      <c r="C16" s="12" t="n">
        <v>6041</v>
      </c>
      <c r="D16" s="12" t="n">
        <v>205</v>
      </c>
      <c r="E16" s="12" t="n">
        <v>370</v>
      </c>
      <c r="F16" s="12" t="n">
        <v>271</v>
      </c>
      <c r="G16" s="12" t="n">
        <v>194</v>
      </c>
      <c r="H16" s="12" t="n">
        <v>225</v>
      </c>
      <c r="I16" s="12" t="n">
        <v>308</v>
      </c>
      <c r="J16" s="12" t="n">
        <v>83</v>
      </c>
      <c r="K16" s="12" t="n">
        <v>173</v>
      </c>
      <c r="L16" s="12" t="n">
        <v>208</v>
      </c>
      <c r="M16" s="12" t="n">
        <v>308</v>
      </c>
      <c r="N16" s="12" t="n">
        <v>175</v>
      </c>
      <c r="O16" s="12" t="n">
        <v>274</v>
      </c>
      <c r="P16" s="12" t="n">
        <v>291</v>
      </c>
      <c r="Q16" s="12" t="n">
        <v>260</v>
      </c>
      <c r="R16" s="12" t="n">
        <v>119</v>
      </c>
      <c r="S16" s="12" t="n">
        <v>146</v>
      </c>
      <c r="T16" s="12" t="n">
        <v>254</v>
      </c>
      <c r="U16" s="12" t="n">
        <v>105</v>
      </c>
      <c r="V16" s="12" t="n">
        <v>269</v>
      </c>
      <c r="W16" s="12" t="n">
        <v>72</v>
      </c>
      <c r="X16" s="12" t="n">
        <v>185</v>
      </c>
      <c r="Y16" s="12" t="n">
        <v>299</v>
      </c>
      <c r="Z16" s="12" t="n">
        <v>244</v>
      </c>
      <c r="AA16" s="12" t="n">
        <v>243</v>
      </c>
      <c r="AB16" s="12" t="n">
        <v>233</v>
      </c>
      <c r="AC16" s="12" t="n">
        <v>282</v>
      </c>
      <c r="AD16" s="12" t="n">
        <v>288</v>
      </c>
      <c r="AE16" s="12" t="n">
        <v>135</v>
      </c>
      <c r="AF16" s="12" t="n">
        <v>121</v>
      </c>
    </row>
    <row r="17">
      <c r="A17" s="20" t="n"/>
      <c r="B17" s="13" t="inlineStr">
        <is>
          <t>Food safety and quality</t>
        </is>
      </c>
      <c r="C17" s="14" t="n">
        <v>0.24</v>
      </c>
      <c r="D17" s="14" t="n">
        <v>0.22</v>
      </c>
      <c r="E17" s="14" t="n">
        <v>0.39</v>
      </c>
      <c r="F17" s="14" t="n">
        <v>0.29</v>
      </c>
      <c r="G17" s="14" t="n">
        <v>0.21</v>
      </c>
      <c r="H17" s="14" t="n">
        <v>0.2</v>
      </c>
      <c r="I17" s="14" t="n">
        <v>0.22</v>
      </c>
      <c r="J17" s="14" t="n">
        <v>0.3</v>
      </c>
      <c r="K17" s="14" t="n">
        <v>0.18</v>
      </c>
      <c r="L17" s="14" t="n">
        <v>0.22</v>
      </c>
      <c r="M17" s="14" t="n">
        <v>0.33</v>
      </c>
      <c r="N17" s="14" t="n">
        <v>0.18</v>
      </c>
      <c r="O17" s="14" t="n">
        <v>0.29</v>
      </c>
      <c r="P17" s="14" t="n">
        <v>0.31</v>
      </c>
      <c r="Q17" s="14" t="n">
        <v>0.27</v>
      </c>
      <c r="R17" s="14" t="n">
        <v>0.25</v>
      </c>
      <c r="S17" s="14" t="n">
        <v>0.15</v>
      </c>
      <c r="T17" s="14" t="n">
        <v>0.26</v>
      </c>
      <c r="U17" s="14" t="n">
        <v>0.22</v>
      </c>
      <c r="V17" s="14" t="n">
        <v>0.28</v>
      </c>
      <c r="W17" s="14" t="n">
        <v>0.15</v>
      </c>
      <c r="X17" s="14" t="n">
        <v>0.19</v>
      </c>
      <c r="Y17" s="14" t="n">
        <v>0.33</v>
      </c>
      <c r="Z17" s="14" t="n">
        <v>0.26</v>
      </c>
      <c r="AA17" s="14" t="n">
        <v>0.25</v>
      </c>
      <c r="AB17" s="14" t="n">
        <v>0.24</v>
      </c>
      <c r="AC17" s="14" t="n">
        <v>0.3</v>
      </c>
      <c r="AD17" s="14" t="n">
        <v>0.31</v>
      </c>
      <c r="AE17" s="14" t="n">
        <v>0.14</v>
      </c>
      <c r="AF17" s="14" t="n">
        <v>0.12</v>
      </c>
    </row>
    <row r="18">
      <c r="A18" s="20" t="n"/>
      <c r="B18" s="11" t="inlineStr">
        <is>
          <t>Le coût et la qualité du logement</t>
        </is>
      </c>
      <c r="C18" s="12" t="n">
        <v>5046</v>
      </c>
      <c r="D18" s="12" t="n">
        <v>211</v>
      </c>
      <c r="E18" s="12" t="n">
        <v>74</v>
      </c>
      <c r="F18" s="12" t="n">
        <v>284</v>
      </c>
      <c r="G18" s="12" t="n">
        <v>128</v>
      </c>
      <c r="H18" s="12" t="n">
        <v>278</v>
      </c>
      <c r="I18" s="12" t="n">
        <v>343</v>
      </c>
      <c r="J18" s="12" t="n">
        <v>65</v>
      </c>
      <c r="K18" s="12" t="n">
        <v>181</v>
      </c>
      <c r="L18" s="12" t="n">
        <v>238</v>
      </c>
      <c r="M18" s="12" t="n">
        <v>194</v>
      </c>
      <c r="N18" s="12" t="n">
        <v>197</v>
      </c>
      <c r="O18" s="12" t="n">
        <v>232</v>
      </c>
      <c r="P18" s="12" t="n">
        <v>174</v>
      </c>
      <c r="Q18" s="12" t="n">
        <v>107</v>
      </c>
      <c r="R18" s="12" t="n">
        <v>142</v>
      </c>
      <c r="S18" s="12" t="n">
        <v>135</v>
      </c>
      <c r="T18" s="12" t="n">
        <v>104</v>
      </c>
      <c r="U18" s="12" t="n">
        <v>125</v>
      </c>
      <c r="V18" s="12" t="n">
        <v>249</v>
      </c>
      <c r="W18" s="12" t="n">
        <v>89</v>
      </c>
      <c r="X18" s="12" t="n">
        <v>227</v>
      </c>
      <c r="Y18" s="12" t="n">
        <v>215</v>
      </c>
      <c r="Z18" s="12" t="n">
        <v>176</v>
      </c>
      <c r="AA18" s="12" t="n">
        <v>210</v>
      </c>
      <c r="AB18" s="12" t="n">
        <v>131</v>
      </c>
      <c r="AC18" s="12" t="n">
        <v>128</v>
      </c>
      <c r="AD18" s="12" t="n">
        <v>219</v>
      </c>
      <c r="AE18" s="12" t="n">
        <v>237</v>
      </c>
      <c r="AF18" s="12" t="n">
        <v>186</v>
      </c>
    </row>
    <row r="19">
      <c r="A19" s="20" t="n"/>
      <c r="B19" s="13" t="inlineStr">
        <is>
          <t>Affordability and quality of housing</t>
        </is>
      </c>
      <c r="C19" s="14" t="n">
        <v>0.21</v>
      </c>
      <c r="D19" s="14" t="n">
        <v>0.23</v>
      </c>
      <c r="E19" s="14" t="n">
        <v>0.07000000000000001</v>
      </c>
      <c r="F19" s="14" t="n">
        <v>0.31</v>
      </c>
      <c r="G19" s="14" t="n">
        <v>0.14</v>
      </c>
      <c r="H19" s="14" t="n">
        <v>0.25</v>
      </c>
      <c r="I19" s="14" t="n">
        <v>0.25</v>
      </c>
      <c r="J19" s="14" t="n">
        <v>0.24</v>
      </c>
      <c r="K19" s="14" t="n">
        <v>0.2</v>
      </c>
      <c r="L19" s="14" t="n">
        <v>0.28</v>
      </c>
      <c r="M19" s="14" t="n">
        <v>0.2</v>
      </c>
      <c r="N19" s="14" t="n">
        <v>0.22</v>
      </c>
      <c r="O19" s="14" t="n">
        <v>0.25</v>
      </c>
      <c r="P19" s="14" t="n">
        <v>0.19</v>
      </c>
      <c r="Q19" s="14" t="n">
        <v>0.11</v>
      </c>
      <c r="R19" s="14" t="n">
        <v>0.34</v>
      </c>
      <c r="S19" s="14" t="n">
        <v>0.14</v>
      </c>
      <c r="T19" s="14" t="n">
        <v>0.11</v>
      </c>
      <c r="U19" s="14" t="n">
        <v>0.29</v>
      </c>
      <c r="V19" s="14" t="n">
        <v>0.26</v>
      </c>
      <c r="W19" s="14" t="n">
        <v>0.2</v>
      </c>
      <c r="X19" s="14" t="n">
        <v>0.26</v>
      </c>
      <c r="Y19" s="14" t="n">
        <v>0.23</v>
      </c>
      <c r="Z19" s="14" t="n">
        <v>0.19</v>
      </c>
      <c r="AA19" s="14" t="n">
        <v>0.21</v>
      </c>
      <c r="AB19" s="14" t="n">
        <v>0.13</v>
      </c>
      <c r="AC19" s="14" t="n">
        <v>0.14</v>
      </c>
      <c r="AD19" s="14" t="n">
        <v>0.23</v>
      </c>
      <c r="AE19" s="14" t="n">
        <v>0.26</v>
      </c>
      <c r="AF19" s="14" t="n">
        <v>0.19</v>
      </c>
    </row>
    <row r="20">
      <c r="A20" s="20" t="n"/>
      <c r="B20" s="11" t="inlineStr">
        <is>
          <t>La qualité de l’environnement (air, eau, etc.)</t>
        </is>
      </c>
      <c r="C20" s="12" t="n">
        <v>4756</v>
      </c>
      <c r="D20" s="12" t="n">
        <v>167</v>
      </c>
      <c r="E20" s="12" t="n">
        <v>190</v>
      </c>
      <c r="F20" s="12" t="n">
        <v>146</v>
      </c>
      <c r="G20" s="12" t="n">
        <v>234</v>
      </c>
      <c r="H20" s="12" t="n">
        <v>250</v>
      </c>
      <c r="I20" s="12" t="n">
        <v>302</v>
      </c>
      <c r="J20" s="12" t="n">
        <v>52</v>
      </c>
      <c r="K20" s="12" t="n">
        <v>153</v>
      </c>
      <c r="L20" s="12" t="n">
        <v>166</v>
      </c>
      <c r="M20" s="12" t="n">
        <v>211</v>
      </c>
      <c r="N20" s="12" t="n">
        <v>96</v>
      </c>
      <c r="O20" s="12" t="n">
        <v>225</v>
      </c>
      <c r="P20" s="12" t="n">
        <v>197</v>
      </c>
      <c r="Q20" s="12" t="n">
        <v>238</v>
      </c>
      <c r="R20" s="12" t="n">
        <v>78</v>
      </c>
      <c r="S20" s="12" t="n">
        <v>97</v>
      </c>
      <c r="T20" s="12" t="n">
        <v>87</v>
      </c>
      <c r="U20" s="12" t="n">
        <v>88</v>
      </c>
      <c r="V20" s="12" t="n">
        <v>209</v>
      </c>
      <c r="W20" s="12" t="n">
        <v>119</v>
      </c>
      <c r="X20" s="12" t="n">
        <v>193</v>
      </c>
      <c r="Y20" s="12" t="n">
        <v>246</v>
      </c>
      <c r="Z20" s="12" t="n">
        <v>112</v>
      </c>
      <c r="AA20" s="12" t="n">
        <v>121</v>
      </c>
      <c r="AB20" s="12" t="n">
        <v>144</v>
      </c>
      <c r="AC20" s="12" t="n">
        <v>230</v>
      </c>
      <c r="AD20" s="12" t="n">
        <v>159</v>
      </c>
      <c r="AE20" s="12" t="n">
        <v>143</v>
      </c>
      <c r="AF20" s="12" t="n">
        <v>216</v>
      </c>
    </row>
    <row r="21">
      <c r="A21" s="20" t="n"/>
      <c r="B21" s="13" t="inlineStr">
        <is>
          <t>Quality of the environment (air, water, etc.)</t>
        </is>
      </c>
      <c r="C21" s="14" t="n">
        <v>0.19</v>
      </c>
      <c r="D21" s="14" t="n">
        <v>0.18</v>
      </c>
      <c r="E21" s="14" t="n">
        <v>0.2</v>
      </c>
      <c r="F21" s="14" t="n">
        <v>0.15</v>
      </c>
      <c r="G21" s="14" t="n">
        <v>0.26</v>
      </c>
      <c r="H21" s="14" t="n">
        <v>0.22</v>
      </c>
      <c r="I21" s="14" t="n">
        <v>0.21</v>
      </c>
      <c r="J21" s="14" t="n">
        <v>0.18</v>
      </c>
      <c r="K21" s="14" t="n">
        <v>0.16</v>
      </c>
      <c r="L21" s="14" t="n">
        <v>0.17</v>
      </c>
      <c r="M21" s="14" t="n">
        <v>0.22</v>
      </c>
      <c r="N21" s="14" t="n">
        <v>0.1</v>
      </c>
      <c r="O21" s="14" t="n">
        <v>0.24</v>
      </c>
      <c r="P21" s="14" t="n">
        <v>0.2</v>
      </c>
      <c r="Q21" s="14" t="n">
        <v>0.25</v>
      </c>
      <c r="R21" s="14" t="n">
        <v>0.16</v>
      </c>
      <c r="S21" s="14" t="n">
        <v>0.1</v>
      </c>
      <c r="T21" s="14" t="n">
        <v>0.09</v>
      </c>
      <c r="U21" s="14" t="n">
        <v>0.19</v>
      </c>
      <c r="V21" s="14" t="n">
        <v>0.21</v>
      </c>
      <c r="W21" s="14" t="n">
        <v>0.25</v>
      </c>
      <c r="X21" s="14" t="n">
        <v>0.21</v>
      </c>
      <c r="Y21" s="14" t="n">
        <v>0.27</v>
      </c>
      <c r="Z21" s="14" t="n">
        <v>0.11</v>
      </c>
      <c r="AA21" s="14" t="n">
        <v>0.12</v>
      </c>
      <c r="AB21" s="14" t="n">
        <v>0.14</v>
      </c>
      <c r="AC21" s="14" t="n">
        <v>0.24</v>
      </c>
      <c r="AD21" s="14" t="n">
        <v>0.16</v>
      </c>
      <c r="AE21" s="14" t="n">
        <v>0.15</v>
      </c>
      <c r="AF21" s="14" t="n">
        <v>0.22</v>
      </c>
    </row>
    <row r="22">
      <c r="A22" s="20" t="n"/>
      <c r="B22" s="11" t="inlineStr">
        <is>
          <t>Les droits civiques et les libertés (liberté d’expression, droits politiques, etc.)</t>
        </is>
      </c>
      <c r="C22" s="12" t="n">
        <v>3328</v>
      </c>
      <c r="D22" s="12" t="n">
        <v>99</v>
      </c>
      <c r="E22" s="12" t="n">
        <v>124</v>
      </c>
      <c r="F22" s="12" t="n">
        <v>97</v>
      </c>
      <c r="G22" s="12" t="n">
        <v>122</v>
      </c>
      <c r="H22" s="12" t="n">
        <v>167</v>
      </c>
      <c r="I22" s="12" t="n">
        <v>209</v>
      </c>
      <c r="J22" s="12" t="n">
        <v>42</v>
      </c>
      <c r="K22" s="12" t="n">
        <v>82</v>
      </c>
      <c r="L22" s="12" t="n">
        <v>88</v>
      </c>
      <c r="M22" s="12" t="n">
        <v>121</v>
      </c>
      <c r="N22" s="12" t="n">
        <v>100</v>
      </c>
      <c r="O22" s="12" t="n">
        <v>103</v>
      </c>
      <c r="P22" s="12" t="n">
        <v>223</v>
      </c>
      <c r="Q22" s="12" t="n">
        <v>176</v>
      </c>
      <c r="R22" s="12" t="n">
        <v>58</v>
      </c>
      <c r="S22" s="12" t="n">
        <v>79</v>
      </c>
      <c r="T22" s="12" t="n">
        <v>88</v>
      </c>
      <c r="U22" s="12" t="n">
        <v>45</v>
      </c>
      <c r="V22" s="12" t="n">
        <v>126</v>
      </c>
      <c r="W22" s="12" t="n">
        <v>74</v>
      </c>
      <c r="X22" s="12" t="n">
        <v>145</v>
      </c>
      <c r="Y22" s="12" t="n">
        <v>168</v>
      </c>
      <c r="Z22" s="12" t="n">
        <v>117</v>
      </c>
      <c r="AA22" s="12" t="n">
        <v>73</v>
      </c>
      <c r="AB22" s="12" t="n">
        <v>140</v>
      </c>
      <c r="AC22" s="12" t="n">
        <v>133</v>
      </c>
      <c r="AD22" s="12" t="n">
        <v>148</v>
      </c>
      <c r="AE22" s="12" t="n">
        <v>84</v>
      </c>
      <c r="AF22" s="12" t="n">
        <v>168</v>
      </c>
    </row>
    <row r="23">
      <c r="A23" s="20" t="n"/>
      <c r="B23" s="13" t="inlineStr">
        <is>
          <t>Civil rights and freedoms (freedom of speech, political rights, etc.)</t>
        </is>
      </c>
      <c r="C23" s="14" t="n">
        <v>0.13</v>
      </c>
      <c r="D23" s="14" t="n">
        <v>0.1</v>
      </c>
      <c r="E23" s="14" t="n">
        <v>0.13</v>
      </c>
      <c r="F23" s="14" t="n">
        <v>0.1</v>
      </c>
      <c r="G23" s="14" t="n">
        <v>0.13</v>
      </c>
      <c r="H23" s="14" t="n">
        <v>0.15</v>
      </c>
      <c r="I23" s="14" t="n">
        <v>0.15</v>
      </c>
      <c r="J23" s="14" t="n">
        <v>0.15</v>
      </c>
      <c r="K23" s="14" t="n">
        <v>0.08</v>
      </c>
      <c r="L23" s="14" t="n">
        <v>0.09</v>
      </c>
      <c r="M23" s="14" t="n">
        <v>0.12</v>
      </c>
      <c r="N23" s="14" t="n">
        <v>0.1</v>
      </c>
      <c r="O23" s="14" t="n">
        <v>0.1</v>
      </c>
      <c r="P23" s="14" t="n">
        <v>0.23</v>
      </c>
      <c r="Q23" s="14" t="n">
        <v>0.18</v>
      </c>
      <c r="R23" s="14" t="n">
        <v>0.12</v>
      </c>
      <c r="S23" s="14" t="n">
        <v>0.08</v>
      </c>
      <c r="T23" s="14" t="n">
        <v>0.09</v>
      </c>
      <c r="U23" s="14" t="n">
        <v>0.09</v>
      </c>
      <c r="V23" s="14" t="n">
        <v>0.13</v>
      </c>
      <c r="W23" s="14" t="n">
        <v>0.15</v>
      </c>
      <c r="X23" s="14" t="n">
        <v>0.15</v>
      </c>
      <c r="Y23" s="14" t="n">
        <v>0.17</v>
      </c>
      <c r="Z23" s="14" t="n">
        <v>0.12</v>
      </c>
      <c r="AA23" s="14" t="n">
        <v>0.07000000000000001</v>
      </c>
      <c r="AB23" s="14" t="n">
        <v>0.14</v>
      </c>
      <c r="AC23" s="14" t="n">
        <v>0.14</v>
      </c>
      <c r="AD23" s="14" t="n">
        <v>0.15</v>
      </c>
      <c r="AE23" s="14" t="n">
        <v>0.09</v>
      </c>
      <c r="AF23" s="14" t="n">
        <v>0.17</v>
      </c>
    </row>
    <row r="24">
      <c r="A24" s="20" t="n"/>
      <c r="B24" s="11" t="inlineStr">
        <is>
          <t>La situation financière et la capacité à couvrir les dépenses du quotidien</t>
        </is>
      </c>
      <c r="C24" s="12" t="n">
        <v>6585</v>
      </c>
      <c r="D24" s="12" t="n">
        <v>280</v>
      </c>
      <c r="E24" s="12" t="n">
        <v>318</v>
      </c>
      <c r="F24" s="12" t="n">
        <v>260</v>
      </c>
      <c r="G24" s="12" t="n">
        <v>255</v>
      </c>
      <c r="H24" s="12" t="n">
        <v>293</v>
      </c>
      <c r="I24" s="12" t="n">
        <v>380</v>
      </c>
      <c r="J24" s="12" t="n">
        <v>86</v>
      </c>
      <c r="K24" s="12" t="n">
        <v>297</v>
      </c>
      <c r="L24" s="12" t="n">
        <v>249</v>
      </c>
      <c r="M24" s="12" t="n">
        <v>377</v>
      </c>
      <c r="N24" s="12" t="n">
        <v>252</v>
      </c>
      <c r="O24" s="12" t="n">
        <v>237</v>
      </c>
      <c r="P24" s="12" t="n">
        <v>267</v>
      </c>
      <c r="Q24" s="12" t="n">
        <v>245</v>
      </c>
      <c r="R24" s="12" t="n">
        <v>182</v>
      </c>
      <c r="S24" s="12" t="n">
        <v>287</v>
      </c>
      <c r="T24" s="12" t="n">
        <v>274</v>
      </c>
      <c r="U24" s="12" t="n">
        <v>111</v>
      </c>
      <c r="V24" s="12" t="n">
        <v>284</v>
      </c>
      <c r="W24" s="12" t="n">
        <v>132</v>
      </c>
      <c r="X24" s="12" t="n">
        <v>246</v>
      </c>
      <c r="Y24" s="12" t="n">
        <v>279</v>
      </c>
      <c r="Z24" s="12" t="n">
        <v>215</v>
      </c>
      <c r="AA24" s="12" t="n">
        <v>329</v>
      </c>
      <c r="AB24" s="12" t="n">
        <v>220</v>
      </c>
      <c r="AC24" s="12" t="n">
        <v>233</v>
      </c>
      <c r="AD24" s="12" t="n">
        <v>299</v>
      </c>
      <c r="AE24" s="12" t="n">
        <v>254</v>
      </c>
      <c r="AF24" s="12" t="n">
        <v>245</v>
      </c>
    </row>
    <row r="25">
      <c r="A25" s="20" t="n"/>
      <c r="B25" s="13" t="inlineStr">
        <is>
          <t>Financial situation and ability to afford daily life</t>
        </is>
      </c>
      <c r="C25" s="14" t="n">
        <v>0.3</v>
      </c>
      <c r="D25" s="14" t="n">
        <v>0.35</v>
      </c>
      <c r="E25" s="14" t="n">
        <v>0.48</v>
      </c>
      <c r="F25" s="14" t="n">
        <v>0.31</v>
      </c>
      <c r="G25" s="14" t="n">
        <v>0.29</v>
      </c>
      <c r="H25" s="14" t="n">
        <v>0.3</v>
      </c>
      <c r="I25" s="14" t="n">
        <v>0.31</v>
      </c>
      <c r="J25" s="14" t="n">
        <v>0.37</v>
      </c>
      <c r="K25" s="14" t="n">
        <v>0.39</v>
      </c>
      <c r="L25" s="14" t="n">
        <v>0.3</v>
      </c>
      <c r="M25" s="14" t="n">
        <v>0.49</v>
      </c>
      <c r="N25" s="14" t="n">
        <v>0.29</v>
      </c>
      <c r="O25" s="14" t="n">
        <v>0.29</v>
      </c>
      <c r="P25" s="14" t="n">
        <v>0.35</v>
      </c>
      <c r="Q25" s="14" t="n">
        <v>0.28</v>
      </c>
      <c r="R25" s="14" t="n">
        <v>0.45</v>
      </c>
      <c r="S25" s="14" t="n">
        <v>0.39</v>
      </c>
      <c r="T25" s="14" t="n">
        <v>0.33</v>
      </c>
      <c r="U25" s="14" t="n">
        <v>0.26</v>
      </c>
      <c r="V25" s="14" t="n">
        <v>0.35</v>
      </c>
      <c r="W25" s="14" t="n">
        <v>0.3</v>
      </c>
      <c r="X25" s="14" t="n">
        <v>0.29</v>
      </c>
      <c r="Y25" s="14" t="n">
        <v>0.33</v>
      </c>
      <c r="Z25" s="14" t="n">
        <v>0.26</v>
      </c>
      <c r="AA25" s="14" t="n">
        <v>0.41</v>
      </c>
      <c r="AB25" s="14" t="n">
        <v>0.26</v>
      </c>
      <c r="AC25" s="14" t="n">
        <v>0.28</v>
      </c>
      <c r="AD25" s="14" t="n">
        <v>0.38</v>
      </c>
      <c r="AE25" s="14" t="n">
        <v>0.32</v>
      </c>
      <c r="AF25" s="14" t="n">
        <v>0.28</v>
      </c>
    </row>
    <row r="26">
      <c r="A26" s="20" t="n"/>
      <c r="B26" s="11" t="inlineStr">
        <is>
          <t>La qualité et l’accessibilité des soins de santé</t>
        </is>
      </c>
      <c r="C26" s="12" t="n">
        <v>7135</v>
      </c>
      <c r="D26" s="12" t="n">
        <v>243</v>
      </c>
      <c r="E26" s="12" t="n">
        <v>333</v>
      </c>
      <c r="F26" s="12" t="n">
        <v>301</v>
      </c>
      <c r="G26" s="12" t="n">
        <v>279</v>
      </c>
      <c r="H26" s="12" t="n">
        <v>326</v>
      </c>
      <c r="I26" s="12" t="n">
        <v>420</v>
      </c>
      <c r="J26" s="12" t="n">
        <v>94</v>
      </c>
      <c r="K26" s="12" t="n">
        <v>277</v>
      </c>
      <c r="L26" s="12" t="n">
        <v>235</v>
      </c>
      <c r="M26" s="12" t="n">
        <v>355</v>
      </c>
      <c r="N26" s="12" t="n">
        <v>276</v>
      </c>
      <c r="O26" s="12" t="n">
        <v>266</v>
      </c>
      <c r="P26" s="12" t="n">
        <v>266</v>
      </c>
      <c r="Q26" s="12" t="n">
        <v>257</v>
      </c>
      <c r="R26" s="12" t="n">
        <v>120</v>
      </c>
      <c r="S26" s="12" t="n">
        <v>344</v>
      </c>
      <c r="T26" s="12" t="n">
        <v>346</v>
      </c>
      <c r="U26" s="12" t="n">
        <v>86</v>
      </c>
      <c r="V26" s="12" t="n">
        <v>304</v>
      </c>
      <c r="W26" s="12" t="n">
        <v>102</v>
      </c>
      <c r="X26" s="12" t="n">
        <v>273</v>
      </c>
      <c r="Y26" s="12" t="n">
        <v>267</v>
      </c>
      <c r="Z26" s="12" t="n">
        <v>218</v>
      </c>
      <c r="AA26" s="12" t="n">
        <v>396</v>
      </c>
      <c r="AB26" s="12" t="n">
        <v>237</v>
      </c>
      <c r="AC26" s="12" t="n">
        <v>259</v>
      </c>
      <c r="AD26" s="12" t="n">
        <v>338</v>
      </c>
      <c r="AE26" s="12" t="n">
        <v>317</v>
      </c>
      <c r="AF26" s="12" t="n">
        <v>340</v>
      </c>
    </row>
    <row r="27">
      <c r="A27" s="20" t="n"/>
      <c r="B27" s="13" t="inlineStr">
        <is>
          <t>Quality and accessibility of healthcare</t>
        </is>
      </c>
      <c r="C27" s="14" t="n">
        <v>0.3</v>
      </c>
      <c r="D27" s="14" t="n">
        <v>0.26</v>
      </c>
      <c r="E27" s="14" t="n">
        <v>0.36</v>
      </c>
      <c r="F27" s="14" t="n">
        <v>0.33</v>
      </c>
      <c r="G27" s="14" t="n">
        <v>0.31</v>
      </c>
      <c r="H27" s="14" t="n">
        <v>0.3</v>
      </c>
      <c r="I27" s="14" t="n">
        <v>0.31</v>
      </c>
      <c r="J27" s="14" t="n">
        <v>0.37</v>
      </c>
      <c r="K27" s="14" t="n">
        <v>0.32</v>
      </c>
      <c r="L27" s="14" t="n">
        <v>0.26</v>
      </c>
      <c r="M27" s="14" t="n">
        <v>0.41</v>
      </c>
      <c r="N27" s="14" t="n">
        <v>0.31</v>
      </c>
      <c r="O27" s="14" t="n">
        <v>0.3</v>
      </c>
      <c r="P27" s="14" t="n">
        <v>0.3</v>
      </c>
      <c r="Q27" s="14" t="n">
        <v>0.27</v>
      </c>
      <c r="R27" s="14" t="n">
        <v>0.26</v>
      </c>
      <c r="S27" s="14" t="n">
        <v>0.44</v>
      </c>
      <c r="T27" s="14" t="n">
        <v>0.43</v>
      </c>
      <c r="U27" s="14" t="n">
        <v>0.18</v>
      </c>
      <c r="V27" s="14" t="n">
        <v>0.35</v>
      </c>
      <c r="W27" s="14" t="n">
        <v>0.22</v>
      </c>
      <c r="X27" s="14" t="n">
        <v>0.3</v>
      </c>
      <c r="Y27" s="14" t="n">
        <v>0.29</v>
      </c>
      <c r="Z27" s="14" t="n">
        <v>0.25</v>
      </c>
      <c r="AA27" s="14" t="n">
        <v>0.44</v>
      </c>
      <c r="AB27" s="14" t="n">
        <v>0.24</v>
      </c>
      <c r="AC27" s="14" t="n">
        <v>0.3</v>
      </c>
      <c r="AD27" s="14" t="n">
        <v>0.39</v>
      </c>
      <c r="AE27" s="14" t="n">
        <v>0.37</v>
      </c>
      <c r="AF27" s="14" t="n">
        <v>0.4</v>
      </c>
    </row>
    <row r="28">
      <c r="A28" s="20" t="n"/>
      <c r="B28" s="11" t="inlineStr">
        <is>
          <t>La qualité des transports et la facilité de déplacement</t>
        </is>
      </c>
      <c r="C28" s="12" t="n">
        <v>3015</v>
      </c>
      <c r="D28" s="12" t="n">
        <v>133</v>
      </c>
      <c r="E28" s="12" t="n">
        <v>107</v>
      </c>
      <c r="F28" s="12" t="n">
        <v>135</v>
      </c>
      <c r="G28" s="12" t="n">
        <v>113</v>
      </c>
      <c r="H28" s="12" t="n">
        <v>161</v>
      </c>
      <c r="I28" s="12" t="n">
        <v>200</v>
      </c>
      <c r="J28" s="12" t="n">
        <v>38</v>
      </c>
      <c r="K28" s="12" t="n">
        <v>84</v>
      </c>
      <c r="L28" s="12" t="n">
        <v>149</v>
      </c>
      <c r="M28" s="12" t="n">
        <v>162</v>
      </c>
      <c r="N28" s="12" t="n">
        <v>88</v>
      </c>
      <c r="O28" s="12" t="n">
        <v>96</v>
      </c>
      <c r="P28" s="12" t="n">
        <v>157</v>
      </c>
      <c r="Q28" s="12" t="n">
        <v>129</v>
      </c>
      <c r="R28" s="12" t="n">
        <v>47</v>
      </c>
      <c r="S28" s="12" t="n">
        <v>73</v>
      </c>
      <c r="T28" s="12" t="n">
        <v>90</v>
      </c>
      <c r="U28" s="12" t="n">
        <v>43</v>
      </c>
      <c r="V28" s="12" t="n">
        <v>112</v>
      </c>
      <c r="W28" s="12" t="n">
        <v>101</v>
      </c>
      <c r="X28" s="12" t="n">
        <v>144</v>
      </c>
      <c r="Y28" s="12" t="n">
        <v>134</v>
      </c>
      <c r="Z28" s="12" t="n">
        <v>83</v>
      </c>
      <c r="AA28" s="12" t="n">
        <v>113</v>
      </c>
      <c r="AB28" s="12" t="n">
        <v>142</v>
      </c>
      <c r="AC28" s="12" t="n">
        <v>67</v>
      </c>
      <c r="AD28" s="12" t="n">
        <v>121</v>
      </c>
      <c r="AE28" s="12" t="n">
        <v>62</v>
      </c>
      <c r="AF28" s="12" t="n">
        <v>122</v>
      </c>
    </row>
    <row r="29">
      <c r="A29" s="20" t="n"/>
      <c r="B29" s="13" t="inlineStr">
        <is>
          <t>Quality of transport and ease of getting around</t>
        </is>
      </c>
      <c r="C29" s="14" t="n">
        <v>0.12</v>
      </c>
      <c r="D29" s="14" t="n">
        <v>0.14</v>
      </c>
      <c r="E29" s="14" t="n">
        <v>0.11</v>
      </c>
      <c r="F29" s="14" t="n">
        <v>0.14</v>
      </c>
      <c r="G29" s="14" t="n">
        <v>0.12</v>
      </c>
      <c r="H29" s="14" t="n">
        <v>0.14</v>
      </c>
      <c r="I29" s="14" t="n">
        <v>0.14</v>
      </c>
      <c r="J29" s="14" t="n">
        <v>0.14</v>
      </c>
      <c r="K29" s="14" t="n">
        <v>0.09</v>
      </c>
      <c r="L29" s="14" t="n">
        <v>0.15</v>
      </c>
      <c r="M29" s="14" t="n">
        <v>0.16</v>
      </c>
      <c r="N29" s="14" t="n">
        <v>0.09</v>
      </c>
      <c r="O29" s="14" t="n">
        <v>0.1</v>
      </c>
      <c r="P29" s="14" t="n">
        <v>0.16</v>
      </c>
      <c r="Q29" s="14" t="n">
        <v>0.13</v>
      </c>
      <c r="R29" s="14" t="n">
        <v>0.1</v>
      </c>
      <c r="S29" s="14" t="n">
        <v>0.07000000000000001</v>
      </c>
      <c r="T29" s="14" t="n">
        <v>0.09</v>
      </c>
      <c r="U29" s="14" t="n">
        <v>0.09</v>
      </c>
      <c r="V29" s="14" t="n">
        <v>0.11</v>
      </c>
      <c r="W29" s="14" t="n">
        <v>0.21</v>
      </c>
      <c r="X29" s="14" t="n">
        <v>0.15</v>
      </c>
      <c r="Y29" s="14" t="n">
        <v>0.14</v>
      </c>
      <c r="Z29" s="14" t="n">
        <v>0.09</v>
      </c>
      <c r="AA29" s="14" t="n">
        <v>0.11</v>
      </c>
      <c r="AB29" s="14" t="n">
        <v>0.14</v>
      </c>
      <c r="AC29" s="14" t="n">
        <v>0.07000000000000001</v>
      </c>
      <c r="AD29" s="14" t="n">
        <v>0.12</v>
      </c>
      <c r="AE29" s="14" t="n">
        <v>0.06</v>
      </c>
      <c r="AF29" s="14" t="n">
        <v>0.12</v>
      </c>
    </row>
    <row r="30">
      <c r="A30" s="20" t="n"/>
      <c r="B30" s="11" t="inlineStr">
        <is>
          <t>La sécurité publique et personnelle</t>
        </is>
      </c>
      <c r="C30" s="12" t="n">
        <v>5624</v>
      </c>
      <c r="D30" s="12" t="n">
        <v>178</v>
      </c>
      <c r="E30" s="12" t="n">
        <v>260</v>
      </c>
      <c r="F30" s="12" t="n">
        <v>218</v>
      </c>
      <c r="G30" s="12" t="n">
        <v>189</v>
      </c>
      <c r="H30" s="12" t="n">
        <v>288</v>
      </c>
      <c r="I30" s="12" t="n">
        <v>378</v>
      </c>
      <c r="J30" s="12" t="n">
        <v>90</v>
      </c>
      <c r="K30" s="12" t="n">
        <v>193</v>
      </c>
      <c r="L30" s="12" t="n">
        <v>168</v>
      </c>
      <c r="M30" s="12" t="n">
        <v>235</v>
      </c>
      <c r="N30" s="12" t="n">
        <v>196</v>
      </c>
      <c r="O30" s="12" t="n">
        <v>174</v>
      </c>
      <c r="P30" s="12" t="n">
        <v>151</v>
      </c>
      <c r="Q30" s="12" t="n">
        <v>242</v>
      </c>
      <c r="R30" s="12" t="n">
        <v>140</v>
      </c>
      <c r="S30" s="12" t="n">
        <v>215</v>
      </c>
      <c r="T30" s="12" t="n">
        <v>224</v>
      </c>
      <c r="U30" s="12" t="n">
        <v>73</v>
      </c>
      <c r="V30" s="12" t="n">
        <v>210</v>
      </c>
      <c r="W30" s="12" t="n">
        <v>73</v>
      </c>
      <c r="X30" s="12" t="n">
        <v>210</v>
      </c>
      <c r="Y30" s="12" t="n">
        <v>248</v>
      </c>
      <c r="Z30" s="12" t="n">
        <v>220</v>
      </c>
      <c r="AA30" s="12" t="n">
        <v>251</v>
      </c>
      <c r="AB30" s="12" t="n">
        <v>194</v>
      </c>
      <c r="AC30" s="12" t="n">
        <v>204</v>
      </c>
      <c r="AD30" s="12" t="n">
        <v>203</v>
      </c>
      <c r="AE30" s="12" t="n">
        <v>199</v>
      </c>
      <c r="AF30" s="12" t="n">
        <v>217</v>
      </c>
    </row>
    <row r="31">
      <c r="A31" s="20" t="n"/>
      <c r="B31" s="13" t="inlineStr">
        <is>
          <t>Public safety and personal security</t>
        </is>
      </c>
      <c r="C31" s="14" t="n">
        <v>0.23</v>
      </c>
      <c r="D31" s="14" t="n">
        <v>0.19</v>
      </c>
      <c r="E31" s="14" t="n">
        <v>0.27</v>
      </c>
      <c r="F31" s="14" t="n">
        <v>0.23</v>
      </c>
      <c r="G31" s="14" t="n">
        <v>0.2</v>
      </c>
      <c r="H31" s="14" t="n">
        <v>0.27</v>
      </c>
      <c r="I31" s="14" t="n">
        <v>0.28</v>
      </c>
      <c r="J31" s="14" t="n">
        <v>0.33</v>
      </c>
      <c r="K31" s="14" t="n">
        <v>0.21</v>
      </c>
      <c r="L31" s="14" t="n">
        <v>0.18</v>
      </c>
      <c r="M31" s="14" t="n">
        <v>0.25</v>
      </c>
      <c r="N31" s="14" t="n">
        <v>0.21</v>
      </c>
      <c r="O31" s="14" t="n">
        <v>0.18</v>
      </c>
      <c r="P31" s="14" t="n">
        <v>0.16</v>
      </c>
      <c r="Q31" s="14" t="n">
        <v>0.27</v>
      </c>
      <c r="R31" s="14" t="n">
        <v>0.31</v>
      </c>
      <c r="S31" s="14" t="n">
        <v>0.23</v>
      </c>
      <c r="T31" s="14" t="n">
        <v>0.24</v>
      </c>
      <c r="U31" s="14" t="n">
        <v>0.16</v>
      </c>
      <c r="V31" s="14" t="n">
        <v>0.22</v>
      </c>
      <c r="W31" s="14" t="n">
        <v>0.15</v>
      </c>
      <c r="X31" s="14" t="n">
        <v>0.22</v>
      </c>
      <c r="Y31" s="14" t="n">
        <v>0.27</v>
      </c>
      <c r="Z31" s="14" t="n">
        <v>0.24</v>
      </c>
      <c r="AA31" s="14" t="n">
        <v>0.25</v>
      </c>
      <c r="AB31" s="14" t="n">
        <v>0.2</v>
      </c>
      <c r="AC31" s="14" t="n">
        <v>0.21</v>
      </c>
      <c r="AD31" s="14" t="n">
        <v>0.21</v>
      </c>
      <c r="AE31" s="14" t="n">
        <v>0.21</v>
      </c>
      <c r="AF31" s="14" t="n">
        <v>0.23</v>
      </c>
    </row>
    <row r="32">
      <c r="A32" s="20" t="n"/>
      <c r="B32" s="11" t="inlineStr">
        <is>
          <t>La qualité de l’éducation et les opportunités d’apprentissage</t>
        </is>
      </c>
      <c r="C32" s="12" t="n">
        <v>3258</v>
      </c>
      <c r="D32" s="12" t="n">
        <v>158</v>
      </c>
      <c r="E32" s="12" t="n">
        <v>101</v>
      </c>
      <c r="F32" s="12" t="n">
        <v>89</v>
      </c>
      <c r="G32" s="12" t="n">
        <v>99</v>
      </c>
      <c r="H32" s="12" t="n">
        <v>145</v>
      </c>
      <c r="I32" s="12" t="n">
        <v>186</v>
      </c>
      <c r="J32" s="12" t="n">
        <v>41</v>
      </c>
      <c r="K32" s="12" t="n">
        <v>114</v>
      </c>
      <c r="L32" s="12" t="n">
        <v>137</v>
      </c>
      <c r="M32" s="12" t="n">
        <v>190</v>
      </c>
      <c r="N32" s="12" t="n">
        <v>164</v>
      </c>
      <c r="O32" s="12" t="n">
        <v>113</v>
      </c>
      <c r="P32" s="12" t="n">
        <v>96</v>
      </c>
      <c r="Q32" s="12" t="n">
        <v>126</v>
      </c>
      <c r="R32" s="12" t="n">
        <v>127</v>
      </c>
      <c r="S32" s="12" t="n">
        <v>124</v>
      </c>
      <c r="T32" s="12" t="n">
        <v>107</v>
      </c>
      <c r="U32" s="12" t="n">
        <v>75</v>
      </c>
      <c r="V32" s="12" t="n">
        <v>124</v>
      </c>
      <c r="W32" s="12" t="n">
        <v>82</v>
      </c>
      <c r="X32" s="12" t="n">
        <v>117</v>
      </c>
      <c r="Y32" s="12" t="n">
        <v>156</v>
      </c>
      <c r="Z32" s="12" t="n">
        <v>65</v>
      </c>
      <c r="AA32" s="12" t="n">
        <v>139</v>
      </c>
      <c r="AB32" s="12" t="n">
        <v>182</v>
      </c>
      <c r="AC32" s="12" t="n">
        <v>104</v>
      </c>
      <c r="AD32" s="12" t="n">
        <v>143</v>
      </c>
      <c r="AE32" s="12" t="n">
        <v>99</v>
      </c>
      <c r="AF32" s="12" t="n">
        <v>80</v>
      </c>
    </row>
    <row r="33">
      <c r="A33" s="20" t="n"/>
      <c r="B33" s="13" t="inlineStr">
        <is>
          <t>Quality of education and opportunities to learn</t>
        </is>
      </c>
      <c r="C33" s="14" t="n">
        <v>0.13</v>
      </c>
      <c r="D33" s="14" t="n">
        <v>0.16</v>
      </c>
      <c r="E33" s="14" t="n">
        <v>0.1</v>
      </c>
      <c r="F33" s="14" t="n">
        <v>0.09</v>
      </c>
      <c r="G33" s="14" t="n">
        <v>0.1</v>
      </c>
      <c r="H33" s="14" t="n">
        <v>0.13</v>
      </c>
      <c r="I33" s="14" t="n">
        <v>0.13</v>
      </c>
      <c r="J33" s="14" t="n">
        <v>0.14</v>
      </c>
      <c r="K33" s="14" t="n">
        <v>0.12</v>
      </c>
      <c r="L33" s="14" t="n">
        <v>0.14</v>
      </c>
      <c r="M33" s="14" t="n">
        <v>0.2</v>
      </c>
      <c r="N33" s="14" t="n">
        <v>0.17</v>
      </c>
      <c r="O33" s="14" t="n">
        <v>0.12</v>
      </c>
      <c r="P33" s="14" t="n">
        <v>0.1</v>
      </c>
      <c r="Q33" s="14" t="n">
        <v>0.13</v>
      </c>
      <c r="R33" s="14" t="n">
        <v>0.27</v>
      </c>
      <c r="S33" s="14" t="n">
        <v>0.13</v>
      </c>
      <c r="T33" s="14" t="n">
        <v>0.11</v>
      </c>
      <c r="U33" s="14" t="n">
        <v>0.16</v>
      </c>
      <c r="V33" s="14" t="n">
        <v>0.13</v>
      </c>
      <c r="W33" s="14" t="n">
        <v>0.18</v>
      </c>
      <c r="X33" s="14" t="n">
        <v>0.12</v>
      </c>
      <c r="Y33" s="14" t="n">
        <v>0.16</v>
      </c>
      <c r="Z33" s="14" t="n">
        <v>0.07000000000000001</v>
      </c>
      <c r="AA33" s="14" t="n">
        <v>0.14</v>
      </c>
      <c r="AB33" s="14" t="n">
        <v>0.19</v>
      </c>
      <c r="AC33" s="14" t="n">
        <v>0.11</v>
      </c>
      <c r="AD33" s="14" t="n">
        <v>0.15</v>
      </c>
      <c r="AE33" s="14" t="n">
        <v>0.1</v>
      </c>
      <c r="AF33" s="14" t="n">
        <v>0.08</v>
      </c>
    </row>
    <row r="34">
      <c r="A34" s="20" t="n"/>
      <c r="B34" s="11" t="inlineStr">
        <is>
          <t>L’accès à la nature et aux espaces verts</t>
        </is>
      </c>
      <c r="C34" s="12" t="n">
        <v>2739</v>
      </c>
      <c r="D34" s="12" t="n">
        <v>108</v>
      </c>
      <c r="E34" s="12" t="n">
        <v>86</v>
      </c>
      <c r="F34" s="12" t="n">
        <v>115</v>
      </c>
      <c r="G34" s="12" t="n">
        <v>163</v>
      </c>
      <c r="H34" s="12" t="n">
        <v>118</v>
      </c>
      <c r="I34" s="12" t="n">
        <v>153</v>
      </c>
      <c r="J34" s="12" t="n">
        <v>35</v>
      </c>
      <c r="K34" s="12" t="n">
        <v>93</v>
      </c>
      <c r="L34" s="12" t="n">
        <v>123</v>
      </c>
      <c r="M34" s="12" t="n">
        <v>125</v>
      </c>
      <c r="N34" s="12" t="n">
        <v>79</v>
      </c>
      <c r="O34" s="12" t="n">
        <v>75</v>
      </c>
      <c r="P34" s="12" t="n">
        <v>120</v>
      </c>
      <c r="Q34" s="12" t="n">
        <v>135</v>
      </c>
      <c r="R34" s="12" t="n">
        <v>43</v>
      </c>
      <c r="S34" s="12" t="n">
        <v>39</v>
      </c>
      <c r="T34" s="12" t="n">
        <v>48</v>
      </c>
      <c r="U34" s="12" t="n">
        <v>56</v>
      </c>
      <c r="V34" s="12" t="n">
        <v>136</v>
      </c>
      <c r="W34" s="12" t="n">
        <v>82</v>
      </c>
      <c r="X34" s="12" t="n">
        <v>123</v>
      </c>
      <c r="Y34" s="12" t="n">
        <v>197</v>
      </c>
      <c r="Z34" s="12" t="n">
        <v>96</v>
      </c>
      <c r="AA34" s="12" t="n">
        <v>87</v>
      </c>
      <c r="AB34" s="12" t="n">
        <v>99</v>
      </c>
      <c r="AC34" s="12" t="n">
        <v>149</v>
      </c>
      <c r="AD34" s="12" t="n">
        <v>92</v>
      </c>
      <c r="AE34" s="12" t="n">
        <v>108</v>
      </c>
      <c r="AF34" s="12" t="n">
        <v>163</v>
      </c>
    </row>
    <row r="35">
      <c r="A35" s="20" t="n"/>
      <c r="B35" s="13" t="inlineStr">
        <is>
          <t>Access to nature and green spaces</t>
        </is>
      </c>
      <c r="C35" s="14" t="n">
        <v>0.11</v>
      </c>
      <c r="D35" s="14" t="n">
        <v>0.11</v>
      </c>
      <c r="E35" s="14" t="n">
        <v>0.09</v>
      </c>
      <c r="F35" s="14" t="n">
        <v>0.12</v>
      </c>
      <c r="G35" s="14" t="n">
        <v>0.17</v>
      </c>
      <c r="H35" s="14" t="n">
        <v>0.1</v>
      </c>
      <c r="I35" s="14" t="n">
        <v>0.1</v>
      </c>
      <c r="J35" s="14" t="n">
        <v>0.12</v>
      </c>
      <c r="K35" s="14" t="n">
        <v>0.1</v>
      </c>
      <c r="L35" s="14" t="n">
        <v>0.12</v>
      </c>
      <c r="M35" s="14" t="n">
        <v>0.12</v>
      </c>
      <c r="N35" s="14" t="n">
        <v>0.08</v>
      </c>
      <c r="O35" s="14" t="n">
        <v>0.08</v>
      </c>
      <c r="P35" s="14" t="n">
        <v>0.12</v>
      </c>
      <c r="Q35" s="14" t="n">
        <v>0.14</v>
      </c>
      <c r="R35" s="14" t="n">
        <v>0.09</v>
      </c>
      <c r="S35" s="14" t="n">
        <v>0.04</v>
      </c>
      <c r="T35" s="14" t="n">
        <v>0.05</v>
      </c>
      <c r="U35" s="14" t="n">
        <v>0.11</v>
      </c>
      <c r="V35" s="14" t="n">
        <v>0.14</v>
      </c>
      <c r="W35" s="14" t="n">
        <v>0.17</v>
      </c>
      <c r="X35" s="14" t="n">
        <v>0.12</v>
      </c>
      <c r="Y35" s="14" t="n">
        <v>0.21</v>
      </c>
      <c r="Z35" s="14" t="n">
        <v>0.1</v>
      </c>
      <c r="AA35" s="14" t="n">
        <v>0.09</v>
      </c>
      <c r="AB35" s="14" t="n">
        <v>0.1</v>
      </c>
      <c r="AC35" s="14" t="n">
        <v>0.15</v>
      </c>
      <c r="AD35" s="14" t="n">
        <v>0.09</v>
      </c>
      <c r="AE35" s="14" t="n">
        <v>0.11</v>
      </c>
      <c r="AF35" s="14" t="n">
        <v>0.16</v>
      </c>
    </row>
    <row r="36">
      <c r="A36" s="20" t="n"/>
      <c r="B36" s="11" t="inlineStr">
        <is>
          <t>L’équilibre entre vie professionnelle et vie privée</t>
        </is>
      </c>
      <c r="C36" s="12" t="n">
        <v>3904</v>
      </c>
      <c r="D36" s="12" t="n">
        <v>173</v>
      </c>
      <c r="E36" s="12" t="n">
        <v>174</v>
      </c>
      <c r="F36" s="12" t="n">
        <v>144</v>
      </c>
      <c r="G36" s="12" t="n">
        <v>191</v>
      </c>
      <c r="H36" s="12" t="n">
        <v>98</v>
      </c>
      <c r="I36" s="12" t="n">
        <v>123</v>
      </c>
      <c r="J36" s="12" t="n">
        <v>25</v>
      </c>
      <c r="K36" s="12" t="n">
        <v>144</v>
      </c>
      <c r="L36" s="12" t="n">
        <v>217</v>
      </c>
      <c r="M36" s="12" t="n">
        <v>176</v>
      </c>
      <c r="N36" s="12" t="n">
        <v>168</v>
      </c>
      <c r="O36" s="12" t="n">
        <v>150</v>
      </c>
      <c r="P36" s="12" t="n">
        <v>201</v>
      </c>
      <c r="Q36" s="12" t="n">
        <v>181</v>
      </c>
      <c r="R36" s="12" t="n">
        <v>82</v>
      </c>
      <c r="S36" s="12" t="n">
        <v>180</v>
      </c>
      <c r="T36" s="12" t="n">
        <v>204</v>
      </c>
      <c r="U36" s="12" t="n">
        <v>111</v>
      </c>
      <c r="V36" s="12" t="n">
        <v>194</v>
      </c>
      <c r="W36" s="12" t="n">
        <v>112</v>
      </c>
      <c r="X36" s="12" t="n">
        <v>152</v>
      </c>
      <c r="Y36" s="12" t="n">
        <v>114</v>
      </c>
      <c r="Z36" s="12" t="n">
        <v>129</v>
      </c>
      <c r="AA36" s="12" t="n">
        <v>248</v>
      </c>
      <c r="AB36" s="12" t="n">
        <v>165</v>
      </c>
      <c r="AC36" s="12" t="n">
        <v>138</v>
      </c>
      <c r="AD36" s="12" t="n">
        <v>182</v>
      </c>
      <c r="AE36" s="12" t="n">
        <v>161</v>
      </c>
      <c r="AF36" s="12" t="n">
        <v>200</v>
      </c>
    </row>
    <row r="37">
      <c r="A37" s="20" t="n"/>
      <c r="B37" s="13" t="inlineStr">
        <is>
          <t>Work-life balance</t>
        </is>
      </c>
      <c r="C37" s="14" t="n">
        <v>0.16</v>
      </c>
      <c r="D37" s="14" t="n">
        <v>0.18</v>
      </c>
      <c r="E37" s="14" t="n">
        <v>0.18</v>
      </c>
      <c r="F37" s="14" t="n">
        <v>0.15</v>
      </c>
      <c r="G37" s="14" t="n">
        <v>0.22</v>
      </c>
      <c r="H37" s="14" t="n">
        <v>0.09</v>
      </c>
      <c r="I37" s="14" t="n">
        <v>0.09</v>
      </c>
      <c r="J37" s="14" t="n">
        <v>0.09</v>
      </c>
      <c r="K37" s="14" t="n">
        <v>0.16</v>
      </c>
      <c r="L37" s="14" t="n">
        <v>0.23</v>
      </c>
      <c r="M37" s="14" t="n">
        <v>0.18</v>
      </c>
      <c r="N37" s="14" t="n">
        <v>0.18</v>
      </c>
      <c r="O37" s="14" t="n">
        <v>0.16</v>
      </c>
      <c r="P37" s="14" t="n">
        <v>0.21</v>
      </c>
      <c r="Q37" s="14" t="n">
        <v>0.19</v>
      </c>
      <c r="R37" s="14" t="n">
        <v>0.17</v>
      </c>
      <c r="S37" s="14" t="n">
        <v>0.19</v>
      </c>
      <c r="T37" s="14" t="n">
        <v>0.21</v>
      </c>
      <c r="U37" s="14" t="n">
        <v>0.24</v>
      </c>
      <c r="V37" s="14" t="n">
        <v>0.2</v>
      </c>
      <c r="W37" s="14" t="n">
        <v>0.25</v>
      </c>
      <c r="X37" s="14" t="n">
        <v>0.16</v>
      </c>
      <c r="Y37" s="14" t="n">
        <v>0.12</v>
      </c>
      <c r="Z37" s="14" t="n">
        <v>0.13</v>
      </c>
      <c r="AA37" s="14" t="n">
        <v>0.27</v>
      </c>
      <c r="AB37" s="14" t="n">
        <v>0.17</v>
      </c>
      <c r="AC37" s="14" t="n">
        <v>0.15</v>
      </c>
      <c r="AD37" s="14" t="n">
        <v>0.19</v>
      </c>
      <c r="AE37" s="14" t="n">
        <v>0.18</v>
      </c>
      <c r="AF37" s="14" t="n">
        <v>0.22</v>
      </c>
    </row>
    <row r="38">
      <c r="A38" s="20" t="n"/>
      <c r="B38" s="11" t="inlineStr">
        <is>
          <t>La sécurité de l’emploi et les conditions de travail</t>
        </is>
      </c>
      <c r="C38" s="12" t="n">
        <v>5019</v>
      </c>
      <c r="D38" s="12" t="n">
        <v>197</v>
      </c>
      <c r="E38" s="12" t="n">
        <v>236</v>
      </c>
      <c r="F38" s="12" t="n">
        <v>193</v>
      </c>
      <c r="G38" s="12" t="n">
        <v>147</v>
      </c>
      <c r="H38" s="12" t="n">
        <v>200</v>
      </c>
      <c r="I38" s="12" t="n">
        <v>260</v>
      </c>
      <c r="J38" s="12" t="n">
        <v>60</v>
      </c>
      <c r="K38" s="12" t="n">
        <v>214</v>
      </c>
      <c r="L38" s="12" t="n">
        <v>217</v>
      </c>
      <c r="M38" s="12" t="n">
        <v>272</v>
      </c>
      <c r="N38" s="12" t="n">
        <v>217</v>
      </c>
      <c r="O38" s="12" t="n">
        <v>203</v>
      </c>
      <c r="P38" s="12" t="n">
        <v>256</v>
      </c>
      <c r="Q38" s="12" t="n">
        <v>205</v>
      </c>
      <c r="R38" s="12" t="n">
        <v>123</v>
      </c>
      <c r="S38" s="12" t="n">
        <v>112</v>
      </c>
      <c r="T38" s="12" t="n">
        <v>138</v>
      </c>
      <c r="U38" s="12" t="n">
        <v>114</v>
      </c>
      <c r="V38" s="12" t="n">
        <v>217</v>
      </c>
      <c r="W38" s="12" t="n">
        <v>82</v>
      </c>
      <c r="X38" s="12" t="n">
        <v>130</v>
      </c>
      <c r="Y38" s="12" t="n">
        <v>171</v>
      </c>
      <c r="Z38" s="12" t="n">
        <v>161</v>
      </c>
      <c r="AA38" s="12" t="n">
        <v>278</v>
      </c>
      <c r="AB38" s="12" t="n">
        <v>223</v>
      </c>
      <c r="AC38" s="12" t="n">
        <v>185</v>
      </c>
      <c r="AD38" s="12" t="n">
        <v>233</v>
      </c>
      <c r="AE38" s="12" t="n">
        <v>138</v>
      </c>
      <c r="AF38" s="12" t="n">
        <v>95</v>
      </c>
    </row>
    <row r="39">
      <c r="A39" s="20" t="n"/>
      <c r="B39" s="13" t="inlineStr">
        <is>
          <t>Job security and working conditions</t>
        </is>
      </c>
      <c r="C39" s="14" t="n">
        <v>0.21</v>
      </c>
      <c r="D39" s="14" t="n">
        <v>0.21</v>
      </c>
      <c r="E39" s="14" t="n">
        <v>0.25</v>
      </c>
      <c r="F39" s="14" t="n">
        <v>0.21</v>
      </c>
      <c r="G39" s="14" t="n">
        <v>0.16</v>
      </c>
      <c r="H39" s="14" t="n">
        <v>0.18</v>
      </c>
      <c r="I39" s="14" t="n">
        <v>0.19</v>
      </c>
      <c r="J39" s="14" t="n">
        <v>0.22</v>
      </c>
      <c r="K39" s="14" t="n">
        <v>0.24</v>
      </c>
      <c r="L39" s="14" t="n">
        <v>0.23</v>
      </c>
      <c r="M39" s="14" t="n">
        <v>0.3</v>
      </c>
      <c r="N39" s="14" t="n">
        <v>0.24</v>
      </c>
      <c r="O39" s="14" t="n">
        <v>0.22</v>
      </c>
      <c r="P39" s="14" t="n">
        <v>0.28</v>
      </c>
      <c r="Q39" s="14" t="n">
        <v>0.22</v>
      </c>
      <c r="R39" s="14" t="n">
        <v>0.26</v>
      </c>
      <c r="S39" s="14" t="n">
        <v>0.12</v>
      </c>
      <c r="T39" s="14" t="n">
        <v>0.14</v>
      </c>
      <c r="U39" s="14" t="n">
        <v>0.24</v>
      </c>
      <c r="V39" s="14" t="n">
        <v>0.23</v>
      </c>
      <c r="W39" s="14" t="n">
        <v>0.17</v>
      </c>
      <c r="X39" s="14" t="n">
        <v>0.14</v>
      </c>
      <c r="Y39" s="14" t="n">
        <v>0.19</v>
      </c>
      <c r="Z39" s="14" t="n">
        <v>0.17</v>
      </c>
      <c r="AA39" s="14" t="n">
        <v>0.31</v>
      </c>
      <c r="AB39" s="14" t="n">
        <v>0.24</v>
      </c>
      <c r="AC39" s="14" t="n">
        <v>0.19</v>
      </c>
      <c r="AD39" s="14" t="n">
        <v>0.26</v>
      </c>
      <c r="AE39" s="14" t="n">
        <v>0.14</v>
      </c>
      <c r="AF39" s="14" t="n">
        <v>0.1</v>
      </c>
    </row>
    <row r="40">
      <c r="A40" s="20" t="n"/>
      <c r="B40" s="11" t="inlineStr">
        <is>
          <t>La vie sociale (famille, amis, autres relations, etc.)</t>
        </is>
      </c>
      <c r="C40" s="12" t="n">
        <v>5641</v>
      </c>
      <c r="D40" s="12" t="n">
        <v>195</v>
      </c>
      <c r="E40" s="12" t="n">
        <v>297</v>
      </c>
      <c r="F40" s="12" t="n">
        <v>151</v>
      </c>
      <c r="G40" s="12" t="n">
        <v>278</v>
      </c>
      <c r="H40" s="12" t="n">
        <v>300</v>
      </c>
      <c r="I40" s="12" t="n">
        <v>394</v>
      </c>
      <c r="J40" s="12" t="n">
        <v>94</v>
      </c>
      <c r="K40" s="12" t="n">
        <v>237</v>
      </c>
      <c r="L40" s="12" t="n">
        <v>220</v>
      </c>
      <c r="M40" s="12" t="n">
        <v>237</v>
      </c>
      <c r="N40" s="12" t="n">
        <v>194</v>
      </c>
      <c r="O40" s="12" t="n">
        <v>219</v>
      </c>
      <c r="P40" s="12" t="n">
        <v>300</v>
      </c>
      <c r="Q40" s="12" t="n">
        <v>229</v>
      </c>
      <c r="R40" s="12" t="n">
        <v>100</v>
      </c>
      <c r="S40" s="12" t="n">
        <v>170</v>
      </c>
      <c r="T40" s="12" t="n">
        <v>291</v>
      </c>
      <c r="U40" s="12" t="n">
        <v>110</v>
      </c>
      <c r="V40" s="12" t="n">
        <v>186</v>
      </c>
      <c r="W40" s="12" t="n">
        <v>136</v>
      </c>
      <c r="X40" s="12" t="n">
        <v>172</v>
      </c>
      <c r="Y40" s="12" t="n">
        <v>259</v>
      </c>
      <c r="Z40" s="12" t="n">
        <v>111</v>
      </c>
      <c r="AA40" s="12" t="n">
        <v>253</v>
      </c>
      <c r="AB40" s="12" t="n">
        <v>165</v>
      </c>
      <c r="AC40" s="12" t="n">
        <v>167</v>
      </c>
      <c r="AD40" s="12" t="n">
        <v>255</v>
      </c>
      <c r="AE40" s="12" t="n">
        <v>242</v>
      </c>
      <c r="AF40" s="12" t="n">
        <v>290</v>
      </c>
    </row>
    <row r="41">
      <c r="A41" s="20" t="n"/>
      <c r="B41" s="13" t="inlineStr">
        <is>
          <t>Social life (family, friends, other relationships, etc.)</t>
        </is>
      </c>
      <c r="C41" s="14" t="n">
        <v>0.23</v>
      </c>
      <c r="D41" s="14" t="n">
        <v>0.2</v>
      </c>
      <c r="E41" s="14" t="n">
        <v>0.32</v>
      </c>
      <c r="F41" s="14" t="n">
        <v>0.16</v>
      </c>
      <c r="G41" s="14" t="n">
        <v>0.31</v>
      </c>
      <c r="H41" s="14" t="n">
        <v>0.27</v>
      </c>
      <c r="I41" s="14" t="n">
        <v>0.29</v>
      </c>
      <c r="J41" s="14" t="n">
        <v>0.35</v>
      </c>
      <c r="K41" s="14" t="n">
        <v>0.26</v>
      </c>
      <c r="L41" s="14" t="n">
        <v>0.24</v>
      </c>
      <c r="M41" s="14" t="n">
        <v>0.24</v>
      </c>
      <c r="N41" s="14" t="n">
        <v>0.21</v>
      </c>
      <c r="O41" s="14" t="n">
        <v>0.23</v>
      </c>
      <c r="P41" s="14" t="n">
        <v>0.32</v>
      </c>
      <c r="Q41" s="14" t="n">
        <v>0.24</v>
      </c>
      <c r="R41" s="14" t="n">
        <v>0.21</v>
      </c>
      <c r="S41" s="14" t="n">
        <v>0.18</v>
      </c>
      <c r="T41" s="14" t="n">
        <v>0.32</v>
      </c>
      <c r="U41" s="14" t="n">
        <v>0.24</v>
      </c>
      <c r="V41" s="14" t="n">
        <v>0.19</v>
      </c>
      <c r="W41" s="14" t="n">
        <v>0.29</v>
      </c>
      <c r="X41" s="14" t="n">
        <v>0.18</v>
      </c>
      <c r="Y41" s="14" t="n">
        <v>0.29</v>
      </c>
      <c r="Z41" s="14" t="n">
        <v>0.11</v>
      </c>
      <c r="AA41" s="14" t="n">
        <v>0.26</v>
      </c>
      <c r="AB41" s="14" t="n">
        <v>0.17</v>
      </c>
      <c r="AC41" s="14" t="n">
        <v>0.18</v>
      </c>
      <c r="AD41" s="14" t="n">
        <v>0.27</v>
      </c>
      <c r="AE41" s="14" t="n">
        <v>0.26</v>
      </c>
      <c r="AF41" s="14" t="n">
        <v>0.3</v>
      </c>
    </row>
    <row r="42">
      <c r="A42" s="20" t="n"/>
      <c r="B42" s="11" t="inlineStr">
        <is>
          <t>L’accès à la culture</t>
        </is>
      </c>
      <c r="C42" s="12" t="n">
        <v>1802</v>
      </c>
      <c r="D42" s="12" t="n">
        <v>85</v>
      </c>
      <c r="E42" s="12" t="n">
        <v>49</v>
      </c>
      <c r="F42" s="12" t="n">
        <v>45</v>
      </c>
      <c r="G42" s="12" t="n">
        <v>62</v>
      </c>
      <c r="H42" s="12" t="n">
        <v>57</v>
      </c>
      <c r="I42" s="12" t="n">
        <v>79</v>
      </c>
      <c r="J42" s="12" t="n">
        <v>22</v>
      </c>
      <c r="K42" s="12" t="n">
        <v>107</v>
      </c>
      <c r="L42" s="12" t="n">
        <v>63</v>
      </c>
      <c r="M42" s="12" t="n">
        <v>63</v>
      </c>
      <c r="N42" s="12" t="n">
        <v>68</v>
      </c>
      <c r="O42" s="12" t="n">
        <v>91</v>
      </c>
      <c r="P42" s="12" t="n">
        <v>58</v>
      </c>
      <c r="Q42" s="12" t="n">
        <v>78</v>
      </c>
      <c r="R42" s="12" t="n">
        <v>18</v>
      </c>
      <c r="S42" s="12" t="n">
        <v>61</v>
      </c>
      <c r="T42" s="12" t="n">
        <v>33</v>
      </c>
      <c r="U42" s="12" t="n">
        <v>26</v>
      </c>
      <c r="V42" s="12" t="n">
        <v>92</v>
      </c>
      <c r="W42" s="12" t="n">
        <v>37</v>
      </c>
      <c r="X42" s="12" t="n">
        <v>65</v>
      </c>
      <c r="Y42" s="12" t="n">
        <v>83</v>
      </c>
      <c r="Z42" s="12" t="n">
        <v>60</v>
      </c>
      <c r="AA42" s="12" t="n">
        <v>53</v>
      </c>
      <c r="AB42" s="12" t="n">
        <v>64</v>
      </c>
      <c r="AC42" s="12" t="n">
        <v>29</v>
      </c>
      <c r="AD42" s="12" t="n">
        <v>70</v>
      </c>
      <c r="AE42" s="12" t="n">
        <v>60</v>
      </c>
      <c r="AF42" s="12" t="n">
        <v>123</v>
      </c>
    </row>
    <row r="43">
      <c r="A43" s="20" t="n"/>
      <c r="B43" s="13" t="inlineStr">
        <is>
          <t>Access to culture</t>
        </is>
      </c>
      <c r="C43" s="14" t="n">
        <v>0.07000000000000001</v>
      </c>
      <c r="D43" s="14" t="n">
        <v>0.08</v>
      </c>
      <c r="E43" s="14" t="n">
        <v>0.05</v>
      </c>
      <c r="F43" s="14" t="n">
        <v>0.05</v>
      </c>
      <c r="G43" s="14" t="n">
        <v>0.06</v>
      </c>
      <c r="H43" s="14" t="n">
        <v>0.05</v>
      </c>
      <c r="I43" s="14" t="n">
        <v>0.05</v>
      </c>
      <c r="J43" s="14" t="n">
        <v>0.08</v>
      </c>
      <c r="K43" s="14" t="n">
        <v>0.11</v>
      </c>
      <c r="L43" s="14" t="n">
        <v>0.06</v>
      </c>
      <c r="M43" s="14" t="n">
        <v>0.06</v>
      </c>
      <c r="N43" s="14" t="n">
        <v>0.07000000000000001</v>
      </c>
      <c r="O43" s="14" t="n">
        <v>0.09</v>
      </c>
      <c r="P43" s="14" t="n">
        <v>0.06</v>
      </c>
      <c r="Q43" s="14" t="n">
        <v>0.08</v>
      </c>
      <c r="R43" s="14" t="n">
        <v>0.04</v>
      </c>
      <c r="S43" s="14" t="n">
        <v>0.06</v>
      </c>
      <c r="T43" s="14" t="n">
        <v>0.03</v>
      </c>
      <c r="U43" s="14" t="n">
        <v>0.05</v>
      </c>
      <c r="V43" s="14" t="n">
        <v>0.09</v>
      </c>
      <c r="W43" s="14" t="n">
        <v>0.07000000000000001</v>
      </c>
      <c r="X43" s="14" t="n">
        <v>0.06</v>
      </c>
      <c r="Y43" s="14" t="n">
        <v>0.09</v>
      </c>
      <c r="Z43" s="14" t="n">
        <v>0.06</v>
      </c>
      <c r="AA43" s="14" t="n">
        <v>0.05</v>
      </c>
      <c r="AB43" s="14" t="n">
        <v>0.06</v>
      </c>
      <c r="AC43" s="14" t="n">
        <v>0.03</v>
      </c>
      <c r="AD43" s="14" t="n">
        <v>0.07000000000000001</v>
      </c>
      <c r="AE43" s="14" t="n">
        <v>0.06</v>
      </c>
      <c r="AF43" s="14" t="n">
        <v>0.12</v>
      </c>
    </row>
    <row r="44">
      <c r="A44" s="20" t="n"/>
      <c r="B44" s="11" t="inlineStr">
        <is>
          <t>Autre (SPONTANÉ)</t>
        </is>
      </c>
      <c r="C44" s="12" t="n">
        <v>263</v>
      </c>
      <c r="D44" s="12" t="n">
        <v>5</v>
      </c>
      <c r="E44" s="12" t="n">
        <v>0</v>
      </c>
      <c r="F44" s="12" t="n">
        <v>1</v>
      </c>
      <c r="G44" s="12" t="n">
        <v>19</v>
      </c>
      <c r="H44" s="12" t="n">
        <v>49</v>
      </c>
      <c r="I44" s="12" t="n">
        <v>49</v>
      </c>
      <c r="J44" s="12" t="n">
        <v>0</v>
      </c>
      <c r="K44" s="12" t="n">
        <v>27</v>
      </c>
      <c r="L44" s="12" t="n">
        <v>0</v>
      </c>
      <c r="M44" s="12" t="n">
        <v>0</v>
      </c>
      <c r="N44" s="12" t="n">
        <v>3</v>
      </c>
      <c r="O44" s="12" t="n">
        <v>3</v>
      </c>
      <c r="P44" s="12" t="n">
        <v>0</v>
      </c>
      <c r="Q44" s="12" t="n">
        <v>1</v>
      </c>
      <c r="R44" s="12" t="n">
        <v>0</v>
      </c>
      <c r="S44" s="12" t="n">
        <v>4</v>
      </c>
      <c r="T44" s="12" t="n">
        <v>4</v>
      </c>
      <c r="U44" s="12" t="n">
        <v>3</v>
      </c>
      <c r="V44" s="12" t="n">
        <v>0</v>
      </c>
      <c r="W44" s="12" t="n">
        <v>3</v>
      </c>
      <c r="X44" s="12" t="n">
        <v>39</v>
      </c>
      <c r="Y44" s="12" t="n">
        <v>8</v>
      </c>
      <c r="Z44" s="12" t="n">
        <v>0</v>
      </c>
      <c r="AA44" s="12" t="n">
        <v>1</v>
      </c>
      <c r="AB44" s="12" t="n">
        <v>2</v>
      </c>
      <c r="AC44" s="12" t="n">
        <v>6</v>
      </c>
      <c r="AD44" s="12" t="n">
        <v>0</v>
      </c>
      <c r="AE44" s="12" t="n">
        <v>6</v>
      </c>
      <c r="AF44" s="12" t="n">
        <v>22</v>
      </c>
    </row>
    <row r="45">
      <c r="A45" s="20" t="n"/>
      <c r="B45" s="13" t="inlineStr">
        <is>
          <t>Other (SPONTANEOUS)</t>
        </is>
      </c>
      <c r="C45" s="14" t="n">
        <v>0.01</v>
      </c>
      <c r="D45" s="14" t="n">
        <v>0.01</v>
      </c>
      <c r="E45" s="15" t="inlineStr">
        <is>
          <t>-</t>
        </is>
      </c>
      <c r="F45" s="15" t="inlineStr">
        <is>
          <t>-</t>
        </is>
      </c>
      <c r="G45" s="14" t="n">
        <v>0.02</v>
      </c>
      <c r="H45" s="14" t="n">
        <v>0.04</v>
      </c>
      <c r="I45" s="14" t="n">
        <v>0.03</v>
      </c>
      <c r="J45" s="15" t="inlineStr">
        <is>
          <t>-</t>
        </is>
      </c>
      <c r="K45" s="14" t="n">
        <v>0.03</v>
      </c>
      <c r="L45" s="15" t="inlineStr">
        <is>
          <t>-</t>
        </is>
      </c>
      <c r="M45" s="15" t="inlineStr">
        <is>
          <t>-</t>
        </is>
      </c>
      <c r="N45" s="15" t="inlineStr">
        <is>
          <t>-</t>
        </is>
      </c>
      <c r="O45" s="15" t="inlineStr">
        <is>
          <t>-</t>
        </is>
      </c>
      <c r="P45" s="15" t="inlineStr">
        <is>
          <t>-</t>
        </is>
      </c>
      <c r="Q45" s="15" t="inlineStr">
        <is>
          <t>-</t>
        </is>
      </c>
      <c r="R45" s="15" t="inlineStr">
        <is>
          <t>-</t>
        </is>
      </c>
      <c r="S45" s="15" t="inlineStr">
        <is>
          <t>-</t>
        </is>
      </c>
      <c r="T45" s="15" t="inlineStr">
        <is>
          <t>-</t>
        </is>
      </c>
      <c r="U45" s="14" t="n">
        <v>0.01</v>
      </c>
      <c r="V45" s="15" t="inlineStr">
        <is>
          <t>-</t>
        </is>
      </c>
      <c r="W45" s="14" t="n">
        <v>0.01</v>
      </c>
      <c r="X45" s="14" t="n">
        <v>0.04</v>
      </c>
      <c r="Y45" s="14" t="n">
        <v>0.01</v>
      </c>
      <c r="Z45" s="15" t="inlineStr">
        <is>
          <t>-</t>
        </is>
      </c>
      <c r="AA45" s="15" t="inlineStr">
        <is>
          <t>-</t>
        </is>
      </c>
      <c r="AB45" s="15" t="inlineStr">
        <is>
          <t>-</t>
        </is>
      </c>
      <c r="AC45" s="14" t="n">
        <v>0.01</v>
      </c>
      <c r="AD45" s="15" t="inlineStr">
        <is>
          <t>-</t>
        </is>
      </c>
      <c r="AE45" s="14" t="n">
        <v>0.01</v>
      </c>
      <c r="AF45" s="14" t="n">
        <v>0.02</v>
      </c>
    </row>
    <row r="46">
      <c r="A46" s="20" t="n"/>
      <c r="B46" s="11" t="inlineStr">
        <is>
          <t>Ne sait pas</t>
        </is>
      </c>
      <c r="C46" s="12" t="n">
        <v>370</v>
      </c>
      <c r="D46" s="12" t="n">
        <v>6</v>
      </c>
      <c r="E46" s="12" t="n">
        <v>3</v>
      </c>
      <c r="F46" s="12" t="n">
        <v>9</v>
      </c>
      <c r="G46" s="12" t="n">
        <v>36</v>
      </c>
      <c r="H46" s="12" t="n">
        <v>14</v>
      </c>
      <c r="I46" s="12" t="n">
        <v>14</v>
      </c>
      <c r="J46" s="12" t="n">
        <v>0</v>
      </c>
      <c r="K46" s="12" t="n">
        <v>24</v>
      </c>
      <c r="L46" s="12" t="n">
        <v>9</v>
      </c>
      <c r="M46" s="12" t="n">
        <v>0</v>
      </c>
      <c r="N46" s="12" t="n">
        <v>20</v>
      </c>
      <c r="O46" s="12" t="n">
        <v>43</v>
      </c>
      <c r="P46" s="12" t="n">
        <v>0</v>
      </c>
      <c r="Q46" s="12" t="n">
        <v>1</v>
      </c>
      <c r="R46" s="12" t="n">
        <v>7</v>
      </c>
      <c r="S46" s="12" t="n">
        <v>31</v>
      </c>
      <c r="T46" s="12" t="n">
        <v>7</v>
      </c>
      <c r="U46" s="12" t="n">
        <v>17</v>
      </c>
      <c r="V46" s="12" t="n">
        <v>0</v>
      </c>
      <c r="W46" s="12" t="n">
        <v>10</v>
      </c>
      <c r="X46" s="12" t="n">
        <v>16</v>
      </c>
      <c r="Y46" s="12" t="n">
        <v>8</v>
      </c>
      <c r="Z46" s="12" t="n">
        <v>4</v>
      </c>
      <c r="AA46" s="12" t="n">
        <v>1</v>
      </c>
      <c r="AB46" s="12" t="n">
        <v>1</v>
      </c>
      <c r="AC46" s="12" t="n">
        <v>8</v>
      </c>
      <c r="AD46" s="12" t="n">
        <v>0</v>
      </c>
      <c r="AE46" s="12" t="n">
        <v>40</v>
      </c>
      <c r="AF46" s="12" t="n">
        <v>29</v>
      </c>
    </row>
    <row r="47">
      <c r="A47" s="23" t="n"/>
      <c r="B47" s="13" t="inlineStr">
        <is>
          <t>Don't know</t>
        </is>
      </c>
      <c r="C47" s="14" t="n">
        <v>0.01</v>
      </c>
      <c r="D47" s="14" t="n">
        <v>0.01</v>
      </c>
      <c r="E47" s="15" t="inlineStr">
        <is>
          <t>-</t>
        </is>
      </c>
      <c r="F47" s="14" t="n">
        <v>0.01</v>
      </c>
      <c r="G47" s="14" t="n">
        <v>0.04</v>
      </c>
      <c r="H47" s="14" t="n">
        <v>0.01</v>
      </c>
      <c r="I47" s="14" t="n">
        <v>0.01</v>
      </c>
      <c r="J47" s="15" t="inlineStr">
        <is>
          <t>-</t>
        </is>
      </c>
      <c r="K47" s="14" t="n">
        <v>0.02</v>
      </c>
      <c r="L47" s="14" t="n">
        <v>0.01</v>
      </c>
      <c r="M47" s="15" t="inlineStr">
        <is>
          <t>-</t>
        </is>
      </c>
      <c r="N47" s="14" t="n">
        <v>0.02</v>
      </c>
      <c r="O47" s="14" t="n">
        <v>0.04</v>
      </c>
      <c r="P47" s="15" t="inlineStr">
        <is>
          <t>-</t>
        </is>
      </c>
      <c r="Q47" s="15" t="inlineStr">
        <is>
          <t>-</t>
        </is>
      </c>
      <c r="R47" s="14" t="n">
        <v>0.01</v>
      </c>
      <c r="S47" s="14" t="n">
        <v>0.03</v>
      </c>
      <c r="T47" s="14" t="n">
        <v>0.01</v>
      </c>
      <c r="U47" s="14" t="n">
        <v>0.03</v>
      </c>
      <c r="V47" s="15" t="inlineStr">
        <is>
          <t>-</t>
        </is>
      </c>
      <c r="W47" s="14" t="n">
        <v>0.02</v>
      </c>
      <c r="X47" s="14" t="n">
        <v>0.02</v>
      </c>
      <c r="Y47" s="14" t="n">
        <v>0.01</v>
      </c>
      <c r="Z47" s="15" t="inlineStr">
        <is>
          <t>-</t>
        </is>
      </c>
      <c r="AA47" s="15" t="inlineStr">
        <is>
          <t>-</t>
        </is>
      </c>
      <c r="AB47" s="15" t="inlineStr">
        <is>
          <t>-</t>
        </is>
      </c>
      <c r="AC47" s="14" t="n">
        <v>0.01</v>
      </c>
      <c r="AD47" s="15" t="inlineStr">
        <is>
          <t>-</t>
        </is>
      </c>
      <c r="AE47" s="14" t="n">
        <v>0.04</v>
      </c>
      <c r="AF47" s="14" t="n">
        <v>0.03</v>
      </c>
    </row>
  </sheetData>
  <mergeCells count="9">
    <mergeCell ref="B4:F4"/>
    <mergeCell ref="A10:A47"/>
    <mergeCell ref="H3:L3"/>
    <mergeCell ref="C8:AF8"/>
    <mergeCell ref="B3:F3"/>
    <mergeCell ref="B5:F5"/>
    <mergeCell ref="H5:L5"/>
    <mergeCell ref="B10:B11"/>
    <mergeCell ref="H4:L4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F47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24" customHeight="1" s="18">
      <c r="B3" s="21" t="inlineStr">
        <is>
          <t>QA14ab. Dans lequel des domaines suivants des changements pourraient-ils le plus améliorer votre qualité de vie ? En premier ? Et ensuite ? (5 RÉPONSES MAX.)</t>
        </is>
      </c>
      <c r="H3" s="21" t="inlineStr">
        <is>
          <t>QA14ab. In which of the following areas could changes most improve your quality of life? Firstly? And then? (MAX. 5 ANSWERS)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HYPERLINK("#Content!A39","&lt;&lt;Back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L’efficacité des services publics</t>
        </is>
      </c>
      <c r="C12" s="12" t="n">
        <v>4726</v>
      </c>
      <c r="D12" s="12" t="n">
        <v>164</v>
      </c>
      <c r="E12" s="12" t="n">
        <v>131</v>
      </c>
      <c r="F12" s="12" t="n">
        <v>122</v>
      </c>
      <c r="G12" s="12" t="n">
        <v>148</v>
      </c>
      <c r="H12" s="12" t="n">
        <v>143</v>
      </c>
      <c r="I12" s="12" t="n">
        <v>184</v>
      </c>
      <c r="J12" s="12" t="n">
        <v>41</v>
      </c>
      <c r="K12" s="12" t="n">
        <v>136</v>
      </c>
      <c r="L12" s="12" t="n">
        <v>240</v>
      </c>
      <c r="M12" s="12" t="n">
        <v>250</v>
      </c>
      <c r="N12" s="12" t="n">
        <v>249</v>
      </c>
      <c r="O12" s="12" t="n">
        <v>195</v>
      </c>
      <c r="P12" s="12" t="n">
        <v>147</v>
      </c>
      <c r="Q12" s="12" t="n">
        <v>243</v>
      </c>
      <c r="R12" s="12" t="n">
        <v>69</v>
      </c>
      <c r="S12" s="12" t="n">
        <v>152</v>
      </c>
      <c r="T12" s="12" t="n">
        <v>106</v>
      </c>
      <c r="U12" s="12" t="n">
        <v>69</v>
      </c>
      <c r="V12" s="12" t="n">
        <v>205</v>
      </c>
      <c r="W12" s="12" t="n">
        <v>64</v>
      </c>
      <c r="X12" s="12" t="n">
        <v>153</v>
      </c>
      <c r="Y12" s="12" t="n">
        <v>121</v>
      </c>
      <c r="Z12" s="12" t="n">
        <v>128</v>
      </c>
      <c r="AA12" s="12" t="n">
        <v>313</v>
      </c>
      <c r="AB12" s="12" t="n">
        <v>168</v>
      </c>
      <c r="AC12" s="12" t="n">
        <v>184</v>
      </c>
      <c r="AD12" s="12" t="n">
        <v>137</v>
      </c>
      <c r="AE12" s="12" t="n">
        <v>199</v>
      </c>
      <c r="AF12" s="12" t="n">
        <v>171</v>
      </c>
    </row>
    <row r="13">
      <c r="A13" s="20" t="n"/>
      <c r="B13" s="13" t="inlineStr">
        <is>
          <t>Efficiency of public services</t>
        </is>
      </c>
      <c r="C13" s="14" t="n">
        <v>0.18</v>
      </c>
      <c r="D13" s="14" t="n">
        <v>0.16</v>
      </c>
      <c r="E13" s="14" t="n">
        <v>0.13</v>
      </c>
      <c r="F13" s="14" t="n">
        <v>0.12</v>
      </c>
      <c r="G13" s="14" t="n">
        <v>0.15</v>
      </c>
      <c r="H13" s="14" t="n">
        <v>0.12</v>
      </c>
      <c r="I13" s="14" t="n">
        <v>0.12</v>
      </c>
      <c r="J13" s="14" t="n">
        <v>0.14</v>
      </c>
      <c r="K13" s="14" t="n">
        <v>0.14</v>
      </c>
      <c r="L13" s="14" t="n">
        <v>0.24</v>
      </c>
      <c r="M13" s="14" t="n">
        <v>0.25</v>
      </c>
      <c r="N13" s="14" t="n">
        <v>0.25</v>
      </c>
      <c r="O13" s="14" t="n">
        <v>0.19</v>
      </c>
      <c r="P13" s="14" t="n">
        <v>0.15</v>
      </c>
      <c r="Q13" s="14" t="n">
        <v>0.24</v>
      </c>
      <c r="R13" s="14" t="n">
        <v>0.14</v>
      </c>
      <c r="S13" s="14" t="n">
        <v>0.15</v>
      </c>
      <c r="T13" s="14" t="n">
        <v>0.1</v>
      </c>
      <c r="U13" s="14" t="n">
        <v>0.14</v>
      </c>
      <c r="V13" s="14" t="n">
        <v>0.2</v>
      </c>
      <c r="W13" s="14" t="n">
        <v>0.13</v>
      </c>
      <c r="X13" s="14" t="n">
        <v>0.15</v>
      </c>
      <c r="Y13" s="14" t="n">
        <v>0.12</v>
      </c>
      <c r="Z13" s="14" t="n">
        <v>0.13</v>
      </c>
      <c r="AA13" s="14" t="n">
        <v>0.3</v>
      </c>
      <c r="AB13" s="14" t="n">
        <v>0.16</v>
      </c>
      <c r="AC13" s="14" t="n">
        <v>0.18</v>
      </c>
      <c r="AD13" s="14" t="n">
        <v>0.14</v>
      </c>
      <c r="AE13" s="14" t="n">
        <v>0.2</v>
      </c>
      <c r="AF13" s="14" t="n">
        <v>0.17</v>
      </c>
    </row>
    <row r="14">
      <c r="A14" s="20" t="n"/>
      <c r="B14" s="11" t="inlineStr">
        <is>
          <t>La santé physique et mentale</t>
        </is>
      </c>
      <c r="C14" s="12" t="n">
        <v>9184</v>
      </c>
      <c r="D14" s="12" t="n">
        <v>320</v>
      </c>
      <c r="E14" s="12" t="n">
        <v>383</v>
      </c>
      <c r="F14" s="12" t="n">
        <v>348</v>
      </c>
      <c r="G14" s="12" t="n">
        <v>485</v>
      </c>
      <c r="H14" s="12" t="n">
        <v>394</v>
      </c>
      <c r="I14" s="12" t="n">
        <v>499</v>
      </c>
      <c r="J14" s="12" t="n">
        <v>105</v>
      </c>
      <c r="K14" s="12" t="n">
        <v>343</v>
      </c>
      <c r="L14" s="12" t="n">
        <v>404</v>
      </c>
      <c r="M14" s="12" t="n">
        <v>403</v>
      </c>
      <c r="N14" s="12" t="n">
        <v>380</v>
      </c>
      <c r="O14" s="12" t="n">
        <v>353</v>
      </c>
      <c r="P14" s="12" t="n">
        <v>324</v>
      </c>
      <c r="Q14" s="12" t="n">
        <v>362</v>
      </c>
      <c r="R14" s="12" t="n">
        <v>207</v>
      </c>
      <c r="S14" s="12" t="n">
        <v>396</v>
      </c>
      <c r="T14" s="12" t="n">
        <v>449</v>
      </c>
      <c r="U14" s="12" t="n">
        <v>196</v>
      </c>
      <c r="V14" s="12" t="n">
        <v>348</v>
      </c>
      <c r="W14" s="12" t="n">
        <v>230</v>
      </c>
      <c r="X14" s="12" t="n">
        <v>388</v>
      </c>
      <c r="Y14" s="12" t="n">
        <v>366</v>
      </c>
      <c r="Z14" s="12" t="n">
        <v>287</v>
      </c>
      <c r="AA14" s="12" t="n">
        <v>382</v>
      </c>
      <c r="AB14" s="12" t="n">
        <v>283</v>
      </c>
      <c r="AC14" s="12" t="n">
        <v>394</v>
      </c>
      <c r="AD14" s="12" t="n">
        <v>320</v>
      </c>
      <c r="AE14" s="12" t="n">
        <v>408</v>
      </c>
      <c r="AF14" s="12" t="n">
        <v>434</v>
      </c>
    </row>
    <row r="15">
      <c r="A15" s="20" t="n"/>
      <c r="B15" s="13" t="inlineStr">
        <is>
          <t>Physical and mental health</t>
        </is>
      </c>
      <c r="C15" s="14" t="n">
        <v>0.35</v>
      </c>
      <c r="D15" s="14" t="n">
        <v>0.31</v>
      </c>
      <c r="E15" s="14" t="n">
        <v>0.38</v>
      </c>
      <c r="F15" s="14" t="n">
        <v>0.33</v>
      </c>
      <c r="G15" s="14" t="n">
        <v>0.48</v>
      </c>
      <c r="H15" s="14" t="n">
        <v>0.32</v>
      </c>
      <c r="I15" s="14" t="n">
        <v>0.33</v>
      </c>
      <c r="J15" s="14" t="n">
        <v>0.36</v>
      </c>
      <c r="K15" s="14" t="n">
        <v>0.34</v>
      </c>
      <c r="L15" s="14" t="n">
        <v>0.4</v>
      </c>
      <c r="M15" s="14" t="n">
        <v>0.4</v>
      </c>
      <c r="N15" s="14" t="n">
        <v>0.38</v>
      </c>
      <c r="O15" s="14" t="n">
        <v>0.35</v>
      </c>
      <c r="P15" s="14" t="n">
        <v>0.32</v>
      </c>
      <c r="Q15" s="14" t="n">
        <v>0.35</v>
      </c>
      <c r="R15" s="14" t="n">
        <v>0.41</v>
      </c>
      <c r="S15" s="14" t="n">
        <v>0.39</v>
      </c>
      <c r="T15" s="14" t="n">
        <v>0.44</v>
      </c>
      <c r="U15" s="14" t="n">
        <v>0.39</v>
      </c>
      <c r="V15" s="14" t="n">
        <v>0.34</v>
      </c>
      <c r="W15" s="14" t="n">
        <v>0.46</v>
      </c>
      <c r="X15" s="14" t="n">
        <v>0.38</v>
      </c>
      <c r="Y15" s="14" t="n">
        <v>0.36</v>
      </c>
      <c r="Z15" s="14" t="n">
        <v>0.28</v>
      </c>
      <c r="AA15" s="14" t="n">
        <v>0.37</v>
      </c>
      <c r="AB15" s="14" t="n">
        <v>0.27</v>
      </c>
      <c r="AC15" s="14" t="n">
        <v>0.39</v>
      </c>
      <c r="AD15" s="14" t="n">
        <v>0.32</v>
      </c>
      <c r="AE15" s="14" t="n">
        <v>0.4</v>
      </c>
      <c r="AF15" s="14" t="n">
        <v>0.42</v>
      </c>
    </row>
    <row r="16">
      <c r="A16" s="20" t="n"/>
      <c r="B16" s="11" t="inlineStr">
        <is>
          <t>La sécurité alimentaire et la qualité des aliments</t>
        </is>
      </c>
      <c r="C16" s="12" t="n">
        <v>7411</v>
      </c>
      <c r="D16" s="12" t="n">
        <v>273</v>
      </c>
      <c r="E16" s="12" t="n">
        <v>433</v>
      </c>
      <c r="F16" s="12" t="n">
        <v>353</v>
      </c>
      <c r="G16" s="12" t="n">
        <v>227</v>
      </c>
      <c r="H16" s="12" t="n">
        <v>267</v>
      </c>
      <c r="I16" s="12" t="n">
        <v>361</v>
      </c>
      <c r="J16" s="12" t="n">
        <v>94</v>
      </c>
      <c r="K16" s="12" t="n">
        <v>199</v>
      </c>
      <c r="L16" s="12" t="n">
        <v>253</v>
      </c>
      <c r="M16" s="12" t="n">
        <v>372</v>
      </c>
      <c r="N16" s="12" t="n">
        <v>205</v>
      </c>
      <c r="O16" s="12" t="n">
        <v>338</v>
      </c>
      <c r="P16" s="12" t="n">
        <v>364</v>
      </c>
      <c r="Q16" s="12" t="n">
        <v>323</v>
      </c>
      <c r="R16" s="12" t="n">
        <v>141</v>
      </c>
      <c r="S16" s="12" t="n">
        <v>177</v>
      </c>
      <c r="T16" s="12" t="n">
        <v>277</v>
      </c>
      <c r="U16" s="12" t="n">
        <v>123</v>
      </c>
      <c r="V16" s="12" t="n">
        <v>334</v>
      </c>
      <c r="W16" s="12" t="n">
        <v>83</v>
      </c>
      <c r="X16" s="12" t="n">
        <v>223</v>
      </c>
      <c r="Y16" s="12" t="n">
        <v>372</v>
      </c>
      <c r="Z16" s="12" t="n">
        <v>320</v>
      </c>
      <c r="AA16" s="12" t="n">
        <v>288</v>
      </c>
      <c r="AB16" s="12" t="n">
        <v>293</v>
      </c>
      <c r="AC16" s="12" t="n">
        <v>356</v>
      </c>
      <c r="AD16" s="12" t="n">
        <v>368</v>
      </c>
      <c r="AE16" s="12" t="n">
        <v>149</v>
      </c>
      <c r="AF16" s="12" t="n">
        <v>157</v>
      </c>
    </row>
    <row r="17">
      <c r="A17" s="20" t="n"/>
      <c r="B17" s="13" t="inlineStr">
        <is>
          <t>Food safety and quality</t>
        </is>
      </c>
      <c r="C17" s="14" t="n">
        <v>0.28</v>
      </c>
      <c r="D17" s="14" t="n">
        <v>0.27</v>
      </c>
      <c r="E17" s="14" t="n">
        <v>0.43</v>
      </c>
      <c r="F17" s="14" t="n">
        <v>0.34</v>
      </c>
      <c r="G17" s="14" t="n">
        <v>0.23</v>
      </c>
      <c r="H17" s="14" t="n">
        <v>0.22</v>
      </c>
      <c r="I17" s="14" t="n">
        <v>0.24</v>
      </c>
      <c r="J17" s="14" t="n">
        <v>0.32</v>
      </c>
      <c r="K17" s="14" t="n">
        <v>0.2</v>
      </c>
      <c r="L17" s="14" t="n">
        <v>0.25</v>
      </c>
      <c r="M17" s="14" t="n">
        <v>0.37</v>
      </c>
      <c r="N17" s="14" t="n">
        <v>0.2</v>
      </c>
      <c r="O17" s="14" t="n">
        <v>0.33</v>
      </c>
      <c r="P17" s="14" t="n">
        <v>0.36</v>
      </c>
      <c r="Q17" s="14" t="n">
        <v>0.31</v>
      </c>
      <c r="R17" s="14" t="n">
        <v>0.28</v>
      </c>
      <c r="S17" s="14" t="n">
        <v>0.18</v>
      </c>
      <c r="T17" s="14" t="n">
        <v>0.27</v>
      </c>
      <c r="U17" s="14" t="n">
        <v>0.24</v>
      </c>
      <c r="V17" s="14" t="n">
        <v>0.33</v>
      </c>
      <c r="W17" s="14" t="n">
        <v>0.16</v>
      </c>
      <c r="X17" s="14" t="n">
        <v>0.22</v>
      </c>
      <c r="Y17" s="14" t="n">
        <v>0.37</v>
      </c>
      <c r="Z17" s="14" t="n">
        <v>0.31</v>
      </c>
      <c r="AA17" s="14" t="n">
        <v>0.28</v>
      </c>
      <c r="AB17" s="14" t="n">
        <v>0.28</v>
      </c>
      <c r="AC17" s="14" t="n">
        <v>0.35</v>
      </c>
      <c r="AD17" s="14" t="n">
        <v>0.37</v>
      </c>
      <c r="AE17" s="14" t="n">
        <v>0.15</v>
      </c>
      <c r="AF17" s="14" t="n">
        <v>0.15</v>
      </c>
    </row>
    <row r="18">
      <c r="A18" s="20" t="n"/>
      <c r="B18" s="11" t="inlineStr">
        <is>
          <t>Le coût et la qualité du logement</t>
        </is>
      </c>
      <c r="C18" s="12" t="n">
        <v>6795</v>
      </c>
      <c r="D18" s="12" t="n">
        <v>295</v>
      </c>
      <c r="E18" s="12" t="n">
        <v>94</v>
      </c>
      <c r="F18" s="12" t="n">
        <v>391</v>
      </c>
      <c r="G18" s="12" t="n">
        <v>159</v>
      </c>
      <c r="H18" s="12" t="n">
        <v>346</v>
      </c>
      <c r="I18" s="12" t="n">
        <v>433</v>
      </c>
      <c r="J18" s="12" t="n">
        <v>87</v>
      </c>
      <c r="K18" s="12" t="n">
        <v>243</v>
      </c>
      <c r="L18" s="12" t="n">
        <v>387</v>
      </c>
      <c r="M18" s="12" t="n">
        <v>254</v>
      </c>
      <c r="N18" s="12" t="n">
        <v>292</v>
      </c>
      <c r="O18" s="12" t="n">
        <v>306</v>
      </c>
      <c r="P18" s="12" t="n">
        <v>239</v>
      </c>
      <c r="Q18" s="12" t="n">
        <v>145</v>
      </c>
      <c r="R18" s="12" t="n">
        <v>219</v>
      </c>
      <c r="S18" s="12" t="n">
        <v>177</v>
      </c>
      <c r="T18" s="12" t="n">
        <v>170</v>
      </c>
      <c r="U18" s="12" t="n">
        <v>202</v>
      </c>
      <c r="V18" s="12" t="n">
        <v>324</v>
      </c>
      <c r="W18" s="12" t="n">
        <v>135</v>
      </c>
      <c r="X18" s="12" t="n">
        <v>355</v>
      </c>
      <c r="Y18" s="12" t="n">
        <v>268</v>
      </c>
      <c r="Z18" s="12" t="n">
        <v>240</v>
      </c>
      <c r="AA18" s="12" t="n">
        <v>250</v>
      </c>
      <c r="AB18" s="12" t="n">
        <v>182</v>
      </c>
      <c r="AC18" s="12" t="n">
        <v>198</v>
      </c>
      <c r="AD18" s="12" t="n">
        <v>285</v>
      </c>
      <c r="AE18" s="12" t="n">
        <v>312</v>
      </c>
      <c r="AF18" s="12" t="n">
        <v>233</v>
      </c>
    </row>
    <row r="19">
      <c r="A19" s="20" t="n"/>
      <c r="B19" s="13" t="inlineStr">
        <is>
          <t>Affordability and quality of housing</t>
        </is>
      </c>
      <c r="C19" s="14" t="n">
        <v>0.26</v>
      </c>
      <c r="D19" s="14" t="n">
        <v>0.29</v>
      </c>
      <c r="E19" s="14" t="n">
        <v>0.09</v>
      </c>
      <c r="F19" s="14" t="n">
        <v>0.37</v>
      </c>
      <c r="G19" s="14" t="n">
        <v>0.16</v>
      </c>
      <c r="H19" s="14" t="n">
        <v>0.28</v>
      </c>
      <c r="I19" s="14" t="n">
        <v>0.29</v>
      </c>
      <c r="J19" s="14" t="n">
        <v>0.3</v>
      </c>
      <c r="K19" s="14" t="n">
        <v>0.24</v>
      </c>
      <c r="L19" s="14" t="n">
        <v>0.38</v>
      </c>
      <c r="M19" s="14" t="n">
        <v>0.25</v>
      </c>
      <c r="N19" s="14" t="n">
        <v>0.29</v>
      </c>
      <c r="O19" s="14" t="n">
        <v>0.3</v>
      </c>
      <c r="P19" s="14" t="n">
        <v>0.24</v>
      </c>
      <c r="Q19" s="14" t="n">
        <v>0.14</v>
      </c>
      <c r="R19" s="14" t="n">
        <v>0.43</v>
      </c>
      <c r="S19" s="14" t="n">
        <v>0.18</v>
      </c>
      <c r="T19" s="14" t="n">
        <v>0.17</v>
      </c>
      <c r="U19" s="14" t="n">
        <v>0.4</v>
      </c>
      <c r="V19" s="14" t="n">
        <v>0.32</v>
      </c>
      <c r="W19" s="14" t="n">
        <v>0.27</v>
      </c>
      <c r="X19" s="14" t="n">
        <v>0.35</v>
      </c>
      <c r="Y19" s="14" t="n">
        <v>0.27</v>
      </c>
      <c r="Z19" s="14" t="n">
        <v>0.24</v>
      </c>
      <c r="AA19" s="14" t="n">
        <v>0.24</v>
      </c>
      <c r="AB19" s="14" t="n">
        <v>0.17</v>
      </c>
      <c r="AC19" s="14" t="n">
        <v>0.2</v>
      </c>
      <c r="AD19" s="14" t="n">
        <v>0.28</v>
      </c>
      <c r="AE19" s="14" t="n">
        <v>0.31</v>
      </c>
      <c r="AF19" s="14" t="n">
        <v>0.22</v>
      </c>
    </row>
    <row r="20">
      <c r="A20" s="20" t="n"/>
      <c r="B20" s="11" t="inlineStr">
        <is>
          <t>La qualité de l’environnement (air, eau, etc.)</t>
        </is>
      </c>
      <c r="C20" s="12" t="n">
        <v>6006</v>
      </c>
      <c r="D20" s="12" t="n">
        <v>230</v>
      </c>
      <c r="E20" s="12" t="n">
        <v>230</v>
      </c>
      <c r="F20" s="12" t="n">
        <v>198</v>
      </c>
      <c r="G20" s="12" t="n">
        <v>316</v>
      </c>
      <c r="H20" s="12" t="n">
        <v>303</v>
      </c>
      <c r="I20" s="12" t="n">
        <v>365</v>
      </c>
      <c r="J20" s="12" t="n">
        <v>61</v>
      </c>
      <c r="K20" s="12" t="n">
        <v>180</v>
      </c>
      <c r="L20" s="12" t="n">
        <v>202</v>
      </c>
      <c r="M20" s="12" t="n">
        <v>245</v>
      </c>
      <c r="N20" s="12" t="n">
        <v>119</v>
      </c>
      <c r="O20" s="12" t="n">
        <v>274</v>
      </c>
      <c r="P20" s="12" t="n">
        <v>222</v>
      </c>
      <c r="Q20" s="12" t="n">
        <v>319</v>
      </c>
      <c r="R20" s="12" t="n">
        <v>97</v>
      </c>
      <c r="S20" s="12" t="n">
        <v>115</v>
      </c>
      <c r="T20" s="12" t="n">
        <v>101</v>
      </c>
      <c r="U20" s="12" t="n">
        <v>116</v>
      </c>
      <c r="V20" s="12" t="n">
        <v>246</v>
      </c>
      <c r="W20" s="12" t="n">
        <v>151</v>
      </c>
      <c r="X20" s="12" t="n">
        <v>288</v>
      </c>
      <c r="Y20" s="12" t="n">
        <v>309</v>
      </c>
      <c r="Z20" s="12" t="n">
        <v>153</v>
      </c>
      <c r="AA20" s="12" t="n">
        <v>137</v>
      </c>
      <c r="AB20" s="12" t="n">
        <v>183</v>
      </c>
      <c r="AC20" s="12" t="n">
        <v>281</v>
      </c>
      <c r="AD20" s="12" t="n">
        <v>191</v>
      </c>
      <c r="AE20" s="12" t="n">
        <v>176</v>
      </c>
      <c r="AF20" s="12" t="n">
        <v>262</v>
      </c>
    </row>
    <row r="21">
      <c r="A21" s="20" t="n"/>
      <c r="B21" s="13" t="inlineStr">
        <is>
          <t>Quality of the environment (air, water, etc.)</t>
        </is>
      </c>
      <c r="C21" s="14" t="n">
        <v>0.23</v>
      </c>
      <c r="D21" s="14" t="n">
        <v>0.23</v>
      </c>
      <c r="E21" s="14" t="n">
        <v>0.23</v>
      </c>
      <c r="F21" s="14" t="n">
        <v>0.19</v>
      </c>
      <c r="G21" s="14" t="n">
        <v>0.31</v>
      </c>
      <c r="H21" s="14" t="n">
        <v>0.25</v>
      </c>
      <c r="I21" s="14" t="n">
        <v>0.24</v>
      </c>
      <c r="J21" s="14" t="n">
        <v>0.21</v>
      </c>
      <c r="K21" s="14" t="n">
        <v>0.18</v>
      </c>
      <c r="L21" s="14" t="n">
        <v>0.2</v>
      </c>
      <c r="M21" s="14" t="n">
        <v>0.24</v>
      </c>
      <c r="N21" s="14" t="n">
        <v>0.12</v>
      </c>
      <c r="O21" s="14" t="n">
        <v>0.27</v>
      </c>
      <c r="P21" s="14" t="n">
        <v>0.22</v>
      </c>
      <c r="Q21" s="14" t="n">
        <v>0.31</v>
      </c>
      <c r="R21" s="14" t="n">
        <v>0.19</v>
      </c>
      <c r="S21" s="14" t="n">
        <v>0.11</v>
      </c>
      <c r="T21" s="14" t="n">
        <v>0.1</v>
      </c>
      <c r="U21" s="14" t="n">
        <v>0.23</v>
      </c>
      <c r="V21" s="14" t="n">
        <v>0.24</v>
      </c>
      <c r="W21" s="14" t="n">
        <v>0.3</v>
      </c>
      <c r="X21" s="14" t="n">
        <v>0.28</v>
      </c>
      <c r="Y21" s="14" t="n">
        <v>0.31</v>
      </c>
      <c r="Z21" s="14" t="n">
        <v>0.15</v>
      </c>
      <c r="AA21" s="14" t="n">
        <v>0.13</v>
      </c>
      <c r="AB21" s="14" t="n">
        <v>0.17</v>
      </c>
      <c r="AC21" s="14" t="n">
        <v>0.28</v>
      </c>
      <c r="AD21" s="14" t="n">
        <v>0.19</v>
      </c>
      <c r="AE21" s="14" t="n">
        <v>0.17</v>
      </c>
      <c r="AF21" s="14" t="n">
        <v>0.25</v>
      </c>
    </row>
    <row r="22">
      <c r="A22" s="20" t="n"/>
      <c r="B22" s="11" t="inlineStr">
        <is>
          <t>Les droits civiques et les libertés (liberté d’expression, droits politiques, etc.)</t>
        </is>
      </c>
      <c r="C22" s="12" t="n">
        <v>4227</v>
      </c>
      <c r="D22" s="12" t="n">
        <v>129</v>
      </c>
      <c r="E22" s="12" t="n">
        <v>151</v>
      </c>
      <c r="F22" s="12" t="n">
        <v>120</v>
      </c>
      <c r="G22" s="12" t="n">
        <v>153</v>
      </c>
      <c r="H22" s="12" t="n">
        <v>234</v>
      </c>
      <c r="I22" s="12" t="n">
        <v>285</v>
      </c>
      <c r="J22" s="12" t="n">
        <v>52</v>
      </c>
      <c r="K22" s="12" t="n">
        <v>107</v>
      </c>
      <c r="L22" s="12" t="n">
        <v>103</v>
      </c>
      <c r="M22" s="12" t="n">
        <v>140</v>
      </c>
      <c r="N22" s="12" t="n">
        <v>130</v>
      </c>
      <c r="O22" s="12" t="n">
        <v>120</v>
      </c>
      <c r="P22" s="12" t="n">
        <v>256</v>
      </c>
      <c r="Q22" s="12" t="n">
        <v>217</v>
      </c>
      <c r="R22" s="12" t="n">
        <v>73</v>
      </c>
      <c r="S22" s="12" t="n">
        <v>95</v>
      </c>
      <c r="T22" s="12" t="n">
        <v>110</v>
      </c>
      <c r="U22" s="12" t="n">
        <v>61</v>
      </c>
      <c r="V22" s="12" t="n">
        <v>161</v>
      </c>
      <c r="W22" s="12" t="n">
        <v>79</v>
      </c>
      <c r="X22" s="12" t="n">
        <v>179</v>
      </c>
      <c r="Y22" s="12" t="n">
        <v>197</v>
      </c>
      <c r="Z22" s="12" t="n">
        <v>156</v>
      </c>
      <c r="AA22" s="12" t="n">
        <v>91</v>
      </c>
      <c r="AB22" s="12" t="n">
        <v>202</v>
      </c>
      <c r="AC22" s="12" t="n">
        <v>158</v>
      </c>
      <c r="AD22" s="12" t="n">
        <v>180</v>
      </c>
      <c r="AE22" s="12" t="n">
        <v>98</v>
      </c>
      <c r="AF22" s="12" t="n">
        <v>204</v>
      </c>
    </row>
    <row r="23">
      <c r="A23" s="20" t="n"/>
      <c r="B23" s="13" t="inlineStr">
        <is>
          <t>Civil rights and freedoms (freedom of speech, political rights, etc.)</t>
        </is>
      </c>
      <c r="C23" s="14" t="n">
        <v>0.16</v>
      </c>
      <c r="D23" s="14" t="n">
        <v>0.13</v>
      </c>
      <c r="E23" s="14" t="n">
        <v>0.15</v>
      </c>
      <c r="F23" s="14" t="n">
        <v>0.11</v>
      </c>
      <c r="G23" s="14" t="n">
        <v>0.15</v>
      </c>
      <c r="H23" s="14" t="n">
        <v>0.19</v>
      </c>
      <c r="I23" s="14" t="n">
        <v>0.19</v>
      </c>
      <c r="J23" s="14" t="n">
        <v>0.18</v>
      </c>
      <c r="K23" s="14" t="n">
        <v>0.11</v>
      </c>
      <c r="L23" s="14" t="n">
        <v>0.1</v>
      </c>
      <c r="M23" s="14" t="n">
        <v>0.14</v>
      </c>
      <c r="N23" s="14" t="n">
        <v>0.13</v>
      </c>
      <c r="O23" s="14" t="n">
        <v>0.12</v>
      </c>
      <c r="P23" s="14" t="n">
        <v>0.25</v>
      </c>
      <c r="Q23" s="14" t="n">
        <v>0.21</v>
      </c>
      <c r="R23" s="14" t="n">
        <v>0.14</v>
      </c>
      <c r="S23" s="14" t="n">
        <v>0.09</v>
      </c>
      <c r="T23" s="14" t="n">
        <v>0.11</v>
      </c>
      <c r="U23" s="14" t="n">
        <v>0.12</v>
      </c>
      <c r="V23" s="14" t="n">
        <v>0.16</v>
      </c>
      <c r="W23" s="14" t="n">
        <v>0.16</v>
      </c>
      <c r="X23" s="14" t="n">
        <v>0.17</v>
      </c>
      <c r="Y23" s="14" t="n">
        <v>0.2</v>
      </c>
      <c r="Z23" s="14" t="n">
        <v>0.15</v>
      </c>
      <c r="AA23" s="14" t="n">
        <v>0.09</v>
      </c>
      <c r="AB23" s="14" t="n">
        <v>0.19</v>
      </c>
      <c r="AC23" s="14" t="n">
        <v>0.16</v>
      </c>
      <c r="AD23" s="14" t="n">
        <v>0.18</v>
      </c>
      <c r="AE23" s="14" t="n">
        <v>0.1</v>
      </c>
      <c r="AF23" s="14" t="n">
        <v>0.2</v>
      </c>
    </row>
    <row r="24">
      <c r="A24" s="20" t="n"/>
      <c r="B24" s="11" t="inlineStr">
        <is>
          <t>La situation financière et la capacité à couvrir les dépenses du quotidien</t>
        </is>
      </c>
      <c r="C24" s="12" t="n">
        <v>11097</v>
      </c>
      <c r="D24" s="12" t="n">
        <v>485</v>
      </c>
      <c r="E24" s="12" t="n">
        <v>661</v>
      </c>
      <c r="F24" s="12" t="n">
        <v>427</v>
      </c>
      <c r="G24" s="12" t="n">
        <v>369</v>
      </c>
      <c r="H24" s="12" t="n">
        <v>508</v>
      </c>
      <c r="I24" s="12" t="n">
        <v>654</v>
      </c>
      <c r="J24" s="12" t="n">
        <v>146</v>
      </c>
      <c r="K24" s="12" t="n">
        <v>515</v>
      </c>
      <c r="L24" s="12" t="n">
        <v>433</v>
      </c>
      <c r="M24" s="12" t="n">
        <v>615</v>
      </c>
      <c r="N24" s="12" t="n">
        <v>388</v>
      </c>
      <c r="O24" s="12" t="n">
        <v>421</v>
      </c>
      <c r="P24" s="12" t="n">
        <v>513</v>
      </c>
      <c r="Q24" s="12" t="n">
        <v>377</v>
      </c>
      <c r="R24" s="12" t="n">
        <v>270</v>
      </c>
      <c r="S24" s="12" t="n">
        <v>539</v>
      </c>
      <c r="T24" s="12" t="n">
        <v>453</v>
      </c>
      <c r="U24" s="12" t="n">
        <v>182</v>
      </c>
      <c r="V24" s="12" t="n">
        <v>483</v>
      </c>
      <c r="W24" s="12" t="n">
        <v>187</v>
      </c>
      <c r="X24" s="12" t="n">
        <v>403</v>
      </c>
      <c r="Y24" s="12" t="n">
        <v>428</v>
      </c>
      <c r="Z24" s="12" t="n">
        <v>393</v>
      </c>
      <c r="AA24" s="12" t="n">
        <v>547</v>
      </c>
      <c r="AB24" s="12" t="n">
        <v>401</v>
      </c>
      <c r="AC24" s="12" t="n">
        <v>398</v>
      </c>
      <c r="AD24" s="12" t="n">
        <v>512</v>
      </c>
      <c r="AE24" s="12" t="n">
        <v>468</v>
      </c>
      <c r="AF24" s="12" t="n">
        <v>391</v>
      </c>
    </row>
    <row r="25">
      <c r="A25" s="20" t="n"/>
      <c r="B25" s="13" t="inlineStr">
        <is>
          <t>Financial situation and ability to afford daily life</t>
        </is>
      </c>
      <c r="C25" s="14" t="n">
        <v>0.42</v>
      </c>
      <c r="D25" s="14" t="n">
        <v>0.48</v>
      </c>
      <c r="E25" s="14" t="n">
        <v>0.65</v>
      </c>
      <c r="F25" s="14" t="n">
        <v>0.41</v>
      </c>
      <c r="G25" s="14" t="n">
        <v>0.37</v>
      </c>
      <c r="H25" s="14" t="n">
        <v>0.42</v>
      </c>
      <c r="I25" s="14" t="n">
        <v>0.43</v>
      </c>
      <c r="J25" s="14" t="n">
        <v>0.5</v>
      </c>
      <c r="K25" s="14" t="n">
        <v>0.51</v>
      </c>
      <c r="L25" s="14" t="n">
        <v>0.43</v>
      </c>
      <c r="M25" s="14" t="n">
        <v>0.61</v>
      </c>
      <c r="N25" s="14" t="n">
        <v>0.39</v>
      </c>
      <c r="O25" s="14" t="n">
        <v>0.41</v>
      </c>
      <c r="P25" s="14" t="n">
        <v>0.51</v>
      </c>
      <c r="Q25" s="14" t="n">
        <v>0.37</v>
      </c>
      <c r="R25" s="14" t="n">
        <v>0.54</v>
      </c>
      <c r="S25" s="14" t="n">
        <v>0.54</v>
      </c>
      <c r="T25" s="14" t="n">
        <v>0.44</v>
      </c>
      <c r="U25" s="14" t="n">
        <v>0.36</v>
      </c>
      <c r="V25" s="14" t="n">
        <v>0.47</v>
      </c>
      <c r="W25" s="14" t="n">
        <v>0.37</v>
      </c>
      <c r="X25" s="14" t="n">
        <v>0.39</v>
      </c>
      <c r="Y25" s="14" t="n">
        <v>0.43</v>
      </c>
      <c r="Z25" s="14" t="n">
        <v>0.39</v>
      </c>
      <c r="AA25" s="14" t="n">
        <v>0.53</v>
      </c>
      <c r="AB25" s="14" t="n">
        <v>0.38</v>
      </c>
      <c r="AC25" s="14" t="n">
        <v>0.4</v>
      </c>
      <c r="AD25" s="14" t="n">
        <v>0.51</v>
      </c>
      <c r="AE25" s="14" t="n">
        <v>0.46</v>
      </c>
      <c r="AF25" s="14" t="n">
        <v>0.38</v>
      </c>
    </row>
    <row r="26">
      <c r="A26" s="20" t="n"/>
      <c r="B26" s="11" t="inlineStr">
        <is>
          <t>La qualité et l’accessibilité des soins de santé</t>
        </is>
      </c>
      <c r="C26" s="12" t="n">
        <v>9777</v>
      </c>
      <c r="D26" s="12" t="n">
        <v>324</v>
      </c>
      <c r="E26" s="12" t="n">
        <v>415</v>
      </c>
      <c r="F26" s="12" t="n">
        <v>408</v>
      </c>
      <c r="G26" s="12" t="n">
        <v>366</v>
      </c>
      <c r="H26" s="12" t="n">
        <v>435</v>
      </c>
      <c r="I26" s="12" t="n">
        <v>563</v>
      </c>
      <c r="J26" s="12" t="n">
        <v>128</v>
      </c>
      <c r="K26" s="12" t="n">
        <v>393</v>
      </c>
      <c r="L26" s="12" t="n">
        <v>318</v>
      </c>
      <c r="M26" s="12" t="n">
        <v>490</v>
      </c>
      <c r="N26" s="12" t="n">
        <v>393</v>
      </c>
      <c r="O26" s="12" t="n">
        <v>367</v>
      </c>
      <c r="P26" s="12" t="n">
        <v>370</v>
      </c>
      <c r="Q26" s="12" t="n">
        <v>320</v>
      </c>
      <c r="R26" s="12" t="n">
        <v>156</v>
      </c>
      <c r="S26" s="12" t="n">
        <v>550</v>
      </c>
      <c r="T26" s="12" t="n">
        <v>552</v>
      </c>
      <c r="U26" s="12" t="n">
        <v>114</v>
      </c>
      <c r="V26" s="12" t="n">
        <v>464</v>
      </c>
      <c r="W26" s="12" t="n">
        <v>142</v>
      </c>
      <c r="X26" s="12" t="n">
        <v>356</v>
      </c>
      <c r="Y26" s="12" t="n">
        <v>333</v>
      </c>
      <c r="Z26" s="12" t="n">
        <v>348</v>
      </c>
      <c r="AA26" s="12" t="n">
        <v>525</v>
      </c>
      <c r="AB26" s="12" t="n">
        <v>307</v>
      </c>
      <c r="AC26" s="12" t="n">
        <v>397</v>
      </c>
      <c r="AD26" s="12" t="n">
        <v>463</v>
      </c>
      <c r="AE26" s="12" t="n">
        <v>470</v>
      </c>
      <c r="AF26" s="12" t="n">
        <v>517</v>
      </c>
    </row>
    <row r="27">
      <c r="A27" s="20" t="n"/>
      <c r="B27" s="13" t="inlineStr">
        <is>
          <t>Quality and accessibility of healthcare</t>
        </is>
      </c>
      <c r="C27" s="14" t="n">
        <v>0.37</v>
      </c>
      <c r="D27" s="14" t="n">
        <v>0.32</v>
      </c>
      <c r="E27" s="14" t="n">
        <v>0.41</v>
      </c>
      <c r="F27" s="14" t="n">
        <v>0.39</v>
      </c>
      <c r="G27" s="14" t="n">
        <v>0.36</v>
      </c>
      <c r="H27" s="14" t="n">
        <v>0.36</v>
      </c>
      <c r="I27" s="14" t="n">
        <v>0.37</v>
      </c>
      <c r="J27" s="14" t="n">
        <v>0.44</v>
      </c>
      <c r="K27" s="14" t="n">
        <v>0.39</v>
      </c>
      <c r="L27" s="14" t="n">
        <v>0.31</v>
      </c>
      <c r="M27" s="14" t="n">
        <v>0.49</v>
      </c>
      <c r="N27" s="14" t="n">
        <v>0.39</v>
      </c>
      <c r="O27" s="14" t="n">
        <v>0.36</v>
      </c>
      <c r="P27" s="14" t="n">
        <v>0.37</v>
      </c>
      <c r="Q27" s="14" t="n">
        <v>0.31</v>
      </c>
      <c r="R27" s="14" t="n">
        <v>0.31</v>
      </c>
      <c r="S27" s="14" t="n">
        <v>0.55</v>
      </c>
      <c r="T27" s="14" t="n">
        <v>0.54</v>
      </c>
      <c r="U27" s="14" t="n">
        <v>0.22</v>
      </c>
      <c r="V27" s="14" t="n">
        <v>0.45</v>
      </c>
      <c r="W27" s="14" t="n">
        <v>0.28</v>
      </c>
      <c r="X27" s="14" t="n">
        <v>0.35</v>
      </c>
      <c r="Y27" s="14" t="n">
        <v>0.33</v>
      </c>
      <c r="Z27" s="14" t="n">
        <v>0.34</v>
      </c>
      <c r="AA27" s="14" t="n">
        <v>0.51</v>
      </c>
      <c r="AB27" s="14" t="n">
        <v>0.29</v>
      </c>
      <c r="AC27" s="14" t="n">
        <v>0.39</v>
      </c>
      <c r="AD27" s="14" t="n">
        <v>0.46</v>
      </c>
      <c r="AE27" s="14" t="n">
        <v>0.46</v>
      </c>
      <c r="AF27" s="14" t="n">
        <v>0.5</v>
      </c>
    </row>
    <row r="28">
      <c r="A28" s="20" t="n"/>
      <c r="B28" s="11" t="inlineStr">
        <is>
          <t>La qualité des transports et la facilité de déplacement</t>
        </is>
      </c>
      <c r="C28" s="12" t="n">
        <v>3757</v>
      </c>
      <c r="D28" s="12" t="n">
        <v>170</v>
      </c>
      <c r="E28" s="12" t="n">
        <v>127</v>
      </c>
      <c r="F28" s="12" t="n">
        <v>156</v>
      </c>
      <c r="G28" s="12" t="n">
        <v>146</v>
      </c>
      <c r="H28" s="12" t="n">
        <v>205</v>
      </c>
      <c r="I28" s="12" t="n">
        <v>251</v>
      </c>
      <c r="J28" s="12" t="n">
        <v>46</v>
      </c>
      <c r="K28" s="12" t="n">
        <v>101</v>
      </c>
      <c r="L28" s="12" t="n">
        <v>171</v>
      </c>
      <c r="M28" s="12" t="n">
        <v>175</v>
      </c>
      <c r="N28" s="12" t="n">
        <v>107</v>
      </c>
      <c r="O28" s="12" t="n">
        <v>132</v>
      </c>
      <c r="P28" s="12" t="n">
        <v>180</v>
      </c>
      <c r="Q28" s="12" t="n">
        <v>152</v>
      </c>
      <c r="R28" s="12" t="n">
        <v>58</v>
      </c>
      <c r="S28" s="12" t="n">
        <v>85</v>
      </c>
      <c r="T28" s="12" t="n">
        <v>109</v>
      </c>
      <c r="U28" s="12" t="n">
        <v>51</v>
      </c>
      <c r="V28" s="12" t="n">
        <v>131</v>
      </c>
      <c r="W28" s="12" t="n">
        <v>131</v>
      </c>
      <c r="X28" s="12" t="n">
        <v>170</v>
      </c>
      <c r="Y28" s="12" t="n">
        <v>178</v>
      </c>
      <c r="Z28" s="12" t="n">
        <v>121</v>
      </c>
      <c r="AA28" s="12" t="n">
        <v>124</v>
      </c>
      <c r="AB28" s="12" t="n">
        <v>178</v>
      </c>
      <c r="AC28" s="12" t="n">
        <v>87</v>
      </c>
      <c r="AD28" s="12" t="n">
        <v>144</v>
      </c>
      <c r="AE28" s="12" t="n">
        <v>82</v>
      </c>
      <c r="AF28" s="12" t="n">
        <v>151</v>
      </c>
    </row>
    <row r="29">
      <c r="A29" s="20" t="n"/>
      <c r="B29" s="13" t="inlineStr">
        <is>
          <t>Quality of transport and ease of getting around</t>
        </is>
      </c>
      <c r="C29" s="14" t="n">
        <v>0.14</v>
      </c>
      <c r="D29" s="14" t="n">
        <v>0.17</v>
      </c>
      <c r="E29" s="14" t="n">
        <v>0.13</v>
      </c>
      <c r="F29" s="14" t="n">
        <v>0.15</v>
      </c>
      <c r="G29" s="14" t="n">
        <v>0.14</v>
      </c>
      <c r="H29" s="14" t="n">
        <v>0.17</v>
      </c>
      <c r="I29" s="14" t="n">
        <v>0.17</v>
      </c>
      <c r="J29" s="14" t="n">
        <v>0.16</v>
      </c>
      <c r="K29" s="14" t="n">
        <v>0.1</v>
      </c>
      <c r="L29" s="14" t="n">
        <v>0.17</v>
      </c>
      <c r="M29" s="14" t="n">
        <v>0.17</v>
      </c>
      <c r="N29" s="14" t="n">
        <v>0.11</v>
      </c>
      <c r="O29" s="14" t="n">
        <v>0.13</v>
      </c>
      <c r="P29" s="14" t="n">
        <v>0.18</v>
      </c>
      <c r="Q29" s="14" t="n">
        <v>0.15</v>
      </c>
      <c r="R29" s="14" t="n">
        <v>0.11</v>
      </c>
      <c r="S29" s="14" t="n">
        <v>0.08</v>
      </c>
      <c r="T29" s="14" t="n">
        <v>0.11</v>
      </c>
      <c r="U29" s="14" t="n">
        <v>0.1</v>
      </c>
      <c r="V29" s="14" t="n">
        <v>0.13</v>
      </c>
      <c r="W29" s="14" t="n">
        <v>0.26</v>
      </c>
      <c r="X29" s="14" t="n">
        <v>0.17</v>
      </c>
      <c r="Y29" s="14" t="n">
        <v>0.18</v>
      </c>
      <c r="Z29" s="14" t="n">
        <v>0.12</v>
      </c>
      <c r="AA29" s="14" t="n">
        <v>0.12</v>
      </c>
      <c r="AB29" s="14" t="n">
        <v>0.17</v>
      </c>
      <c r="AC29" s="14" t="n">
        <v>0.09</v>
      </c>
      <c r="AD29" s="14" t="n">
        <v>0.14</v>
      </c>
      <c r="AE29" s="14" t="n">
        <v>0.08</v>
      </c>
      <c r="AF29" s="14" t="n">
        <v>0.15</v>
      </c>
    </row>
    <row r="30">
      <c r="A30" s="20" t="n"/>
      <c r="B30" s="11" t="inlineStr">
        <is>
          <t>La sécurité publique et personnelle</t>
        </is>
      </c>
      <c r="C30" s="12" t="n">
        <v>7347</v>
      </c>
      <c r="D30" s="12" t="n">
        <v>236</v>
      </c>
      <c r="E30" s="12" t="n">
        <v>296</v>
      </c>
      <c r="F30" s="12" t="n">
        <v>270</v>
      </c>
      <c r="G30" s="12" t="n">
        <v>231</v>
      </c>
      <c r="H30" s="12" t="n">
        <v>393</v>
      </c>
      <c r="I30" s="12" t="n">
        <v>502</v>
      </c>
      <c r="J30" s="12" t="n">
        <v>109</v>
      </c>
      <c r="K30" s="12" t="n">
        <v>251</v>
      </c>
      <c r="L30" s="12" t="n">
        <v>219</v>
      </c>
      <c r="M30" s="12" t="n">
        <v>283</v>
      </c>
      <c r="N30" s="12" t="n">
        <v>245</v>
      </c>
      <c r="O30" s="12" t="n">
        <v>214</v>
      </c>
      <c r="P30" s="12" t="n">
        <v>205</v>
      </c>
      <c r="Q30" s="12" t="n">
        <v>356</v>
      </c>
      <c r="R30" s="12" t="n">
        <v>180</v>
      </c>
      <c r="S30" s="12" t="n">
        <v>286</v>
      </c>
      <c r="T30" s="12" t="n">
        <v>289</v>
      </c>
      <c r="U30" s="12" t="n">
        <v>113</v>
      </c>
      <c r="V30" s="12" t="n">
        <v>254</v>
      </c>
      <c r="W30" s="12" t="n">
        <v>96</v>
      </c>
      <c r="X30" s="12" t="n">
        <v>265</v>
      </c>
      <c r="Y30" s="12" t="n">
        <v>315</v>
      </c>
      <c r="Z30" s="12" t="n">
        <v>302</v>
      </c>
      <c r="AA30" s="12" t="n">
        <v>287</v>
      </c>
      <c r="AB30" s="12" t="n">
        <v>243</v>
      </c>
      <c r="AC30" s="12" t="n">
        <v>254</v>
      </c>
      <c r="AD30" s="12" t="n">
        <v>238</v>
      </c>
      <c r="AE30" s="12" t="n">
        <v>260</v>
      </c>
      <c r="AF30" s="12" t="n">
        <v>274</v>
      </c>
    </row>
    <row r="31">
      <c r="A31" s="20" t="n"/>
      <c r="B31" s="13" t="inlineStr">
        <is>
          <t>Public safety and personal security</t>
        </is>
      </c>
      <c r="C31" s="14" t="n">
        <v>0.28</v>
      </c>
      <c r="D31" s="14" t="n">
        <v>0.23</v>
      </c>
      <c r="E31" s="14" t="n">
        <v>0.29</v>
      </c>
      <c r="F31" s="14" t="n">
        <v>0.26</v>
      </c>
      <c r="G31" s="14" t="n">
        <v>0.23</v>
      </c>
      <c r="H31" s="14" t="n">
        <v>0.32</v>
      </c>
      <c r="I31" s="14" t="n">
        <v>0.33</v>
      </c>
      <c r="J31" s="14" t="n">
        <v>0.37</v>
      </c>
      <c r="K31" s="14" t="n">
        <v>0.25</v>
      </c>
      <c r="L31" s="14" t="n">
        <v>0.22</v>
      </c>
      <c r="M31" s="14" t="n">
        <v>0.28</v>
      </c>
      <c r="N31" s="14" t="n">
        <v>0.24</v>
      </c>
      <c r="O31" s="14" t="n">
        <v>0.21</v>
      </c>
      <c r="P31" s="14" t="n">
        <v>0.2</v>
      </c>
      <c r="Q31" s="14" t="n">
        <v>0.35</v>
      </c>
      <c r="R31" s="14" t="n">
        <v>0.36</v>
      </c>
      <c r="S31" s="14" t="n">
        <v>0.28</v>
      </c>
      <c r="T31" s="14" t="n">
        <v>0.28</v>
      </c>
      <c r="U31" s="14" t="n">
        <v>0.22</v>
      </c>
      <c r="V31" s="14" t="n">
        <v>0.25</v>
      </c>
      <c r="W31" s="14" t="n">
        <v>0.19</v>
      </c>
      <c r="X31" s="14" t="n">
        <v>0.26</v>
      </c>
      <c r="Y31" s="14" t="n">
        <v>0.31</v>
      </c>
      <c r="Z31" s="14" t="n">
        <v>0.3</v>
      </c>
      <c r="AA31" s="14" t="n">
        <v>0.28</v>
      </c>
      <c r="AB31" s="14" t="n">
        <v>0.23</v>
      </c>
      <c r="AC31" s="14" t="n">
        <v>0.25</v>
      </c>
      <c r="AD31" s="14" t="n">
        <v>0.24</v>
      </c>
      <c r="AE31" s="14" t="n">
        <v>0.26</v>
      </c>
      <c r="AF31" s="14" t="n">
        <v>0.26</v>
      </c>
    </row>
    <row r="32">
      <c r="A32" s="20" t="n"/>
      <c r="B32" s="11" t="inlineStr">
        <is>
          <t>La qualité de l’éducation et les opportunités d’apprentissage</t>
        </is>
      </c>
      <c r="C32" s="12" t="n">
        <v>4182</v>
      </c>
      <c r="D32" s="12" t="n">
        <v>187</v>
      </c>
      <c r="E32" s="12" t="n">
        <v>138</v>
      </c>
      <c r="F32" s="12" t="n">
        <v>118</v>
      </c>
      <c r="G32" s="12" t="n">
        <v>123</v>
      </c>
      <c r="H32" s="12" t="n">
        <v>193</v>
      </c>
      <c r="I32" s="12" t="n">
        <v>242</v>
      </c>
      <c r="J32" s="12" t="n">
        <v>49</v>
      </c>
      <c r="K32" s="12" t="n">
        <v>167</v>
      </c>
      <c r="L32" s="12" t="n">
        <v>162</v>
      </c>
      <c r="M32" s="12" t="n">
        <v>241</v>
      </c>
      <c r="N32" s="12" t="n">
        <v>211</v>
      </c>
      <c r="O32" s="12" t="n">
        <v>135</v>
      </c>
      <c r="P32" s="12" t="n">
        <v>135</v>
      </c>
      <c r="Q32" s="12" t="n">
        <v>163</v>
      </c>
      <c r="R32" s="12" t="n">
        <v>155</v>
      </c>
      <c r="S32" s="12" t="n">
        <v>173</v>
      </c>
      <c r="T32" s="12" t="n">
        <v>153</v>
      </c>
      <c r="U32" s="12" t="n">
        <v>98</v>
      </c>
      <c r="V32" s="12" t="n">
        <v>185</v>
      </c>
      <c r="W32" s="12" t="n">
        <v>115</v>
      </c>
      <c r="X32" s="12" t="n">
        <v>138</v>
      </c>
      <c r="Y32" s="12" t="n">
        <v>190</v>
      </c>
      <c r="Z32" s="12" t="n">
        <v>93</v>
      </c>
      <c r="AA32" s="12" t="n">
        <v>179</v>
      </c>
      <c r="AB32" s="12" t="n">
        <v>243</v>
      </c>
      <c r="AC32" s="12" t="n">
        <v>125</v>
      </c>
      <c r="AD32" s="12" t="n">
        <v>181</v>
      </c>
      <c r="AE32" s="12" t="n">
        <v>115</v>
      </c>
      <c r="AF32" s="12" t="n">
        <v>110</v>
      </c>
    </row>
    <row r="33">
      <c r="A33" s="20" t="n"/>
      <c r="B33" s="13" t="inlineStr">
        <is>
          <t>Quality of education and opportunities to learn</t>
        </is>
      </c>
      <c r="C33" s="14" t="n">
        <v>0.16</v>
      </c>
      <c r="D33" s="14" t="n">
        <v>0.18</v>
      </c>
      <c r="E33" s="14" t="n">
        <v>0.14</v>
      </c>
      <c r="F33" s="14" t="n">
        <v>0.11</v>
      </c>
      <c r="G33" s="14" t="n">
        <v>0.12</v>
      </c>
      <c r="H33" s="14" t="n">
        <v>0.16</v>
      </c>
      <c r="I33" s="14" t="n">
        <v>0.16</v>
      </c>
      <c r="J33" s="14" t="n">
        <v>0.17</v>
      </c>
      <c r="K33" s="14" t="n">
        <v>0.17</v>
      </c>
      <c r="L33" s="14" t="n">
        <v>0.16</v>
      </c>
      <c r="M33" s="14" t="n">
        <v>0.24</v>
      </c>
      <c r="N33" s="14" t="n">
        <v>0.21</v>
      </c>
      <c r="O33" s="14" t="n">
        <v>0.13</v>
      </c>
      <c r="P33" s="14" t="n">
        <v>0.13</v>
      </c>
      <c r="Q33" s="14" t="n">
        <v>0.16</v>
      </c>
      <c r="R33" s="14" t="n">
        <v>0.31</v>
      </c>
      <c r="S33" s="14" t="n">
        <v>0.17</v>
      </c>
      <c r="T33" s="14" t="n">
        <v>0.15</v>
      </c>
      <c r="U33" s="14" t="n">
        <v>0.19</v>
      </c>
      <c r="V33" s="14" t="n">
        <v>0.18</v>
      </c>
      <c r="W33" s="14" t="n">
        <v>0.23</v>
      </c>
      <c r="X33" s="14" t="n">
        <v>0.14</v>
      </c>
      <c r="Y33" s="14" t="n">
        <v>0.19</v>
      </c>
      <c r="Z33" s="14" t="n">
        <v>0.09</v>
      </c>
      <c r="AA33" s="14" t="n">
        <v>0.17</v>
      </c>
      <c r="AB33" s="14" t="n">
        <v>0.23</v>
      </c>
      <c r="AC33" s="14" t="n">
        <v>0.12</v>
      </c>
      <c r="AD33" s="14" t="n">
        <v>0.18</v>
      </c>
      <c r="AE33" s="14" t="n">
        <v>0.11</v>
      </c>
      <c r="AF33" s="14" t="n">
        <v>0.11</v>
      </c>
    </row>
    <row r="34">
      <c r="A34" s="20" t="n"/>
      <c r="B34" s="11" t="inlineStr">
        <is>
          <t>L’accès à la nature et aux espaces verts</t>
        </is>
      </c>
      <c r="C34" s="12" t="n">
        <v>3301</v>
      </c>
      <c r="D34" s="12" t="n">
        <v>129</v>
      </c>
      <c r="E34" s="12" t="n">
        <v>92</v>
      </c>
      <c r="F34" s="12" t="n">
        <v>136</v>
      </c>
      <c r="G34" s="12" t="n">
        <v>189</v>
      </c>
      <c r="H34" s="12" t="n">
        <v>139</v>
      </c>
      <c r="I34" s="12" t="n">
        <v>176</v>
      </c>
      <c r="J34" s="12" t="n">
        <v>37</v>
      </c>
      <c r="K34" s="12" t="n">
        <v>108</v>
      </c>
      <c r="L34" s="12" t="n">
        <v>142</v>
      </c>
      <c r="M34" s="12" t="n">
        <v>133</v>
      </c>
      <c r="N34" s="12" t="n">
        <v>94</v>
      </c>
      <c r="O34" s="12" t="n">
        <v>98</v>
      </c>
      <c r="P34" s="12" t="n">
        <v>149</v>
      </c>
      <c r="Q34" s="12" t="n">
        <v>163</v>
      </c>
      <c r="R34" s="12" t="n">
        <v>48</v>
      </c>
      <c r="S34" s="12" t="n">
        <v>45</v>
      </c>
      <c r="T34" s="12" t="n">
        <v>56</v>
      </c>
      <c r="U34" s="12" t="n">
        <v>65</v>
      </c>
      <c r="V34" s="12" t="n">
        <v>158</v>
      </c>
      <c r="W34" s="12" t="n">
        <v>106</v>
      </c>
      <c r="X34" s="12" t="n">
        <v>141</v>
      </c>
      <c r="Y34" s="12" t="n">
        <v>234</v>
      </c>
      <c r="Z34" s="12" t="n">
        <v>137</v>
      </c>
      <c r="AA34" s="12" t="n">
        <v>97</v>
      </c>
      <c r="AB34" s="12" t="n">
        <v>125</v>
      </c>
      <c r="AC34" s="12" t="n">
        <v>174</v>
      </c>
      <c r="AD34" s="12" t="n">
        <v>112</v>
      </c>
      <c r="AE34" s="12" t="n">
        <v>117</v>
      </c>
      <c r="AF34" s="12" t="n">
        <v>186</v>
      </c>
    </row>
    <row r="35">
      <c r="A35" s="20" t="n"/>
      <c r="B35" s="13" t="inlineStr">
        <is>
          <t>Access to nature and green spaces</t>
        </is>
      </c>
      <c r="C35" s="14" t="n">
        <v>0.12</v>
      </c>
      <c r="D35" s="14" t="n">
        <v>0.13</v>
      </c>
      <c r="E35" s="14" t="n">
        <v>0.09</v>
      </c>
      <c r="F35" s="14" t="n">
        <v>0.13</v>
      </c>
      <c r="G35" s="14" t="n">
        <v>0.19</v>
      </c>
      <c r="H35" s="14" t="n">
        <v>0.11</v>
      </c>
      <c r="I35" s="14" t="n">
        <v>0.12</v>
      </c>
      <c r="J35" s="14" t="n">
        <v>0.13</v>
      </c>
      <c r="K35" s="14" t="n">
        <v>0.11</v>
      </c>
      <c r="L35" s="14" t="n">
        <v>0.14</v>
      </c>
      <c r="M35" s="14" t="n">
        <v>0.13</v>
      </c>
      <c r="N35" s="14" t="n">
        <v>0.09</v>
      </c>
      <c r="O35" s="14" t="n">
        <v>0.1</v>
      </c>
      <c r="P35" s="14" t="n">
        <v>0.15</v>
      </c>
      <c r="Q35" s="14" t="n">
        <v>0.16</v>
      </c>
      <c r="R35" s="14" t="n">
        <v>0.1</v>
      </c>
      <c r="S35" s="14" t="n">
        <v>0.04</v>
      </c>
      <c r="T35" s="14" t="n">
        <v>0.05</v>
      </c>
      <c r="U35" s="14" t="n">
        <v>0.13</v>
      </c>
      <c r="V35" s="14" t="n">
        <v>0.15</v>
      </c>
      <c r="W35" s="14" t="n">
        <v>0.21</v>
      </c>
      <c r="X35" s="14" t="n">
        <v>0.14</v>
      </c>
      <c r="Y35" s="14" t="n">
        <v>0.23</v>
      </c>
      <c r="Z35" s="14" t="n">
        <v>0.13</v>
      </c>
      <c r="AA35" s="14" t="n">
        <v>0.09</v>
      </c>
      <c r="AB35" s="14" t="n">
        <v>0.12</v>
      </c>
      <c r="AC35" s="14" t="n">
        <v>0.17</v>
      </c>
      <c r="AD35" s="14" t="n">
        <v>0.11</v>
      </c>
      <c r="AE35" s="14" t="n">
        <v>0.12</v>
      </c>
      <c r="AF35" s="14" t="n">
        <v>0.18</v>
      </c>
    </row>
    <row r="36">
      <c r="A36" s="20" t="n"/>
      <c r="B36" s="11" t="inlineStr">
        <is>
          <t>L’équilibre entre vie professionnelle et vie privée</t>
        </is>
      </c>
      <c r="C36" s="12" t="n">
        <v>5495</v>
      </c>
      <c r="D36" s="12" t="n">
        <v>241</v>
      </c>
      <c r="E36" s="12" t="n">
        <v>222</v>
      </c>
      <c r="F36" s="12" t="n">
        <v>197</v>
      </c>
      <c r="G36" s="12" t="n">
        <v>314</v>
      </c>
      <c r="H36" s="12" t="n">
        <v>138</v>
      </c>
      <c r="I36" s="12" t="n">
        <v>179</v>
      </c>
      <c r="J36" s="12" t="n">
        <v>41</v>
      </c>
      <c r="K36" s="12" t="n">
        <v>205</v>
      </c>
      <c r="L36" s="12" t="n">
        <v>293</v>
      </c>
      <c r="M36" s="12" t="n">
        <v>217</v>
      </c>
      <c r="N36" s="12" t="n">
        <v>237</v>
      </c>
      <c r="O36" s="12" t="n">
        <v>217</v>
      </c>
      <c r="P36" s="12" t="n">
        <v>247</v>
      </c>
      <c r="Q36" s="12" t="n">
        <v>254</v>
      </c>
      <c r="R36" s="12" t="n">
        <v>105</v>
      </c>
      <c r="S36" s="12" t="n">
        <v>247</v>
      </c>
      <c r="T36" s="12" t="n">
        <v>262</v>
      </c>
      <c r="U36" s="12" t="n">
        <v>147</v>
      </c>
      <c r="V36" s="12" t="n">
        <v>250</v>
      </c>
      <c r="W36" s="12" t="n">
        <v>159</v>
      </c>
      <c r="X36" s="12" t="n">
        <v>221</v>
      </c>
      <c r="Y36" s="12" t="n">
        <v>158</v>
      </c>
      <c r="Z36" s="12" t="n">
        <v>183</v>
      </c>
      <c r="AA36" s="12" t="n">
        <v>357</v>
      </c>
      <c r="AB36" s="12" t="n">
        <v>206</v>
      </c>
      <c r="AC36" s="12" t="n">
        <v>207</v>
      </c>
      <c r="AD36" s="12" t="n">
        <v>249</v>
      </c>
      <c r="AE36" s="12" t="n">
        <v>241</v>
      </c>
      <c r="AF36" s="12" t="n">
        <v>312</v>
      </c>
    </row>
    <row r="37">
      <c r="A37" s="20" t="n"/>
      <c r="B37" s="13" t="inlineStr">
        <is>
          <t>Work-life balance</t>
        </is>
      </c>
      <c r="C37" s="14" t="n">
        <v>0.21</v>
      </c>
      <c r="D37" s="14" t="n">
        <v>0.24</v>
      </c>
      <c r="E37" s="14" t="n">
        <v>0.22</v>
      </c>
      <c r="F37" s="14" t="n">
        <v>0.19</v>
      </c>
      <c r="G37" s="14" t="n">
        <v>0.31</v>
      </c>
      <c r="H37" s="14" t="n">
        <v>0.11</v>
      </c>
      <c r="I37" s="14" t="n">
        <v>0.12</v>
      </c>
      <c r="J37" s="14" t="n">
        <v>0.14</v>
      </c>
      <c r="K37" s="14" t="n">
        <v>0.2</v>
      </c>
      <c r="L37" s="14" t="n">
        <v>0.29</v>
      </c>
      <c r="M37" s="14" t="n">
        <v>0.22</v>
      </c>
      <c r="N37" s="14" t="n">
        <v>0.24</v>
      </c>
      <c r="O37" s="14" t="n">
        <v>0.21</v>
      </c>
      <c r="P37" s="14" t="n">
        <v>0.24</v>
      </c>
      <c r="Q37" s="14" t="n">
        <v>0.25</v>
      </c>
      <c r="R37" s="14" t="n">
        <v>0.21</v>
      </c>
      <c r="S37" s="14" t="n">
        <v>0.25</v>
      </c>
      <c r="T37" s="14" t="n">
        <v>0.26</v>
      </c>
      <c r="U37" s="14" t="n">
        <v>0.29</v>
      </c>
      <c r="V37" s="14" t="n">
        <v>0.25</v>
      </c>
      <c r="W37" s="14" t="n">
        <v>0.31</v>
      </c>
      <c r="X37" s="14" t="n">
        <v>0.22</v>
      </c>
      <c r="Y37" s="14" t="n">
        <v>0.16</v>
      </c>
      <c r="Z37" s="14" t="n">
        <v>0.18</v>
      </c>
      <c r="AA37" s="14" t="n">
        <v>0.35</v>
      </c>
      <c r="AB37" s="14" t="n">
        <v>0.2</v>
      </c>
      <c r="AC37" s="14" t="n">
        <v>0.21</v>
      </c>
      <c r="AD37" s="14" t="n">
        <v>0.25</v>
      </c>
      <c r="AE37" s="14" t="n">
        <v>0.24</v>
      </c>
      <c r="AF37" s="14" t="n">
        <v>0.3</v>
      </c>
    </row>
    <row r="38">
      <c r="A38" s="20" t="n"/>
      <c r="B38" s="11" t="inlineStr">
        <is>
          <t>La sécurité de l’emploi et les conditions de travail</t>
        </is>
      </c>
      <c r="C38" s="12" t="n">
        <v>7057</v>
      </c>
      <c r="D38" s="12" t="n">
        <v>273</v>
      </c>
      <c r="E38" s="12" t="n">
        <v>312</v>
      </c>
      <c r="F38" s="12" t="n">
        <v>269</v>
      </c>
      <c r="G38" s="12" t="n">
        <v>185</v>
      </c>
      <c r="H38" s="12" t="n">
        <v>276</v>
      </c>
      <c r="I38" s="12" t="n">
        <v>354</v>
      </c>
      <c r="J38" s="12" t="n">
        <v>78</v>
      </c>
      <c r="K38" s="12" t="n">
        <v>296</v>
      </c>
      <c r="L38" s="12" t="n">
        <v>272</v>
      </c>
      <c r="M38" s="12" t="n">
        <v>372</v>
      </c>
      <c r="N38" s="12" t="n">
        <v>308</v>
      </c>
      <c r="O38" s="12" t="n">
        <v>279</v>
      </c>
      <c r="P38" s="12" t="n">
        <v>346</v>
      </c>
      <c r="Q38" s="12" t="n">
        <v>309</v>
      </c>
      <c r="R38" s="12" t="n">
        <v>146</v>
      </c>
      <c r="S38" s="12" t="n">
        <v>147</v>
      </c>
      <c r="T38" s="12" t="n">
        <v>180</v>
      </c>
      <c r="U38" s="12" t="n">
        <v>137</v>
      </c>
      <c r="V38" s="12" t="n">
        <v>286</v>
      </c>
      <c r="W38" s="12" t="n">
        <v>103</v>
      </c>
      <c r="X38" s="12" t="n">
        <v>177</v>
      </c>
      <c r="Y38" s="12" t="n">
        <v>239</v>
      </c>
      <c r="Z38" s="12" t="n">
        <v>238</v>
      </c>
      <c r="AA38" s="12" t="n">
        <v>391</v>
      </c>
      <c r="AB38" s="12" t="n">
        <v>349</v>
      </c>
      <c r="AC38" s="12" t="n">
        <v>234</v>
      </c>
      <c r="AD38" s="12" t="n">
        <v>321</v>
      </c>
      <c r="AE38" s="12" t="n">
        <v>168</v>
      </c>
      <c r="AF38" s="12" t="n">
        <v>135</v>
      </c>
    </row>
    <row r="39">
      <c r="A39" s="20" t="n"/>
      <c r="B39" s="13" t="inlineStr">
        <is>
          <t>Job security and working conditions</t>
        </is>
      </c>
      <c r="C39" s="14" t="n">
        <v>0.27</v>
      </c>
      <c r="D39" s="14" t="n">
        <v>0.27</v>
      </c>
      <c r="E39" s="14" t="n">
        <v>0.31</v>
      </c>
      <c r="F39" s="14" t="n">
        <v>0.26</v>
      </c>
      <c r="G39" s="14" t="n">
        <v>0.18</v>
      </c>
      <c r="H39" s="14" t="n">
        <v>0.23</v>
      </c>
      <c r="I39" s="14" t="n">
        <v>0.24</v>
      </c>
      <c r="J39" s="14" t="n">
        <v>0.27</v>
      </c>
      <c r="K39" s="14" t="n">
        <v>0.29</v>
      </c>
      <c r="L39" s="14" t="n">
        <v>0.27</v>
      </c>
      <c r="M39" s="14" t="n">
        <v>0.37</v>
      </c>
      <c r="N39" s="14" t="n">
        <v>0.31</v>
      </c>
      <c r="O39" s="14" t="n">
        <v>0.27</v>
      </c>
      <c r="P39" s="14" t="n">
        <v>0.34</v>
      </c>
      <c r="Q39" s="14" t="n">
        <v>0.3</v>
      </c>
      <c r="R39" s="14" t="n">
        <v>0.29</v>
      </c>
      <c r="S39" s="14" t="n">
        <v>0.15</v>
      </c>
      <c r="T39" s="14" t="n">
        <v>0.18</v>
      </c>
      <c r="U39" s="14" t="n">
        <v>0.27</v>
      </c>
      <c r="V39" s="14" t="n">
        <v>0.28</v>
      </c>
      <c r="W39" s="14" t="n">
        <v>0.2</v>
      </c>
      <c r="X39" s="14" t="n">
        <v>0.17</v>
      </c>
      <c r="Y39" s="14" t="n">
        <v>0.24</v>
      </c>
      <c r="Z39" s="14" t="n">
        <v>0.23</v>
      </c>
      <c r="AA39" s="14" t="n">
        <v>0.38</v>
      </c>
      <c r="AB39" s="14" t="n">
        <v>0.33</v>
      </c>
      <c r="AC39" s="14" t="n">
        <v>0.23</v>
      </c>
      <c r="AD39" s="14" t="n">
        <v>0.32</v>
      </c>
      <c r="AE39" s="14" t="n">
        <v>0.16</v>
      </c>
      <c r="AF39" s="14" t="n">
        <v>0.13</v>
      </c>
    </row>
    <row r="40">
      <c r="A40" s="20" t="n"/>
      <c r="B40" s="11" t="inlineStr">
        <is>
          <t>La vie sociale (famille, amis, autres relations, etc.)</t>
        </is>
      </c>
      <c r="C40" s="12" t="n">
        <v>7273</v>
      </c>
      <c r="D40" s="12" t="n">
        <v>245</v>
      </c>
      <c r="E40" s="12" t="n">
        <v>384</v>
      </c>
      <c r="F40" s="12" t="n">
        <v>201</v>
      </c>
      <c r="G40" s="12" t="n">
        <v>374</v>
      </c>
      <c r="H40" s="12" t="n">
        <v>392</v>
      </c>
      <c r="I40" s="12" t="n">
        <v>506</v>
      </c>
      <c r="J40" s="12" t="n">
        <v>114</v>
      </c>
      <c r="K40" s="12" t="n">
        <v>312</v>
      </c>
      <c r="L40" s="12" t="n">
        <v>292</v>
      </c>
      <c r="M40" s="12" t="n">
        <v>274</v>
      </c>
      <c r="N40" s="12" t="n">
        <v>254</v>
      </c>
      <c r="O40" s="12" t="n">
        <v>286</v>
      </c>
      <c r="P40" s="12" t="n">
        <v>364</v>
      </c>
      <c r="Q40" s="12" t="n">
        <v>290</v>
      </c>
      <c r="R40" s="12" t="n">
        <v>118</v>
      </c>
      <c r="S40" s="12" t="n">
        <v>217</v>
      </c>
      <c r="T40" s="12" t="n">
        <v>392</v>
      </c>
      <c r="U40" s="12" t="n">
        <v>146</v>
      </c>
      <c r="V40" s="12" t="n">
        <v>229</v>
      </c>
      <c r="W40" s="12" t="n">
        <v>171</v>
      </c>
      <c r="X40" s="12" t="n">
        <v>245</v>
      </c>
      <c r="Y40" s="12" t="n">
        <v>360</v>
      </c>
      <c r="Z40" s="12" t="n">
        <v>139</v>
      </c>
      <c r="AA40" s="12" t="n">
        <v>305</v>
      </c>
      <c r="AB40" s="12" t="n">
        <v>225</v>
      </c>
      <c r="AC40" s="12" t="n">
        <v>222</v>
      </c>
      <c r="AD40" s="12" t="n">
        <v>311</v>
      </c>
      <c r="AE40" s="12" t="n">
        <v>322</v>
      </c>
      <c r="AF40" s="12" t="n">
        <v>357</v>
      </c>
    </row>
    <row r="41">
      <c r="A41" s="20" t="n"/>
      <c r="B41" s="13" t="inlineStr">
        <is>
          <t>Social life (family, friends, other relationships, etc.)</t>
        </is>
      </c>
      <c r="C41" s="14" t="n">
        <v>0.28</v>
      </c>
      <c r="D41" s="14" t="n">
        <v>0.24</v>
      </c>
      <c r="E41" s="14" t="n">
        <v>0.38</v>
      </c>
      <c r="F41" s="14" t="n">
        <v>0.19</v>
      </c>
      <c r="G41" s="14" t="n">
        <v>0.37</v>
      </c>
      <c r="H41" s="14" t="n">
        <v>0.32</v>
      </c>
      <c r="I41" s="14" t="n">
        <v>0.34</v>
      </c>
      <c r="J41" s="14" t="n">
        <v>0.39</v>
      </c>
      <c r="K41" s="14" t="n">
        <v>0.31</v>
      </c>
      <c r="L41" s="14" t="n">
        <v>0.29</v>
      </c>
      <c r="M41" s="14" t="n">
        <v>0.27</v>
      </c>
      <c r="N41" s="14" t="n">
        <v>0.25</v>
      </c>
      <c r="O41" s="14" t="n">
        <v>0.28</v>
      </c>
      <c r="P41" s="14" t="n">
        <v>0.36</v>
      </c>
      <c r="Q41" s="14" t="n">
        <v>0.28</v>
      </c>
      <c r="R41" s="14" t="n">
        <v>0.23</v>
      </c>
      <c r="S41" s="14" t="n">
        <v>0.22</v>
      </c>
      <c r="T41" s="14" t="n">
        <v>0.39</v>
      </c>
      <c r="U41" s="14" t="n">
        <v>0.29</v>
      </c>
      <c r="V41" s="14" t="n">
        <v>0.22</v>
      </c>
      <c r="W41" s="14" t="n">
        <v>0.34</v>
      </c>
      <c r="X41" s="14" t="n">
        <v>0.24</v>
      </c>
      <c r="Y41" s="14" t="n">
        <v>0.36</v>
      </c>
      <c r="Z41" s="14" t="n">
        <v>0.14</v>
      </c>
      <c r="AA41" s="14" t="n">
        <v>0.3</v>
      </c>
      <c r="AB41" s="14" t="n">
        <v>0.22</v>
      </c>
      <c r="AC41" s="14" t="n">
        <v>0.22</v>
      </c>
      <c r="AD41" s="14" t="n">
        <v>0.31</v>
      </c>
      <c r="AE41" s="14" t="n">
        <v>0.32</v>
      </c>
      <c r="AF41" s="14" t="n">
        <v>0.34</v>
      </c>
    </row>
    <row r="42">
      <c r="A42" s="20" t="n"/>
      <c r="B42" s="11" t="inlineStr">
        <is>
          <t>L’accès à la culture</t>
        </is>
      </c>
      <c r="C42" s="12" t="n">
        <v>2251</v>
      </c>
      <c r="D42" s="12" t="n">
        <v>97</v>
      </c>
      <c r="E42" s="12" t="n">
        <v>60</v>
      </c>
      <c r="F42" s="12" t="n">
        <v>61</v>
      </c>
      <c r="G42" s="12" t="n">
        <v>66</v>
      </c>
      <c r="H42" s="12" t="n">
        <v>77</v>
      </c>
      <c r="I42" s="12" t="n">
        <v>104</v>
      </c>
      <c r="J42" s="12" t="n">
        <v>27</v>
      </c>
      <c r="K42" s="12" t="n">
        <v>124</v>
      </c>
      <c r="L42" s="12" t="n">
        <v>68</v>
      </c>
      <c r="M42" s="12" t="n">
        <v>70</v>
      </c>
      <c r="N42" s="12" t="n">
        <v>82</v>
      </c>
      <c r="O42" s="12" t="n">
        <v>110</v>
      </c>
      <c r="P42" s="12" t="n">
        <v>69</v>
      </c>
      <c r="Q42" s="12" t="n">
        <v>99</v>
      </c>
      <c r="R42" s="12" t="n">
        <v>36</v>
      </c>
      <c r="S42" s="12" t="n">
        <v>67</v>
      </c>
      <c r="T42" s="12" t="n">
        <v>45</v>
      </c>
      <c r="U42" s="12" t="n">
        <v>32</v>
      </c>
      <c r="V42" s="12" t="n">
        <v>104</v>
      </c>
      <c r="W42" s="12" t="n">
        <v>40</v>
      </c>
      <c r="X42" s="12" t="n">
        <v>72</v>
      </c>
      <c r="Y42" s="12" t="n">
        <v>98</v>
      </c>
      <c r="Z42" s="12" t="n">
        <v>82</v>
      </c>
      <c r="AA42" s="12" t="n">
        <v>74</v>
      </c>
      <c r="AB42" s="12" t="n">
        <v>104</v>
      </c>
      <c r="AC42" s="12" t="n">
        <v>37</v>
      </c>
      <c r="AD42" s="12" t="n">
        <v>83</v>
      </c>
      <c r="AE42" s="12" t="n">
        <v>72</v>
      </c>
      <c r="AF42" s="12" t="n">
        <v>135</v>
      </c>
    </row>
    <row r="43">
      <c r="A43" s="20" t="n"/>
      <c r="B43" s="13" t="inlineStr">
        <is>
          <t>Access to culture</t>
        </is>
      </c>
      <c r="C43" s="14" t="n">
        <v>0.09</v>
      </c>
      <c r="D43" s="14" t="n">
        <v>0.1</v>
      </c>
      <c r="E43" s="14" t="n">
        <v>0.06</v>
      </c>
      <c r="F43" s="14" t="n">
        <v>0.06</v>
      </c>
      <c r="G43" s="14" t="n">
        <v>0.07000000000000001</v>
      </c>
      <c r="H43" s="14" t="n">
        <v>0.06</v>
      </c>
      <c r="I43" s="14" t="n">
        <v>0.07000000000000001</v>
      </c>
      <c r="J43" s="14" t="n">
        <v>0.09</v>
      </c>
      <c r="K43" s="14" t="n">
        <v>0.12</v>
      </c>
      <c r="L43" s="14" t="n">
        <v>0.07000000000000001</v>
      </c>
      <c r="M43" s="14" t="n">
        <v>0.07000000000000001</v>
      </c>
      <c r="N43" s="14" t="n">
        <v>0.08</v>
      </c>
      <c r="O43" s="14" t="n">
        <v>0.11</v>
      </c>
      <c r="P43" s="14" t="n">
        <v>0.07000000000000001</v>
      </c>
      <c r="Q43" s="14" t="n">
        <v>0.1</v>
      </c>
      <c r="R43" s="14" t="n">
        <v>0.07000000000000001</v>
      </c>
      <c r="S43" s="14" t="n">
        <v>0.07000000000000001</v>
      </c>
      <c r="T43" s="14" t="n">
        <v>0.04</v>
      </c>
      <c r="U43" s="14" t="n">
        <v>0.06</v>
      </c>
      <c r="V43" s="14" t="n">
        <v>0.1</v>
      </c>
      <c r="W43" s="14" t="n">
        <v>0.08</v>
      </c>
      <c r="X43" s="14" t="n">
        <v>0.07000000000000001</v>
      </c>
      <c r="Y43" s="14" t="n">
        <v>0.1</v>
      </c>
      <c r="Z43" s="14" t="n">
        <v>0.08</v>
      </c>
      <c r="AA43" s="14" t="n">
        <v>0.07000000000000001</v>
      </c>
      <c r="AB43" s="14" t="n">
        <v>0.1</v>
      </c>
      <c r="AC43" s="14" t="n">
        <v>0.04</v>
      </c>
      <c r="AD43" s="14" t="n">
        <v>0.08</v>
      </c>
      <c r="AE43" s="14" t="n">
        <v>0.07000000000000001</v>
      </c>
      <c r="AF43" s="14" t="n">
        <v>0.13</v>
      </c>
    </row>
    <row r="44">
      <c r="A44" s="20" t="n"/>
      <c r="B44" s="11" t="inlineStr">
        <is>
          <t>Autre (SPONTANÉ)</t>
        </is>
      </c>
      <c r="C44" s="12" t="n">
        <v>314</v>
      </c>
      <c r="D44" s="12" t="n">
        <v>5</v>
      </c>
      <c r="E44" s="12" t="n">
        <v>0</v>
      </c>
      <c r="F44" s="12" t="n">
        <v>1</v>
      </c>
      <c r="G44" s="12" t="n">
        <v>22</v>
      </c>
      <c r="H44" s="12" t="n">
        <v>57</v>
      </c>
      <c r="I44" s="12" t="n">
        <v>57</v>
      </c>
      <c r="J44" s="12" t="n">
        <v>0</v>
      </c>
      <c r="K44" s="12" t="n">
        <v>29</v>
      </c>
      <c r="L44" s="12" t="n">
        <v>0</v>
      </c>
      <c r="M44" s="12" t="n">
        <v>0</v>
      </c>
      <c r="N44" s="12" t="n">
        <v>5</v>
      </c>
      <c r="O44" s="12" t="n">
        <v>4</v>
      </c>
      <c r="P44" s="12" t="n">
        <v>0</v>
      </c>
      <c r="Q44" s="12" t="n">
        <v>4</v>
      </c>
      <c r="R44" s="12" t="n">
        <v>0</v>
      </c>
      <c r="S44" s="12" t="n">
        <v>9</v>
      </c>
      <c r="T44" s="12" t="n">
        <v>4</v>
      </c>
      <c r="U44" s="12" t="n">
        <v>4</v>
      </c>
      <c r="V44" s="12" t="n">
        <v>0</v>
      </c>
      <c r="W44" s="12" t="n">
        <v>3</v>
      </c>
      <c r="X44" s="12" t="n">
        <v>39</v>
      </c>
      <c r="Y44" s="12" t="n">
        <v>13</v>
      </c>
      <c r="Z44" s="12" t="n">
        <v>0</v>
      </c>
      <c r="AA44" s="12" t="n">
        <v>1</v>
      </c>
      <c r="AB44" s="12" t="n">
        <v>2</v>
      </c>
      <c r="AC44" s="12" t="n">
        <v>7</v>
      </c>
      <c r="AD44" s="12" t="n">
        <v>0</v>
      </c>
      <c r="AE44" s="12" t="n">
        <v>6</v>
      </c>
      <c r="AF44" s="12" t="n">
        <v>25</v>
      </c>
    </row>
    <row r="45">
      <c r="A45" s="20" t="n"/>
      <c r="B45" s="13" t="inlineStr">
        <is>
          <t>Other (SPONTANEOUS)</t>
        </is>
      </c>
      <c r="C45" s="14" t="n">
        <v>0.01</v>
      </c>
      <c r="D45" s="15" t="inlineStr">
        <is>
          <t>-</t>
        </is>
      </c>
      <c r="E45" s="15" t="inlineStr">
        <is>
          <t>-</t>
        </is>
      </c>
      <c r="F45" s="15" t="inlineStr">
        <is>
          <t>-</t>
        </is>
      </c>
      <c r="G45" s="14" t="n">
        <v>0.02</v>
      </c>
      <c r="H45" s="14" t="n">
        <v>0.05</v>
      </c>
      <c r="I45" s="14" t="n">
        <v>0.04</v>
      </c>
      <c r="J45" s="15" t="inlineStr">
        <is>
          <t>-</t>
        </is>
      </c>
      <c r="K45" s="14" t="n">
        <v>0.03</v>
      </c>
      <c r="L45" s="15" t="inlineStr">
        <is>
          <t>-</t>
        </is>
      </c>
      <c r="M45" s="15" t="inlineStr">
        <is>
          <t>-</t>
        </is>
      </c>
      <c r="N45" s="15" t="inlineStr">
        <is>
          <t>-</t>
        </is>
      </c>
      <c r="O45" s="15" t="inlineStr">
        <is>
          <t>-</t>
        </is>
      </c>
      <c r="P45" s="15" t="inlineStr">
        <is>
          <t>-</t>
        </is>
      </c>
      <c r="Q45" s="15" t="inlineStr">
        <is>
          <t>-</t>
        </is>
      </c>
      <c r="R45" s="15" t="inlineStr">
        <is>
          <t>-</t>
        </is>
      </c>
      <c r="S45" s="14" t="n">
        <v>0.01</v>
      </c>
      <c r="T45" s="15" t="inlineStr">
        <is>
          <t>-</t>
        </is>
      </c>
      <c r="U45" s="14" t="n">
        <v>0.01</v>
      </c>
      <c r="V45" s="15" t="inlineStr">
        <is>
          <t>-</t>
        </is>
      </c>
      <c r="W45" s="14" t="n">
        <v>0.01</v>
      </c>
      <c r="X45" s="14" t="n">
        <v>0.04</v>
      </c>
      <c r="Y45" s="14" t="n">
        <v>0.01</v>
      </c>
      <c r="Z45" s="15" t="inlineStr">
        <is>
          <t>-</t>
        </is>
      </c>
      <c r="AA45" s="15" t="inlineStr">
        <is>
          <t>-</t>
        </is>
      </c>
      <c r="AB45" s="15" t="inlineStr">
        <is>
          <t>-</t>
        </is>
      </c>
      <c r="AC45" s="14" t="n">
        <v>0.01</v>
      </c>
      <c r="AD45" s="15" t="inlineStr">
        <is>
          <t>-</t>
        </is>
      </c>
      <c r="AE45" s="14" t="n">
        <v>0.01</v>
      </c>
      <c r="AF45" s="14" t="n">
        <v>0.02</v>
      </c>
    </row>
    <row r="46">
      <c r="A46" s="20" t="n"/>
      <c r="B46" s="11" t="inlineStr">
        <is>
          <t>Ne sait pas</t>
        </is>
      </c>
      <c r="C46" s="12" t="n">
        <v>299</v>
      </c>
      <c r="D46" s="12" t="n">
        <v>4</v>
      </c>
      <c r="E46" s="12" t="n">
        <v>7</v>
      </c>
      <c r="F46" s="12" t="n">
        <v>40</v>
      </c>
      <c r="G46" s="12" t="n">
        <v>29</v>
      </c>
      <c r="H46" s="12" t="n">
        <v>21</v>
      </c>
      <c r="I46" s="12" t="n">
        <v>23</v>
      </c>
      <c r="J46" s="12" t="n">
        <v>2</v>
      </c>
      <c r="K46" s="12" t="n">
        <v>20</v>
      </c>
      <c r="L46" s="12" t="n">
        <v>5</v>
      </c>
      <c r="M46" s="12" t="n">
        <v>0</v>
      </c>
      <c r="N46" s="12" t="n">
        <v>11</v>
      </c>
      <c r="O46" s="12" t="n">
        <v>13</v>
      </c>
      <c r="P46" s="12" t="n">
        <v>3</v>
      </c>
      <c r="Q46" s="12" t="n">
        <v>8</v>
      </c>
      <c r="R46" s="12" t="n">
        <v>8</v>
      </c>
      <c r="S46" s="12" t="n">
        <v>14</v>
      </c>
      <c r="T46" s="12" t="n">
        <v>3</v>
      </c>
      <c r="U46" s="12" t="n">
        <v>6</v>
      </c>
      <c r="V46" s="12" t="n">
        <v>0</v>
      </c>
      <c r="W46" s="12" t="n">
        <v>3</v>
      </c>
      <c r="X46" s="12" t="n">
        <v>17</v>
      </c>
      <c r="Y46" s="12" t="n">
        <v>14</v>
      </c>
      <c r="Z46" s="12" t="n">
        <v>7</v>
      </c>
      <c r="AA46" s="12" t="n">
        <v>7</v>
      </c>
      <c r="AB46" s="12" t="n">
        <v>7</v>
      </c>
      <c r="AC46" s="12" t="n">
        <v>5</v>
      </c>
      <c r="AD46" s="12" t="n">
        <v>0</v>
      </c>
      <c r="AE46" s="12" t="n">
        <v>16</v>
      </c>
      <c r="AF46" s="12" t="n">
        <v>15</v>
      </c>
    </row>
    <row r="47">
      <c r="A47" s="23" t="n"/>
      <c r="B47" s="13" t="inlineStr">
        <is>
          <t>Don't know</t>
        </is>
      </c>
      <c r="C47" s="14" t="n">
        <v>0.01</v>
      </c>
      <c r="D47" s="15" t="inlineStr">
        <is>
          <t>-</t>
        </is>
      </c>
      <c r="E47" s="14" t="n">
        <v>0.01</v>
      </c>
      <c r="F47" s="14" t="n">
        <v>0.04</v>
      </c>
      <c r="G47" s="14" t="n">
        <v>0.03</v>
      </c>
      <c r="H47" s="14" t="n">
        <v>0.02</v>
      </c>
      <c r="I47" s="14" t="n">
        <v>0.02</v>
      </c>
      <c r="J47" s="14" t="n">
        <v>0.01</v>
      </c>
      <c r="K47" s="14" t="n">
        <v>0.02</v>
      </c>
      <c r="L47" s="14" t="n">
        <v>0.01</v>
      </c>
      <c r="M47" s="15" t="inlineStr">
        <is>
          <t>-</t>
        </is>
      </c>
      <c r="N47" s="14" t="n">
        <v>0.01</v>
      </c>
      <c r="O47" s="14" t="n">
        <v>0.01</v>
      </c>
      <c r="P47" s="15" t="inlineStr">
        <is>
          <t>-</t>
        </is>
      </c>
      <c r="Q47" s="14" t="n">
        <v>0.01</v>
      </c>
      <c r="R47" s="14" t="n">
        <v>0.02</v>
      </c>
      <c r="S47" s="14" t="n">
        <v>0.01</v>
      </c>
      <c r="T47" s="15" t="inlineStr">
        <is>
          <t>-</t>
        </is>
      </c>
      <c r="U47" s="14" t="n">
        <v>0.01</v>
      </c>
      <c r="V47" s="15" t="inlineStr">
        <is>
          <t>-</t>
        </is>
      </c>
      <c r="W47" s="14" t="n">
        <v>0.01</v>
      </c>
      <c r="X47" s="14" t="n">
        <v>0.02</v>
      </c>
      <c r="Y47" s="14" t="n">
        <v>0.01</v>
      </c>
      <c r="Z47" s="14" t="n">
        <v>0.01</v>
      </c>
      <c r="AA47" s="14" t="n">
        <v>0.01</v>
      </c>
      <c r="AB47" s="14" t="n">
        <v>0.01</v>
      </c>
      <c r="AC47" s="15" t="inlineStr">
        <is>
          <t>-</t>
        </is>
      </c>
      <c r="AD47" s="15" t="inlineStr">
        <is>
          <t>-</t>
        </is>
      </c>
      <c r="AE47" s="14" t="n">
        <v>0.02</v>
      </c>
      <c r="AF47" s="14" t="n">
        <v>0.01</v>
      </c>
    </row>
  </sheetData>
  <mergeCells count="9">
    <mergeCell ref="B4:F4"/>
    <mergeCell ref="A10:A47"/>
    <mergeCell ref="H3:L3"/>
    <mergeCell ref="C8:AF8"/>
    <mergeCell ref="B3:F3"/>
    <mergeCell ref="B5:F5"/>
    <mergeCell ref="H5:L5"/>
    <mergeCell ref="B10:B11"/>
    <mergeCell ref="H4:L4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24" customHeight="1" s="18">
      <c r="B3" s="21" t="inlineStr">
        <is>
          <t>QA15.1. De manière générale, diriez-vous que la qualité de vie dans l’UE est actuellement meilleure ou moins bonne que dans chacun de ces pays ?</t>
        </is>
      </c>
      <c r="H3" s="21" t="inlineStr">
        <is>
          <t>QA15.1. In general, would you say that the quality of life in the EU is currently better or worse than in each of these countries?</t>
        </is>
      </c>
    </row>
    <row r="4" ht="27" customHeight="1" s="18">
      <c r="B4" s="21" t="inlineStr">
        <is>
          <t>Les États-Unis</t>
        </is>
      </c>
      <c r="H4" s="21" t="inlineStr">
        <is>
          <t>The United States</t>
        </is>
      </c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HYPERLINK("#Content!A40","&lt;&lt;Back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Bien meilleure</t>
        </is>
      </c>
      <c r="C12" s="12" t="n">
        <v>6419</v>
      </c>
      <c r="D12" s="12" t="n">
        <v>315</v>
      </c>
      <c r="E12" s="12" t="n">
        <v>128</v>
      </c>
      <c r="F12" s="12" t="n">
        <v>150</v>
      </c>
      <c r="G12" s="12" t="n">
        <v>437</v>
      </c>
      <c r="H12" s="12" t="n">
        <v>372</v>
      </c>
      <c r="I12" s="12" t="n">
        <v>417</v>
      </c>
      <c r="J12" s="12" t="n">
        <v>45</v>
      </c>
      <c r="K12" s="12" t="n">
        <v>174</v>
      </c>
      <c r="L12" s="12" t="n">
        <v>478</v>
      </c>
      <c r="M12" s="12" t="n">
        <v>116</v>
      </c>
      <c r="N12" s="12" t="n">
        <v>377</v>
      </c>
      <c r="O12" s="12" t="n">
        <v>186</v>
      </c>
      <c r="P12" s="12" t="n">
        <v>224</v>
      </c>
      <c r="Q12" s="12" t="n">
        <v>173</v>
      </c>
      <c r="R12" s="12" t="n">
        <v>77</v>
      </c>
      <c r="S12" s="12" t="n">
        <v>148</v>
      </c>
      <c r="T12" s="12" t="n">
        <v>123</v>
      </c>
      <c r="U12" s="12" t="n">
        <v>208</v>
      </c>
      <c r="V12" s="12" t="n">
        <v>105</v>
      </c>
      <c r="W12" s="12" t="n">
        <v>167</v>
      </c>
      <c r="X12" s="12" t="n">
        <v>483</v>
      </c>
      <c r="Y12" s="12" t="n">
        <v>349</v>
      </c>
      <c r="Z12" s="12" t="n">
        <v>102</v>
      </c>
      <c r="AA12" s="12" t="n">
        <v>192</v>
      </c>
      <c r="AB12" s="12" t="n">
        <v>148</v>
      </c>
      <c r="AC12" s="12" t="n">
        <v>442</v>
      </c>
      <c r="AD12" s="12" t="n">
        <v>142</v>
      </c>
      <c r="AE12" s="12" t="n">
        <v>468</v>
      </c>
      <c r="AF12" s="12" t="n">
        <v>537</v>
      </c>
    </row>
    <row r="13">
      <c r="A13" s="20" t="n"/>
      <c r="B13" s="13" t="inlineStr">
        <is>
          <t>Much better</t>
        </is>
      </c>
      <c r="C13" s="14" t="n">
        <v>0.24</v>
      </c>
      <c r="D13" s="14" t="n">
        <v>0.31</v>
      </c>
      <c r="E13" s="14" t="n">
        <v>0.12</v>
      </c>
      <c r="F13" s="14" t="n">
        <v>0.14</v>
      </c>
      <c r="G13" s="14" t="n">
        <v>0.43</v>
      </c>
      <c r="H13" s="14" t="n">
        <v>0.3</v>
      </c>
      <c r="I13" s="14" t="n">
        <v>0.28</v>
      </c>
      <c r="J13" s="14" t="n">
        <v>0.15</v>
      </c>
      <c r="K13" s="14" t="n">
        <v>0.17</v>
      </c>
      <c r="L13" s="14" t="n">
        <v>0.47</v>
      </c>
      <c r="M13" s="14" t="n">
        <v>0.11</v>
      </c>
      <c r="N13" s="14" t="n">
        <v>0.38</v>
      </c>
      <c r="O13" s="14" t="n">
        <v>0.18</v>
      </c>
      <c r="P13" s="14" t="n">
        <v>0.22</v>
      </c>
      <c r="Q13" s="14" t="n">
        <v>0.17</v>
      </c>
      <c r="R13" s="14" t="n">
        <v>0.15</v>
      </c>
      <c r="S13" s="14" t="n">
        <v>0.15</v>
      </c>
      <c r="T13" s="14" t="n">
        <v>0.12</v>
      </c>
      <c r="U13" s="14" t="n">
        <v>0.41</v>
      </c>
      <c r="V13" s="14" t="n">
        <v>0.1</v>
      </c>
      <c r="W13" s="14" t="n">
        <v>0.33</v>
      </c>
      <c r="X13" s="14" t="n">
        <v>0.47</v>
      </c>
      <c r="Y13" s="14" t="n">
        <v>0.35</v>
      </c>
      <c r="Z13" s="14" t="n">
        <v>0.1</v>
      </c>
      <c r="AA13" s="14" t="n">
        <v>0.19</v>
      </c>
      <c r="AB13" s="14" t="n">
        <v>0.14</v>
      </c>
      <c r="AC13" s="14" t="n">
        <v>0.44</v>
      </c>
      <c r="AD13" s="14" t="n">
        <v>0.14</v>
      </c>
      <c r="AE13" s="14" t="n">
        <v>0.46</v>
      </c>
      <c r="AF13" s="14" t="n">
        <v>0.52</v>
      </c>
    </row>
    <row r="14">
      <c r="A14" s="20" t="n"/>
      <c r="B14" s="11" t="inlineStr">
        <is>
          <t>Plutôt meilleure</t>
        </is>
      </c>
      <c r="C14" s="12" t="n">
        <v>10114</v>
      </c>
      <c r="D14" s="12" t="n">
        <v>445</v>
      </c>
      <c r="E14" s="12" t="n">
        <v>346</v>
      </c>
      <c r="F14" s="12" t="n">
        <v>413</v>
      </c>
      <c r="G14" s="12" t="n">
        <v>483</v>
      </c>
      <c r="H14" s="12" t="n">
        <v>543</v>
      </c>
      <c r="I14" s="12" t="n">
        <v>664</v>
      </c>
      <c r="J14" s="12" t="n">
        <v>122</v>
      </c>
      <c r="K14" s="12" t="n">
        <v>391</v>
      </c>
      <c r="L14" s="12" t="n">
        <v>319</v>
      </c>
      <c r="M14" s="12" t="n">
        <v>365</v>
      </c>
      <c r="N14" s="12" t="n">
        <v>332</v>
      </c>
      <c r="O14" s="12" t="n">
        <v>424</v>
      </c>
      <c r="P14" s="12" t="n">
        <v>391</v>
      </c>
      <c r="Q14" s="12" t="n">
        <v>397</v>
      </c>
      <c r="R14" s="12" t="n">
        <v>203</v>
      </c>
      <c r="S14" s="12" t="n">
        <v>332</v>
      </c>
      <c r="T14" s="12" t="n">
        <v>328</v>
      </c>
      <c r="U14" s="12" t="n">
        <v>187</v>
      </c>
      <c r="V14" s="12" t="n">
        <v>433</v>
      </c>
      <c r="W14" s="12" t="n">
        <v>174</v>
      </c>
      <c r="X14" s="12" t="n">
        <v>355</v>
      </c>
      <c r="Y14" s="12" t="n">
        <v>290</v>
      </c>
      <c r="Z14" s="12" t="n">
        <v>317</v>
      </c>
      <c r="AA14" s="12" t="n">
        <v>340</v>
      </c>
      <c r="AB14" s="12" t="n">
        <v>343</v>
      </c>
      <c r="AC14" s="12" t="n">
        <v>361</v>
      </c>
      <c r="AD14" s="12" t="n">
        <v>381</v>
      </c>
      <c r="AE14" s="12" t="n">
        <v>437</v>
      </c>
      <c r="AF14" s="12" t="n">
        <v>409</v>
      </c>
    </row>
    <row r="15">
      <c r="A15" s="20" t="n"/>
      <c r="B15" s="13" t="inlineStr">
        <is>
          <t>Somewhat better</t>
        </is>
      </c>
      <c r="C15" s="14" t="n">
        <v>0.38</v>
      </c>
      <c r="D15" s="14" t="n">
        <v>0.44</v>
      </c>
      <c r="E15" s="14" t="n">
        <v>0.34</v>
      </c>
      <c r="F15" s="14" t="n">
        <v>0.39</v>
      </c>
      <c r="G15" s="14" t="n">
        <v>0.48</v>
      </c>
      <c r="H15" s="14" t="n">
        <v>0.45</v>
      </c>
      <c r="I15" s="14" t="n">
        <v>0.44</v>
      </c>
      <c r="J15" s="14" t="n">
        <v>0.42</v>
      </c>
      <c r="K15" s="14" t="n">
        <v>0.39</v>
      </c>
      <c r="L15" s="14" t="n">
        <v>0.32</v>
      </c>
      <c r="M15" s="14" t="n">
        <v>0.36</v>
      </c>
      <c r="N15" s="14" t="n">
        <v>0.33</v>
      </c>
      <c r="O15" s="14" t="n">
        <v>0.42</v>
      </c>
      <c r="P15" s="14" t="n">
        <v>0.39</v>
      </c>
      <c r="Q15" s="14" t="n">
        <v>0.38</v>
      </c>
      <c r="R15" s="14" t="n">
        <v>0.4</v>
      </c>
      <c r="S15" s="14" t="n">
        <v>0.33</v>
      </c>
      <c r="T15" s="14" t="n">
        <v>0.32</v>
      </c>
      <c r="U15" s="14" t="n">
        <v>0.37</v>
      </c>
      <c r="V15" s="14" t="n">
        <v>0.42</v>
      </c>
      <c r="W15" s="14" t="n">
        <v>0.35</v>
      </c>
      <c r="X15" s="14" t="n">
        <v>0.35</v>
      </c>
      <c r="Y15" s="14" t="n">
        <v>0.29</v>
      </c>
      <c r="Z15" s="14" t="n">
        <v>0.31</v>
      </c>
      <c r="AA15" s="14" t="n">
        <v>0.33</v>
      </c>
      <c r="AB15" s="14" t="n">
        <v>0.33</v>
      </c>
      <c r="AC15" s="14" t="n">
        <v>0.36</v>
      </c>
      <c r="AD15" s="14" t="n">
        <v>0.38</v>
      </c>
      <c r="AE15" s="14" t="n">
        <v>0.43</v>
      </c>
      <c r="AF15" s="14" t="n">
        <v>0.39</v>
      </c>
    </row>
    <row r="16">
      <c r="A16" s="20" t="n"/>
      <c r="B16" s="11" t="inlineStr">
        <is>
          <t>Plutôt moins bonne</t>
        </is>
      </c>
      <c r="C16" s="12" t="n">
        <v>5136</v>
      </c>
      <c r="D16" s="12" t="n">
        <v>163</v>
      </c>
      <c r="E16" s="12" t="n">
        <v>187</v>
      </c>
      <c r="F16" s="12" t="n">
        <v>284</v>
      </c>
      <c r="G16" s="12" t="n">
        <v>36</v>
      </c>
      <c r="H16" s="12" t="n">
        <v>131</v>
      </c>
      <c r="I16" s="12" t="n">
        <v>206</v>
      </c>
      <c r="J16" s="12" t="n">
        <v>75</v>
      </c>
      <c r="K16" s="12" t="n">
        <v>188</v>
      </c>
      <c r="L16" s="12" t="n">
        <v>86</v>
      </c>
      <c r="M16" s="12" t="n">
        <v>249</v>
      </c>
      <c r="N16" s="12" t="n">
        <v>134</v>
      </c>
      <c r="O16" s="12" t="n">
        <v>202</v>
      </c>
      <c r="P16" s="12" t="n">
        <v>240</v>
      </c>
      <c r="Q16" s="12" t="n">
        <v>264</v>
      </c>
      <c r="R16" s="12" t="n">
        <v>104</v>
      </c>
      <c r="S16" s="12" t="n">
        <v>219</v>
      </c>
      <c r="T16" s="12" t="n">
        <v>292</v>
      </c>
      <c r="U16" s="12" t="n">
        <v>44</v>
      </c>
      <c r="V16" s="12" t="n">
        <v>345</v>
      </c>
      <c r="W16" s="12" t="n">
        <v>72</v>
      </c>
      <c r="X16" s="12" t="n">
        <v>100</v>
      </c>
      <c r="Y16" s="12" t="n">
        <v>138</v>
      </c>
      <c r="Z16" s="12" t="n">
        <v>317</v>
      </c>
      <c r="AA16" s="12" t="n">
        <v>251</v>
      </c>
      <c r="AB16" s="12" t="n">
        <v>326</v>
      </c>
      <c r="AC16" s="12" t="n">
        <v>98</v>
      </c>
      <c r="AD16" s="12" t="n">
        <v>277</v>
      </c>
      <c r="AE16" s="12" t="n">
        <v>55</v>
      </c>
      <c r="AF16" s="12" t="n">
        <v>34</v>
      </c>
    </row>
    <row r="17">
      <c r="A17" s="20" t="n"/>
      <c r="B17" s="13" t="inlineStr">
        <is>
          <t>Somewhat worse</t>
        </is>
      </c>
      <c r="C17" s="14" t="n">
        <v>0.2</v>
      </c>
      <c r="D17" s="14" t="n">
        <v>0.16</v>
      </c>
      <c r="E17" s="14" t="n">
        <v>0.18</v>
      </c>
      <c r="F17" s="14" t="n">
        <v>0.27</v>
      </c>
      <c r="G17" s="14" t="n">
        <v>0.04</v>
      </c>
      <c r="H17" s="14" t="n">
        <v>0.11</v>
      </c>
      <c r="I17" s="14" t="n">
        <v>0.14</v>
      </c>
      <c r="J17" s="14" t="n">
        <v>0.26</v>
      </c>
      <c r="K17" s="14" t="n">
        <v>0.19</v>
      </c>
      <c r="L17" s="14" t="n">
        <v>0.09</v>
      </c>
      <c r="M17" s="14" t="n">
        <v>0.25</v>
      </c>
      <c r="N17" s="14" t="n">
        <v>0.13</v>
      </c>
      <c r="O17" s="14" t="n">
        <v>0.2</v>
      </c>
      <c r="P17" s="14" t="n">
        <v>0.24</v>
      </c>
      <c r="Q17" s="14" t="n">
        <v>0.26</v>
      </c>
      <c r="R17" s="14" t="n">
        <v>0.21</v>
      </c>
      <c r="S17" s="14" t="n">
        <v>0.22</v>
      </c>
      <c r="T17" s="14" t="n">
        <v>0.29</v>
      </c>
      <c r="U17" s="14" t="n">
        <v>0.09</v>
      </c>
      <c r="V17" s="14" t="n">
        <v>0.34</v>
      </c>
      <c r="W17" s="14" t="n">
        <v>0.14</v>
      </c>
      <c r="X17" s="14" t="n">
        <v>0.1</v>
      </c>
      <c r="Y17" s="14" t="n">
        <v>0.14</v>
      </c>
      <c r="Z17" s="14" t="n">
        <v>0.31</v>
      </c>
      <c r="AA17" s="14" t="n">
        <v>0.24</v>
      </c>
      <c r="AB17" s="14" t="n">
        <v>0.31</v>
      </c>
      <c r="AC17" s="14" t="n">
        <v>0.1</v>
      </c>
      <c r="AD17" s="14" t="n">
        <v>0.28</v>
      </c>
      <c r="AE17" s="14" t="n">
        <v>0.05</v>
      </c>
      <c r="AF17" s="14" t="n">
        <v>0.03</v>
      </c>
    </row>
    <row r="18">
      <c r="A18" s="20" t="n"/>
      <c r="B18" s="11" t="inlineStr">
        <is>
          <t>Bien moins bonne</t>
        </is>
      </c>
      <c r="C18" s="12" t="n">
        <v>2090</v>
      </c>
      <c r="D18" s="12" t="n">
        <v>55</v>
      </c>
      <c r="E18" s="12" t="n">
        <v>57</v>
      </c>
      <c r="F18" s="12" t="n">
        <v>98</v>
      </c>
      <c r="G18" s="12" t="n">
        <v>14</v>
      </c>
      <c r="H18" s="12" t="n">
        <v>62</v>
      </c>
      <c r="I18" s="12" t="n">
        <v>82</v>
      </c>
      <c r="J18" s="12" t="n">
        <v>20</v>
      </c>
      <c r="K18" s="12" t="n">
        <v>26</v>
      </c>
      <c r="L18" s="12" t="n">
        <v>54</v>
      </c>
      <c r="M18" s="12" t="n">
        <v>136</v>
      </c>
      <c r="N18" s="12" t="n">
        <v>54</v>
      </c>
      <c r="O18" s="12" t="n">
        <v>83</v>
      </c>
      <c r="P18" s="12" t="n">
        <v>94</v>
      </c>
      <c r="Q18" s="12" t="n">
        <v>132</v>
      </c>
      <c r="R18" s="12" t="n">
        <v>35</v>
      </c>
      <c r="S18" s="12" t="n">
        <v>51</v>
      </c>
      <c r="T18" s="12" t="n">
        <v>63</v>
      </c>
      <c r="U18" s="12" t="n">
        <v>20</v>
      </c>
      <c r="V18" s="12" t="n">
        <v>38</v>
      </c>
      <c r="W18" s="12" t="n">
        <v>32</v>
      </c>
      <c r="X18" s="12" t="n">
        <v>41</v>
      </c>
      <c r="Y18" s="12" t="n">
        <v>145</v>
      </c>
      <c r="Z18" s="12" t="n">
        <v>131</v>
      </c>
      <c r="AA18" s="12" t="n">
        <v>102</v>
      </c>
      <c r="AB18" s="12" t="n">
        <v>93</v>
      </c>
      <c r="AC18" s="12" t="n">
        <v>36</v>
      </c>
      <c r="AD18" s="12" t="n">
        <v>69</v>
      </c>
      <c r="AE18" s="12" t="n">
        <v>9</v>
      </c>
      <c r="AF18" s="12" t="n">
        <v>20</v>
      </c>
    </row>
    <row r="19">
      <c r="A19" s="20" t="n"/>
      <c r="B19" s="13" t="inlineStr">
        <is>
          <t>Definitely worse</t>
        </is>
      </c>
      <c r="C19" s="14" t="n">
        <v>0.08</v>
      </c>
      <c r="D19" s="14" t="n">
        <v>0.05</v>
      </c>
      <c r="E19" s="14" t="n">
        <v>0.06</v>
      </c>
      <c r="F19" s="14" t="n">
        <v>0.1</v>
      </c>
      <c r="G19" s="14" t="n">
        <v>0.01</v>
      </c>
      <c r="H19" s="14" t="n">
        <v>0.05</v>
      </c>
      <c r="I19" s="14" t="n">
        <v>0.05</v>
      </c>
      <c r="J19" s="14" t="n">
        <v>0.07000000000000001</v>
      </c>
      <c r="K19" s="14" t="n">
        <v>0.03</v>
      </c>
      <c r="L19" s="14" t="n">
        <v>0.05</v>
      </c>
      <c r="M19" s="14" t="n">
        <v>0.14</v>
      </c>
      <c r="N19" s="14" t="n">
        <v>0.05</v>
      </c>
      <c r="O19" s="14" t="n">
        <v>0.08</v>
      </c>
      <c r="P19" s="14" t="n">
        <v>0.09</v>
      </c>
      <c r="Q19" s="14" t="n">
        <v>0.13</v>
      </c>
      <c r="R19" s="14" t="n">
        <v>0.07000000000000001</v>
      </c>
      <c r="S19" s="14" t="n">
        <v>0.05</v>
      </c>
      <c r="T19" s="14" t="n">
        <v>0.06</v>
      </c>
      <c r="U19" s="14" t="n">
        <v>0.04</v>
      </c>
      <c r="V19" s="14" t="n">
        <v>0.04</v>
      </c>
      <c r="W19" s="14" t="n">
        <v>0.06</v>
      </c>
      <c r="X19" s="14" t="n">
        <v>0.04</v>
      </c>
      <c r="Y19" s="14" t="n">
        <v>0.14</v>
      </c>
      <c r="Z19" s="14" t="n">
        <v>0.13</v>
      </c>
      <c r="AA19" s="14" t="n">
        <v>0.1</v>
      </c>
      <c r="AB19" s="14" t="n">
        <v>0.09</v>
      </c>
      <c r="AC19" s="14" t="n">
        <v>0.03</v>
      </c>
      <c r="AD19" s="14" t="n">
        <v>0.07000000000000001</v>
      </c>
      <c r="AE19" s="14" t="n">
        <v>0.01</v>
      </c>
      <c r="AF19" s="14" t="n">
        <v>0.02</v>
      </c>
    </row>
    <row r="20">
      <c r="A20" s="20" t="n"/>
      <c r="B20" s="11" t="inlineStr">
        <is>
          <t>Identique (SPONTANÉ)</t>
        </is>
      </c>
      <c r="C20" s="12" t="n">
        <v>798</v>
      </c>
      <c r="D20" s="12" t="n">
        <v>19</v>
      </c>
      <c r="E20" s="12" t="n">
        <v>78</v>
      </c>
      <c r="F20" s="12" t="n">
        <v>31</v>
      </c>
      <c r="G20" s="12" t="n">
        <v>19</v>
      </c>
      <c r="H20" s="12" t="n">
        <v>34</v>
      </c>
      <c r="I20" s="12" t="n">
        <v>44</v>
      </c>
      <c r="J20" s="12" t="n">
        <v>10</v>
      </c>
      <c r="K20" s="12" t="n">
        <v>75</v>
      </c>
      <c r="L20" s="12" t="n">
        <v>38</v>
      </c>
      <c r="M20" s="12" t="n">
        <v>37</v>
      </c>
      <c r="N20" s="12" t="n">
        <v>27</v>
      </c>
      <c r="O20" s="12" t="n">
        <v>34</v>
      </c>
      <c r="P20" s="12" t="n">
        <v>9</v>
      </c>
      <c r="Q20" s="12" t="n">
        <v>14</v>
      </c>
      <c r="R20" s="12" t="n">
        <v>16</v>
      </c>
      <c r="S20" s="12" t="n">
        <v>48</v>
      </c>
      <c r="T20" s="12" t="n">
        <v>60</v>
      </c>
      <c r="U20" s="12" t="n">
        <v>6</v>
      </c>
      <c r="V20" s="12" t="n">
        <v>58</v>
      </c>
      <c r="W20" s="12" t="n">
        <v>14</v>
      </c>
      <c r="X20" s="12" t="n">
        <v>19</v>
      </c>
      <c r="Y20" s="12" t="n">
        <v>38</v>
      </c>
      <c r="Z20" s="12" t="n">
        <v>54</v>
      </c>
      <c r="AA20" s="12" t="n">
        <v>32</v>
      </c>
      <c r="AB20" s="12" t="n">
        <v>31</v>
      </c>
      <c r="AC20" s="12" t="n">
        <v>16</v>
      </c>
      <c r="AD20" s="12" t="n">
        <v>64</v>
      </c>
      <c r="AE20" s="12" t="n">
        <v>7</v>
      </c>
      <c r="AF20" s="12" t="n">
        <v>11</v>
      </c>
    </row>
    <row r="21">
      <c r="A21" s="20" t="n"/>
      <c r="B21" s="13" t="inlineStr">
        <is>
          <t>The same (SPONTANEOUS)</t>
        </is>
      </c>
      <c r="C21" s="14" t="n">
        <v>0.03</v>
      </c>
      <c r="D21" s="14" t="n">
        <v>0.02</v>
      </c>
      <c r="E21" s="14" t="n">
        <v>0.08</v>
      </c>
      <c r="F21" s="14" t="n">
        <v>0.03</v>
      </c>
      <c r="G21" s="14" t="n">
        <v>0.02</v>
      </c>
      <c r="H21" s="14" t="n">
        <v>0.03</v>
      </c>
      <c r="I21" s="14" t="n">
        <v>0.03</v>
      </c>
      <c r="J21" s="14" t="n">
        <v>0.03</v>
      </c>
      <c r="K21" s="14" t="n">
        <v>0.07000000000000001</v>
      </c>
      <c r="L21" s="14" t="n">
        <v>0.04</v>
      </c>
      <c r="M21" s="14" t="n">
        <v>0.04</v>
      </c>
      <c r="N21" s="14" t="n">
        <v>0.03</v>
      </c>
      <c r="O21" s="14" t="n">
        <v>0.03</v>
      </c>
      <c r="P21" s="14" t="n">
        <v>0.01</v>
      </c>
      <c r="Q21" s="14" t="n">
        <v>0.01</v>
      </c>
      <c r="R21" s="14" t="n">
        <v>0.03</v>
      </c>
      <c r="S21" s="14" t="n">
        <v>0.05</v>
      </c>
      <c r="T21" s="14" t="n">
        <v>0.06</v>
      </c>
      <c r="U21" s="14" t="n">
        <v>0.01</v>
      </c>
      <c r="V21" s="14" t="n">
        <v>0.06</v>
      </c>
      <c r="W21" s="14" t="n">
        <v>0.03</v>
      </c>
      <c r="X21" s="14" t="n">
        <v>0.02</v>
      </c>
      <c r="Y21" s="14" t="n">
        <v>0.04</v>
      </c>
      <c r="Z21" s="14" t="n">
        <v>0.05</v>
      </c>
      <c r="AA21" s="14" t="n">
        <v>0.03</v>
      </c>
      <c r="AB21" s="14" t="n">
        <v>0.03</v>
      </c>
      <c r="AC21" s="14" t="n">
        <v>0.02</v>
      </c>
      <c r="AD21" s="14" t="n">
        <v>0.06</v>
      </c>
      <c r="AE21" s="14" t="n">
        <v>0.01</v>
      </c>
      <c r="AF21" s="14" t="n">
        <v>0.01</v>
      </c>
    </row>
    <row r="22">
      <c r="A22" s="20" t="n"/>
      <c r="B22" s="11" t="inlineStr">
        <is>
          <t>Ne sait pas</t>
        </is>
      </c>
      <c r="C22" s="12" t="n">
        <v>1864</v>
      </c>
      <c r="D22" s="12" t="n">
        <v>23</v>
      </c>
      <c r="E22" s="12" t="n">
        <v>219</v>
      </c>
      <c r="F22" s="12" t="n">
        <v>72</v>
      </c>
      <c r="G22" s="12" t="n">
        <v>19</v>
      </c>
      <c r="H22" s="12" t="n">
        <v>72</v>
      </c>
      <c r="I22" s="12" t="n">
        <v>93</v>
      </c>
      <c r="J22" s="12" t="n">
        <v>22</v>
      </c>
      <c r="K22" s="12" t="n">
        <v>151</v>
      </c>
      <c r="L22" s="12" t="n">
        <v>35</v>
      </c>
      <c r="M22" s="12" t="n">
        <v>105</v>
      </c>
      <c r="N22" s="12" t="n">
        <v>82</v>
      </c>
      <c r="O22" s="12" t="n">
        <v>86</v>
      </c>
      <c r="P22" s="12" t="n">
        <v>48</v>
      </c>
      <c r="Q22" s="12" t="n">
        <v>49</v>
      </c>
      <c r="R22" s="12" t="n">
        <v>68</v>
      </c>
      <c r="S22" s="12" t="n">
        <v>208</v>
      </c>
      <c r="T22" s="12" t="n">
        <v>152</v>
      </c>
      <c r="U22" s="12" t="n">
        <v>42</v>
      </c>
      <c r="V22" s="12" t="n">
        <v>40</v>
      </c>
      <c r="W22" s="12" t="n">
        <v>46</v>
      </c>
      <c r="X22" s="12" t="n">
        <v>25</v>
      </c>
      <c r="Y22" s="12" t="n">
        <v>44</v>
      </c>
      <c r="Z22" s="12" t="n">
        <v>98</v>
      </c>
      <c r="AA22" s="12" t="n">
        <v>114</v>
      </c>
      <c r="AB22" s="12" t="n">
        <v>104</v>
      </c>
      <c r="AC22" s="12" t="n">
        <v>54</v>
      </c>
      <c r="AD22" s="12" t="n">
        <v>68</v>
      </c>
      <c r="AE22" s="12" t="n">
        <v>39</v>
      </c>
      <c r="AF22" s="12" t="n">
        <v>26</v>
      </c>
    </row>
    <row r="23">
      <c r="A23" s="23" t="n"/>
      <c r="B23" s="13" t="inlineStr">
        <is>
          <t>Don't know</t>
        </is>
      </c>
      <c r="C23" s="14" t="n">
        <v>0.07000000000000001</v>
      </c>
      <c r="D23" s="14" t="n">
        <v>0.02</v>
      </c>
      <c r="E23" s="14" t="n">
        <v>0.22</v>
      </c>
      <c r="F23" s="14" t="n">
        <v>0.07000000000000001</v>
      </c>
      <c r="G23" s="14" t="n">
        <v>0.02</v>
      </c>
      <c r="H23" s="14" t="n">
        <v>0.06</v>
      </c>
      <c r="I23" s="14" t="n">
        <v>0.06</v>
      </c>
      <c r="J23" s="14" t="n">
        <v>0.07000000000000001</v>
      </c>
      <c r="K23" s="14" t="n">
        <v>0.15</v>
      </c>
      <c r="L23" s="14" t="n">
        <v>0.03</v>
      </c>
      <c r="M23" s="14" t="n">
        <v>0.1</v>
      </c>
      <c r="N23" s="14" t="n">
        <v>0.08</v>
      </c>
      <c r="O23" s="14" t="n">
        <v>0.09</v>
      </c>
      <c r="P23" s="14" t="n">
        <v>0.05</v>
      </c>
      <c r="Q23" s="14" t="n">
        <v>0.05</v>
      </c>
      <c r="R23" s="14" t="n">
        <v>0.14</v>
      </c>
      <c r="S23" s="14" t="n">
        <v>0.2</v>
      </c>
      <c r="T23" s="14" t="n">
        <v>0.15</v>
      </c>
      <c r="U23" s="14" t="n">
        <v>0.08</v>
      </c>
      <c r="V23" s="14" t="n">
        <v>0.04</v>
      </c>
      <c r="W23" s="14" t="n">
        <v>0.09</v>
      </c>
      <c r="X23" s="14" t="n">
        <v>0.02</v>
      </c>
      <c r="Y23" s="14" t="n">
        <v>0.04</v>
      </c>
      <c r="Z23" s="14" t="n">
        <v>0.1</v>
      </c>
      <c r="AA23" s="14" t="n">
        <v>0.11</v>
      </c>
      <c r="AB23" s="14" t="n">
        <v>0.1</v>
      </c>
      <c r="AC23" s="14" t="n">
        <v>0.05</v>
      </c>
      <c r="AD23" s="14" t="n">
        <v>0.07000000000000001</v>
      </c>
      <c r="AE23" s="14" t="n">
        <v>0.04</v>
      </c>
      <c r="AF23" s="14" t="n">
        <v>0.03</v>
      </c>
    </row>
    <row r="24">
      <c r="A24" s="19" t="n"/>
      <c r="B24" s="11" t="inlineStr">
        <is>
          <t>Total 'Meilleure'</t>
        </is>
      </c>
      <c r="C24" s="12" t="n">
        <v>16533</v>
      </c>
      <c r="D24" s="12" t="n">
        <v>760</v>
      </c>
      <c r="E24" s="12" t="n">
        <v>474</v>
      </c>
      <c r="F24" s="12" t="n">
        <v>563</v>
      </c>
      <c r="G24" s="12" t="n">
        <v>920</v>
      </c>
      <c r="H24" s="12" t="n">
        <v>915</v>
      </c>
      <c r="I24" s="12" t="n">
        <v>1081</v>
      </c>
      <c r="J24" s="12" t="n">
        <v>167</v>
      </c>
      <c r="K24" s="12" t="n">
        <v>565</v>
      </c>
      <c r="L24" s="12" t="n">
        <v>797</v>
      </c>
      <c r="M24" s="12" t="n">
        <v>481</v>
      </c>
      <c r="N24" s="12" t="n">
        <v>709</v>
      </c>
      <c r="O24" s="12" t="n">
        <v>610</v>
      </c>
      <c r="P24" s="12" t="n">
        <v>615</v>
      </c>
      <c r="Q24" s="12" t="n">
        <v>570</v>
      </c>
      <c r="R24" s="12" t="n">
        <v>280</v>
      </c>
      <c r="S24" s="12" t="n">
        <v>480</v>
      </c>
      <c r="T24" s="12" t="n">
        <v>451</v>
      </c>
      <c r="U24" s="12" t="n">
        <v>395</v>
      </c>
      <c r="V24" s="12" t="n">
        <v>538</v>
      </c>
      <c r="W24" s="12" t="n">
        <v>341</v>
      </c>
      <c r="X24" s="12" t="n">
        <v>838</v>
      </c>
      <c r="Y24" s="12" t="n">
        <v>639</v>
      </c>
      <c r="Z24" s="12" t="n">
        <v>419</v>
      </c>
      <c r="AA24" s="12" t="n">
        <v>532</v>
      </c>
      <c r="AB24" s="12" t="n">
        <v>491</v>
      </c>
      <c r="AC24" s="12" t="n">
        <v>803</v>
      </c>
      <c r="AD24" s="12" t="n">
        <v>523</v>
      </c>
      <c r="AE24" s="12" t="n">
        <v>905</v>
      </c>
      <c r="AF24" s="12" t="n">
        <v>946</v>
      </c>
    </row>
    <row r="25">
      <c r="A25" s="20" t="n"/>
      <c r="B25" s="13" t="inlineStr">
        <is>
          <t>Total 'Better'</t>
        </is>
      </c>
      <c r="C25" s="14" t="n">
        <v>0.62</v>
      </c>
      <c r="D25" s="14" t="n">
        <v>0.75</v>
      </c>
      <c r="E25" s="14" t="n">
        <v>0.46</v>
      </c>
      <c r="F25" s="14" t="n">
        <v>0.53</v>
      </c>
      <c r="G25" s="14" t="n">
        <v>0.91</v>
      </c>
      <c r="H25" s="14" t="n">
        <v>0.75</v>
      </c>
      <c r="I25" s="14" t="n">
        <v>0.72</v>
      </c>
      <c r="J25" s="14" t="n">
        <v>0.5700000000000001</v>
      </c>
      <c r="K25" s="14" t="n">
        <v>0.5600000000000001</v>
      </c>
      <c r="L25" s="14" t="n">
        <v>0.79</v>
      </c>
      <c r="M25" s="14" t="n">
        <v>0.47</v>
      </c>
      <c r="N25" s="14" t="n">
        <v>0.71</v>
      </c>
      <c r="O25" s="14" t="n">
        <v>0.6</v>
      </c>
      <c r="P25" s="14" t="n">
        <v>0.61</v>
      </c>
      <c r="Q25" s="14" t="n">
        <v>0.55</v>
      </c>
      <c r="R25" s="14" t="n">
        <v>0.55</v>
      </c>
      <c r="S25" s="14" t="n">
        <v>0.48</v>
      </c>
      <c r="T25" s="14" t="n">
        <v>0.44</v>
      </c>
      <c r="U25" s="14" t="n">
        <v>0.78</v>
      </c>
      <c r="V25" s="14" t="n">
        <v>0.52</v>
      </c>
      <c r="W25" s="14" t="n">
        <v>0.68</v>
      </c>
      <c r="X25" s="14" t="n">
        <v>0.8200000000000001</v>
      </c>
      <c r="Y25" s="14" t="n">
        <v>0.64</v>
      </c>
      <c r="Z25" s="14" t="n">
        <v>0.41</v>
      </c>
      <c r="AA25" s="14" t="n">
        <v>0.52</v>
      </c>
      <c r="AB25" s="14" t="n">
        <v>0.47</v>
      </c>
      <c r="AC25" s="14" t="n">
        <v>0.8</v>
      </c>
      <c r="AD25" s="14" t="n">
        <v>0.52</v>
      </c>
      <c r="AE25" s="14" t="n">
        <v>0.89</v>
      </c>
      <c r="AF25" s="14" t="n">
        <v>0.91</v>
      </c>
    </row>
    <row r="26">
      <c r="A26" s="20" t="n"/>
      <c r="B26" s="11" t="inlineStr">
        <is>
          <t>Total 'Moins bonne'</t>
        </is>
      </c>
      <c r="C26" s="12" t="n">
        <v>7226</v>
      </c>
      <c r="D26" s="12" t="n">
        <v>218</v>
      </c>
      <c r="E26" s="12" t="n">
        <v>244</v>
      </c>
      <c r="F26" s="12" t="n">
        <v>382</v>
      </c>
      <c r="G26" s="12" t="n">
        <v>50</v>
      </c>
      <c r="H26" s="12" t="n">
        <v>193</v>
      </c>
      <c r="I26" s="12" t="n">
        <v>288</v>
      </c>
      <c r="J26" s="12" t="n">
        <v>95</v>
      </c>
      <c r="K26" s="12" t="n">
        <v>214</v>
      </c>
      <c r="L26" s="12" t="n">
        <v>140</v>
      </c>
      <c r="M26" s="12" t="n">
        <v>385</v>
      </c>
      <c r="N26" s="12" t="n">
        <v>188</v>
      </c>
      <c r="O26" s="12" t="n">
        <v>285</v>
      </c>
      <c r="P26" s="12" t="n">
        <v>334</v>
      </c>
      <c r="Q26" s="12" t="n">
        <v>396</v>
      </c>
      <c r="R26" s="12" t="n">
        <v>139</v>
      </c>
      <c r="S26" s="12" t="n">
        <v>270</v>
      </c>
      <c r="T26" s="12" t="n">
        <v>355</v>
      </c>
      <c r="U26" s="12" t="n">
        <v>64</v>
      </c>
      <c r="V26" s="12" t="n">
        <v>383</v>
      </c>
      <c r="W26" s="12" t="n">
        <v>104</v>
      </c>
      <c r="X26" s="12" t="n">
        <v>141</v>
      </c>
      <c r="Y26" s="12" t="n">
        <v>283</v>
      </c>
      <c r="Z26" s="12" t="n">
        <v>448</v>
      </c>
      <c r="AA26" s="12" t="n">
        <v>353</v>
      </c>
      <c r="AB26" s="12" t="n">
        <v>419</v>
      </c>
      <c r="AC26" s="12" t="n">
        <v>134</v>
      </c>
      <c r="AD26" s="12" t="n">
        <v>346</v>
      </c>
      <c r="AE26" s="12" t="n">
        <v>64</v>
      </c>
      <c r="AF26" s="12" t="n">
        <v>54</v>
      </c>
    </row>
    <row r="27">
      <c r="A27" s="23" t="n"/>
      <c r="B27" s="13" t="inlineStr">
        <is>
          <t>Total 'Worse'</t>
        </is>
      </c>
      <c r="C27" s="14" t="n">
        <v>0.28</v>
      </c>
      <c r="D27" s="14" t="n">
        <v>0.21</v>
      </c>
      <c r="E27" s="14" t="n">
        <v>0.24</v>
      </c>
      <c r="F27" s="14" t="n">
        <v>0.37</v>
      </c>
      <c r="G27" s="14" t="n">
        <v>0.05</v>
      </c>
      <c r="H27" s="14" t="n">
        <v>0.16</v>
      </c>
      <c r="I27" s="14" t="n">
        <v>0.19</v>
      </c>
      <c r="J27" s="14" t="n">
        <v>0.33</v>
      </c>
      <c r="K27" s="14" t="n">
        <v>0.22</v>
      </c>
      <c r="L27" s="14" t="n">
        <v>0.14</v>
      </c>
      <c r="M27" s="14" t="n">
        <v>0.39</v>
      </c>
      <c r="N27" s="14" t="n">
        <v>0.18</v>
      </c>
      <c r="O27" s="14" t="n">
        <v>0.28</v>
      </c>
      <c r="P27" s="14" t="n">
        <v>0.33</v>
      </c>
      <c r="Q27" s="14" t="n">
        <v>0.39</v>
      </c>
      <c r="R27" s="14" t="n">
        <v>0.28</v>
      </c>
      <c r="S27" s="14" t="n">
        <v>0.27</v>
      </c>
      <c r="T27" s="14" t="n">
        <v>0.35</v>
      </c>
      <c r="U27" s="14" t="n">
        <v>0.13</v>
      </c>
      <c r="V27" s="14" t="n">
        <v>0.38</v>
      </c>
      <c r="W27" s="14" t="n">
        <v>0.2</v>
      </c>
      <c r="X27" s="14" t="n">
        <v>0.14</v>
      </c>
      <c r="Y27" s="14" t="n">
        <v>0.28</v>
      </c>
      <c r="Z27" s="14" t="n">
        <v>0.44</v>
      </c>
      <c r="AA27" s="14" t="n">
        <v>0.34</v>
      </c>
      <c r="AB27" s="14" t="n">
        <v>0.4</v>
      </c>
      <c r="AC27" s="14" t="n">
        <v>0.13</v>
      </c>
      <c r="AD27" s="14" t="n">
        <v>0.35</v>
      </c>
      <c r="AE27" s="14" t="n">
        <v>0.06</v>
      </c>
      <c r="AF27" s="14" t="n">
        <v>0.05</v>
      </c>
    </row>
  </sheetData>
  <mergeCells count="10">
    <mergeCell ref="B4:F4"/>
    <mergeCell ref="H3:L3"/>
    <mergeCell ref="C8:AF8"/>
    <mergeCell ref="B3:F3"/>
    <mergeCell ref="B5:F5"/>
    <mergeCell ref="H5:L5"/>
    <mergeCell ref="B10:B11"/>
    <mergeCell ref="A24:A27"/>
    <mergeCell ref="H4:L4"/>
    <mergeCell ref="A10:A2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24" customHeight="1" s="18">
      <c r="B3" s="21" t="inlineStr">
        <is>
          <t>QA15.2. De manière générale, diriez-vous que la qualité de vie dans l’UE est actuellement meilleure ou moins bonne que dans chacun de ces pays ?</t>
        </is>
      </c>
      <c r="H3" s="21" t="inlineStr">
        <is>
          <t>QA15.2. In general, would you say that the quality of life in the EU is currently better or worse than in each of these countries?</t>
        </is>
      </c>
    </row>
    <row r="4" ht="27" customHeight="1" s="18">
      <c r="B4" s="21" t="inlineStr">
        <is>
          <t>La Chine</t>
        </is>
      </c>
      <c r="H4" s="21" t="inlineStr">
        <is>
          <t>China</t>
        </is>
      </c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HYPERLINK("#Content!A41","&lt;&lt;Back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Bien meilleure</t>
        </is>
      </c>
      <c r="C12" s="12" t="n">
        <v>8085</v>
      </c>
      <c r="D12" s="12" t="n">
        <v>318</v>
      </c>
      <c r="E12" s="12" t="n">
        <v>158</v>
      </c>
      <c r="F12" s="12" t="n">
        <v>195</v>
      </c>
      <c r="G12" s="12" t="n">
        <v>385</v>
      </c>
      <c r="H12" s="12" t="n">
        <v>502</v>
      </c>
      <c r="I12" s="12" t="n">
        <v>563</v>
      </c>
      <c r="J12" s="12" t="n">
        <v>61</v>
      </c>
      <c r="K12" s="12" t="n">
        <v>260</v>
      </c>
      <c r="L12" s="12" t="n">
        <v>441</v>
      </c>
      <c r="M12" s="12" t="n">
        <v>167</v>
      </c>
      <c r="N12" s="12" t="n">
        <v>374</v>
      </c>
      <c r="O12" s="12" t="n">
        <v>275</v>
      </c>
      <c r="P12" s="12" t="n">
        <v>269</v>
      </c>
      <c r="Q12" s="12" t="n">
        <v>233</v>
      </c>
      <c r="R12" s="12" t="n">
        <v>100</v>
      </c>
      <c r="S12" s="12" t="n">
        <v>211</v>
      </c>
      <c r="T12" s="12" t="n">
        <v>309</v>
      </c>
      <c r="U12" s="12" t="n">
        <v>194</v>
      </c>
      <c r="V12" s="12" t="n">
        <v>155</v>
      </c>
      <c r="W12" s="12" t="n">
        <v>162</v>
      </c>
      <c r="X12" s="12" t="n">
        <v>477</v>
      </c>
      <c r="Y12" s="12" t="n">
        <v>462</v>
      </c>
      <c r="Z12" s="12" t="n">
        <v>223</v>
      </c>
      <c r="AA12" s="12" t="n">
        <v>333</v>
      </c>
      <c r="AB12" s="12" t="n">
        <v>141</v>
      </c>
      <c r="AC12" s="12" t="n">
        <v>420</v>
      </c>
      <c r="AD12" s="12" t="n">
        <v>268</v>
      </c>
      <c r="AE12" s="12" t="n">
        <v>600</v>
      </c>
      <c r="AF12" s="12" t="n">
        <v>629</v>
      </c>
    </row>
    <row r="13">
      <c r="A13" s="20" t="n"/>
      <c r="B13" s="13" t="inlineStr">
        <is>
          <t>Much better</t>
        </is>
      </c>
      <c r="C13" s="14" t="n">
        <v>0.31</v>
      </c>
      <c r="D13" s="14" t="n">
        <v>0.31</v>
      </c>
      <c r="E13" s="14" t="n">
        <v>0.16</v>
      </c>
      <c r="F13" s="14" t="n">
        <v>0.19</v>
      </c>
      <c r="G13" s="14" t="n">
        <v>0.38</v>
      </c>
      <c r="H13" s="14" t="n">
        <v>0.41</v>
      </c>
      <c r="I13" s="14" t="n">
        <v>0.37</v>
      </c>
      <c r="J13" s="14" t="n">
        <v>0.21</v>
      </c>
      <c r="K13" s="14" t="n">
        <v>0.26</v>
      </c>
      <c r="L13" s="14" t="n">
        <v>0.44</v>
      </c>
      <c r="M13" s="14" t="n">
        <v>0.17</v>
      </c>
      <c r="N13" s="14" t="n">
        <v>0.37</v>
      </c>
      <c r="O13" s="14" t="n">
        <v>0.27</v>
      </c>
      <c r="P13" s="14" t="n">
        <v>0.27</v>
      </c>
      <c r="Q13" s="14" t="n">
        <v>0.23</v>
      </c>
      <c r="R13" s="14" t="n">
        <v>0.2</v>
      </c>
      <c r="S13" s="14" t="n">
        <v>0.21</v>
      </c>
      <c r="T13" s="14" t="n">
        <v>0.3</v>
      </c>
      <c r="U13" s="14" t="n">
        <v>0.38</v>
      </c>
      <c r="V13" s="14" t="n">
        <v>0.15</v>
      </c>
      <c r="W13" s="14" t="n">
        <v>0.32</v>
      </c>
      <c r="X13" s="14" t="n">
        <v>0.47</v>
      </c>
      <c r="Y13" s="14" t="n">
        <v>0.46</v>
      </c>
      <c r="Z13" s="14" t="n">
        <v>0.22</v>
      </c>
      <c r="AA13" s="14" t="n">
        <v>0.32</v>
      </c>
      <c r="AB13" s="14" t="n">
        <v>0.13</v>
      </c>
      <c r="AC13" s="14" t="n">
        <v>0.42</v>
      </c>
      <c r="AD13" s="14" t="n">
        <v>0.27</v>
      </c>
      <c r="AE13" s="14" t="n">
        <v>0.59</v>
      </c>
      <c r="AF13" s="14" t="n">
        <v>0.61</v>
      </c>
    </row>
    <row r="14">
      <c r="A14" s="20" t="n"/>
      <c r="B14" s="11" t="inlineStr">
        <is>
          <t>Plutôt meilleure</t>
        </is>
      </c>
      <c r="C14" s="12" t="n">
        <v>9600</v>
      </c>
      <c r="D14" s="12" t="n">
        <v>429</v>
      </c>
      <c r="E14" s="12" t="n">
        <v>325</v>
      </c>
      <c r="F14" s="12" t="n">
        <v>394</v>
      </c>
      <c r="G14" s="12" t="n">
        <v>482</v>
      </c>
      <c r="H14" s="12" t="n">
        <v>424</v>
      </c>
      <c r="I14" s="12" t="n">
        <v>541</v>
      </c>
      <c r="J14" s="12" t="n">
        <v>117</v>
      </c>
      <c r="K14" s="12" t="n">
        <v>375</v>
      </c>
      <c r="L14" s="12" t="n">
        <v>353</v>
      </c>
      <c r="M14" s="12" t="n">
        <v>385</v>
      </c>
      <c r="N14" s="12" t="n">
        <v>344</v>
      </c>
      <c r="O14" s="12" t="n">
        <v>431</v>
      </c>
      <c r="P14" s="12" t="n">
        <v>393</v>
      </c>
      <c r="Q14" s="12" t="n">
        <v>391</v>
      </c>
      <c r="R14" s="12" t="n">
        <v>162</v>
      </c>
      <c r="S14" s="12" t="n">
        <v>282</v>
      </c>
      <c r="T14" s="12" t="n">
        <v>323</v>
      </c>
      <c r="U14" s="12" t="n">
        <v>173</v>
      </c>
      <c r="V14" s="12" t="n">
        <v>447</v>
      </c>
      <c r="W14" s="12" t="n">
        <v>154</v>
      </c>
      <c r="X14" s="12" t="n">
        <v>360</v>
      </c>
      <c r="Y14" s="12" t="n">
        <v>167</v>
      </c>
      <c r="Z14" s="12" t="n">
        <v>305</v>
      </c>
      <c r="AA14" s="12" t="n">
        <v>410</v>
      </c>
      <c r="AB14" s="12" t="n">
        <v>366</v>
      </c>
      <c r="AC14" s="12" t="n">
        <v>345</v>
      </c>
      <c r="AD14" s="12" t="n">
        <v>320</v>
      </c>
      <c r="AE14" s="12" t="n">
        <v>335</v>
      </c>
      <c r="AF14" s="12" t="n">
        <v>304</v>
      </c>
    </row>
    <row r="15">
      <c r="A15" s="20" t="n"/>
      <c r="B15" s="13" t="inlineStr">
        <is>
          <t>Somewhat better</t>
        </is>
      </c>
      <c r="C15" s="14" t="n">
        <v>0.36</v>
      </c>
      <c r="D15" s="14" t="n">
        <v>0.42</v>
      </c>
      <c r="E15" s="14" t="n">
        <v>0.32</v>
      </c>
      <c r="F15" s="14" t="n">
        <v>0.38</v>
      </c>
      <c r="G15" s="14" t="n">
        <v>0.48</v>
      </c>
      <c r="H15" s="14" t="n">
        <v>0.35</v>
      </c>
      <c r="I15" s="14" t="n">
        <v>0.36</v>
      </c>
      <c r="J15" s="14" t="n">
        <v>0.4</v>
      </c>
      <c r="K15" s="14" t="n">
        <v>0.37</v>
      </c>
      <c r="L15" s="14" t="n">
        <v>0.35</v>
      </c>
      <c r="M15" s="14" t="n">
        <v>0.38</v>
      </c>
      <c r="N15" s="14" t="n">
        <v>0.34</v>
      </c>
      <c r="O15" s="14" t="n">
        <v>0.42</v>
      </c>
      <c r="P15" s="14" t="n">
        <v>0.39</v>
      </c>
      <c r="Q15" s="14" t="n">
        <v>0.38</v>
      </c>
      <c r="R15" s="14" t="n">
        <v>0.32</v>
      </c>
      <c r="S15" s="14" t="n">
        <v>0.28</v>
      </c>
      <c r="T15" s="14" t="n">
        <v>0.32</v>
      </c>
      <c r="U15" s="14" t="n">
        <v>0.34</v>
      </c>
      <c r="V15" s="14" t="n">
        <v>0.44</v>
      </c>
      <c r="W15" s="14" t="n">
        <v>0.3</v>
      </c>
      <c r="X15" s="14" t="n">
        <v>0.35</v>
      </c>
      <c r="Y15" s="14" t="n">
        <v>0.17</v>
      </c>
      <c r="Z15" s="14" t="n">
        <v>0.3</v>
      </c>
      <c r="AA15" s="14" t="n">
        <v>0.4</v>
      </c>
      <c r="AB15" s="14" t="n">
        <v>0.35</v>
      </c>
      <c r="AC15" s="14" t="n">
        <v>0.34</v>
      </c>
      <c r="AD15" s="14" t="n">
        <v>0.32</v>
      </c>
      <c r="AE15" s="14" t="n">
        <v>0.33</v>
      </c>
      <c r="AF15" s="14" t="n">
        <v>0.29</v>
      </c>
    </row>
    <row r="16">
      <c r="A16" s="20" t="n"/>
      <c r="B16" s="11" t="inlineStr">
        <is>
          <t>Plutôt moins bonne</t>
        </is>
      </c>
      <c r="C16" s="12" t="n">
        <v>4271</v>
      </c>
      <c r="D16" s="12" t="n">
        <v>170</v>
      </c>
      <c r="E16" s="12" t="n">
        <v>171</v>
      </c>
      <c r="F16" s="12" t="n">
        <v>257</v>
      </c>
      <c r="G16" s="12" t="n">
        <v>57</v>
      </c>
      <c r="H16" s="12" t="n">
        <v>127</v>
      </c>
      <c r="I16" s="12" t="n">
        <v>192</v>
      </c>
      <c r="J16" s="12" t="n">
        <v>65</v>
      </c>
      <c r="K16" s="12" t="n">
        <v>143</v>
      </c>
      <c r="L16" s="12" t="n">
        <v>90</v>
      </c>
      <c r="M16" s="12" t="n">
        <v>221</v>
      </c>
      <c r="N16" s="12" t="n">
        <v>137</v>
      </c>
      <c r="O16" s="12" t="n">
        <v>140</v>
      </c>
      <c r="P16" s="12" t="n">
        <v>207</v>
      </c>
      <c r="Q16" s="12" t="n">
        <v>235</v>
      </c>
      <c r="R16" s="12" t="n">
        <v>91</v>
      </c>
      <c r="S16" s="12" t="n">
        <v>186</v>
      </c>
      <c r="T16" s="12" t="n">
        <v>157</v>
      </c>
      <c r="U16" s="12" t="n">
        <v>56</v>
      </c>
      <c r="V16" s="12" t="n">
        <v>259</v>
      </c>
      <c r="W16" s="12" t="n">
        <v>86</v>
      </c>
      <c r="X16" s="12" t="n">
        <v>87</v>
      </c>
      <c r="Y16" s="12" t="n">
        <v>163</v>
      </c>
      <c r="Z16" s="12" t="n">
        <v>215</v>
      </c>
      <c r="AA16" s="12" t="n">
        <v>114</v>
      </c>
      <c r="AB16" s="12" t="n">
        <v>281</v>
      </c>
      <c r="AC16" s="12" t="n">
        <v>100</v>
      </c>
      <c r="AD16" s="12" t="n">
        <v>194</v>
      </c>
      <c r="AE16" s="12" t="n">
        <v>34</v>
      </c>
      <c r="AF16" s="12" t="n">
        <v>46</v>
      </c>
    </row>
    <row r="17">
      <c r="A17" s="20" t="n"/>
      <c r="B17" s="13" t="inlineStr">
        <is>
          <t>Somewhat worse</t>
        </is>
      </c>
      <c r="C17" s="14" t="n">
        <v>0.16</v>
      </c>
      <c r="D17" s="14" t="n">
        <v>0.17</v>
      </c>
      <c r="E17" s="14" t="n">
        <v>0.17</v>
      </c>
      <c r="F17" s="14" t="n">
        <v>0.25</v>
      </c>
      <c r="G17" s="14" t="n">
        <v>0.06</v>
      </c>
      <c r="H17" s="14" t="n">
        <v>0.11</v>
      </c>
      <c r="I17" s="14" t="n">
        <v>0.13</v>
      </c>
      <c r="J17" s="14" t="n">
        <v>0.22</v>
      </c>
      <c r="K17" s="14" t="n">
        <v>0.14</v>
      </c>
      <c r="L17" s="14" t="n">
        <v>0.09</v>
      </c>
      <c r="M17" s="14" t="n">
        <v>0.22</v>
      </c>
      <c r="N17" s="14" t="n">
        <v>0.13</v>
      </c>
      <c r="O17" s="14" t="n">
        <v>0.14</v>
      </c>
      <c r="P17" s="14" t="n">
        <v>0.2</v>
      </c>
      <c r="Q17" s="14" t="n">
        <v>0.23</v>
      </c>
      <c r="R17" s="14" t="n">
        <v>0.18</v>
      </c>
      <c r="S17" s="14" t="n">
        <v>0.18</v>
      </c>
      <c r="T17" s="14" t="n">
        <v>0.15</v>
      </c>
      <c r="U17" s="14" t="n">
        <v>0.11</v>
      </c>
      <c r="V17" s="14" t="n">
        <v>0.26</v>
      </c>
      <c r="W17" s="14" t="n">
        <v>0.17</v>
      </c>
      <c r="X17" s="14" t="n">
        <v>0.09</v>
      </c>
      <c r="Y17" s="14" t="n">
        <v>0.16</v>
      </c>
      <c r="Z17" s="14" t="n">
        <v>0.21</v>
      </c>
      <c r="AA17" s="14" t="n">
        <v>0.11</v>
      </c>
      <c r="AB17" s="14" t="n">
        <v>0.27</v>
      </c>
      <c r="AC17" s="14" t="n">
        <v>0.1</v>
      </c>
      <c r="AD17" s="14" t="n">
        <v>0.19</v>
      </c>
      <c r="AE17" s="14" t="n">
        <v>0.03</v>
      </c>
      <c r="AF17" s="14" t="n">
        <v>0.04</v>
      </c>
    </row>
    <row r="18">
      <c r="A18" s="20" t="n"/>
      <c r="B18" s="11" t="inlineStr">
        <is>
          <t>Bien moins bonne</t>
        </is>
      </c>
      <c r="C18" s="12" t="n">
        <v>1798</v>
      </c>
      <c r="D18" s="12" t="n">
        <v>40</v>
      </c>
      <c r="E18" s="12" t="n">
        <v>56</v>
      </c>
      <c r="F18" s="12" t="n">
        <v>79</v>
      </c>
      <c r="G18" s="12" t="n">
        <v>8</v>
      </c>
      <c r="H18" s="12" t="n">
        <v>63</v>
      </c>
      <c r="I18" s="12" t="n">
        <v>83</v>
      </c>
      <c r="J18" s="12" t="n">
        <v>20</v>
      </c>
      <c r="K18" s="12" t="n">
        <v>40</v>
      </c>
      <c r="L18" s="12" t="n">
        <v>43</v>
      </c>
      <c r="M18" s="12" t="n">
        <v>95</v>
      </c>
      <c r="N18" s="12" t="n">
        <v>37</v>
      </c>
      <c r="O18" s="12" t="n">
        <v>42</v>
      </c>
      <c r="P18" s="12" t="n">
        <v>89</v>
      </c>
      <c r="Q18" s="12" t="n">
        <v>107</v>
      </c>
      <c r="R18" s="12" t="n">
        <v>31</v>
      </c>
      <c r="S18" s="12" t="n">
        <v>38</v>
      </c>
      <c r="T18" s="12" t="n">
        <v>27</v>
      </c>
      <c r="U18" s="12" t="n">
        <v>9</v>
      </c>
      <c r="V18" s="12" t="n">
        <v>75</v>
      </c>
      <c r="W18" s="12" t="n">
        <v>24</v>
      </c>
      <c r="X18" s="12" t="n">
        <v>46</v>
      </c>
      <c r="Y18" s="12" t="n">
        <v>155</v>
      </c>
      <c r="Z18" s="12" t="n">
        <v>169</v>
      </c>
      <c r="AA18" s="12" t="n">
        <v>23</v>
      </c>
      <c r="AB18" s="12" t="n">
        <v>99</v>
      </c>
      <c r="AC18" s="12" t="n">
        <v>35</v>
      </c>
      <c r="AD18" s="12" t="n">
        <v>60</v>
      </c>
      <c r="AE18" s="12" t="n">
        <v>7</v>
      </c>
      <c r="AF18" s="12" t="n">
        <v>10</v>
      </c>
    </row>
    <row r="19">
      <c r="A19" s="20" t="n"/>
      <c r="B19" s="13" t="inlineStr">
        <is>
          <t>Definitely worse</t>
        </is>
      </c>
      <c r="C19" s="14" t="n">
        <v>0.07000000000000001</v>
      </c>
      <c r="D19" s="14" t="n">
        <v>0.04</v>
      </c>
      <c r="E19" s="14" t="n">
        <v>0.05</v>
      </c>
      <c r="F19" s="14" t="n">
        <v>0.07000000000000001</v>
      </c>
      <c r="G19" s="14" t="n">
        <v>0.01</v>
      </c>
      <c r="H19" s="14" t="n">
        <v>0.05</v>
      </c>
      <c r="I19" s="14" t="n">
        <v>0.06</v>
      </c>
      <c r="J19" s="14" t="n">
        <v>0.07000000000000001</v>
      </c>
      <c r="K19" s="14" t="n">
        <v>0.04</v>
      </c>
      <c r="L19" s="14" t="n">
        <v>0.04</v>
      </c>
      <c r="M19" s="14" t="n">
        <v>0.09</v>
      </c>
      <c r="N19" s="14" t="n">
        <v>0.04</v>
      </c>
      <c r="O19" s="14" t="n">
        <v>0.04</v>
      </c>
      <c r="P19" s="14" t="n">
        <v>0.09</v>
      </c>
      <c r="Q19" s="14" t="n">
        <v>0.1</v>
      </c>
      <c r="R19" s="14" t="n">
        <v>0.06</v>
      </c>
      <c r="S19" s="14" t="n">
        <v>0.04</v>
      </c>
      <c r="T19" s="14" t="n">
        <v>0.03</v>
      </c>
      <c r="U19" s="14" t="n">
        <v>0.02</v>
      </c>
      <c r="V19" s="14" t="n">
        <v>0.07000000000000001</v>
      </c>
      <c r="W19" s="14" t="n">
        <v>0.05</v>
      </c>
      <c r="X19" s="14" t="n">
        <v>0.04</v>
      </c>
      <c r="Y19" s="14" t="n">
        <v>0.15</v>
      </c>
      <c r="Z19" s="14" t="n">
        <v>0.17</v>
      </c>
      <c r="AA19" s="14" t="n">
        <v>0.02</v>
      </c>
      <c r="AB19" s="14" t="n">
        <v>0.09</v>
      </c>
      <c r="AC19" s="14" t="n">
        <v>0.04</v>
      </c>
      <c r="AD19" s="14" t="n">
        <v>0.06</v>
      </c>
      <c r="AE19" s="14" t="n">
        <v>0.01</v>
      </c>
      <c r="AF19" s="14" t="n">
        <v>0.01</v>
      </c>
    </row>
    <row r="20">
      <c r="A20" s="20" t="n"/>
      <c r="B20" s="11" t="inlineStr">
        <is>
          <t>Identique (SPONTANÉ)</t>
        </is>
      </c>
      <c r="C20" s="12" t="n">
        <v>373</v>
      </c>
      <c r="D20" s="12" t="n">
        <v>10</v>
      </c>
      <c r="E20" s="12" t="n">
        <v>38</v>
      </c>
      <c r="F20" s="12" t="n">
        <v>15</v>
      </c>
      <c r="G20" s="12" t="n">
        <v>21</v>
      </c>
      <c r="H20" s="12" t="n">
        <v>10</v>
      </c>
      <c r="I20" s="12" t="n">
        <v>18</v>
      </c>
      <c r="J20" s="12" t="n">
        <v>7</v>
      </c>
      <c r="K20" s="12" t="n">
        <v>18</v>
      </c>
      <c r="L20" s="12" t="n">
        <v>15</v>
      </c>
      <c r="M20" s="12" t="n">
        <v>12</v>
      </c>
      <c r="N20" s="12" t="n">
        <v>17</v>
      </c>
      <c r="O20" s="12" t="n">
        <v>15</v>
      </c>
      <c r="P20" s="12" t="n">
        <v>7</v>
      </c>
      <c r="Q20" s="12" t="n">
        <v>6</v>
      </c>
      <c r="R20" s="12" t="n">
        <v>10</v>
      </c>
      <c r="S20" s="12" t="n">
        <v>19</v>
      </c>
      <c r="T20" s="12" t="n">
        <v>18</v>
      </c>
      <c r="U20" s="12" t="n">
        <v>4</v>
      </c>
      <c r="V20" s="12" t="n">
        <v>40</v>
      </c>
      <c r="W20" s="12" t="n">
        <v>11</v>
      </c>
      <c r="X20" s="12" t="n">
        <v>12</v>
      </c>
      <c r="Y20" s="12" t="n">
        <v>12</v>
      </c>
      <c r="Z20" s="12" t="n">
        <v>14</v>
      </c>
      <c r="AA20" s="12" t="n">
        <v>23</v>
      </c>
      <c r="AB20" s="12" t="n">
        <v>17</v>
      </c>
      <c r="AC20" s="12" t="n">
        <v>20</v>
      </c>
      <c r="AD20" s="12" t="n">
        <v>61</v>
      </c>
      <c r="AE20" s="12" t="n">
        <v>1</v>
      </c>
      <c r="AF20" s="12" t="n">
        <v>6</v>
      </c>
    </row>
    <row r="21">
      <c r="A21" s="20" t="n"/>
      <c r="B21" s="13" t="inlineStr">
        <is>
          <t>The same (SPONTANEOUS)</t>
        </is>
      </c>
      <c r="C21" s="14" t="n">
        <v>0.01</v>
      </c>
      <c r="D21" s="14" t="n">
        <v>0.01</v>
      </c>
      <c r="E21" s="14" t="n">
        <v>0.04</v>
      </c>
      <c r="F21" s="14" t="n">
        <v>0.01</v>
      </c>
      <c r="G21" s="14" t="n">
        <v>0.02</v>
      </c>
      <c r="H21" s="14" t="n">
        <v>0.01</v>
      </c>
      <c r="I21" s="14" t="n">
        <v>0.01</v>
      </c>
      <c r="J21" s="14" t="n">
        <v>0.02</v>
      </c>
      <c r="K21" s="14" t="n">
        <v>0.02</v>
      </c>
      <c r="L21" s="14" t="n">
        <v>0.01</v>
      </c>
      <c r="M21" s="14" t="n">
        <v>0.01</v>
      </c>
      <c r="N21" s="14" t="n">
        <v>0.02</v>
      </c>
      <c r="O21" s="14" t="n">
        <v>0.02</v>
      </c>
      <c r="P21" s="14" t="n">
        <v>0.01</v>
      </c>
      <c r="Q21" s="14" t="n">
        <v>0.01</v>
      </c>
      <c r="R21" s="14" t="n">
        <v>0.02</v>
      </c>
      <c r="S21" s="14" t="n">
        <v>0.02</v>
      </c>
      <c r="T21" s="14" t="n">
        <v>0.02</v>
      </c>
      <c r="U21" s="14" t="n">
        <v>0.01</v>
      </c>
      <c r="V21" s="14" t="n">
        <v>0.04</v>
      </c>
      <c r="W21" s="14" t="n">
        <v>0.02</v>
      </c>
      <c r="X21" s="14" t="n">
        <v>0.01</v>
      </c>
      <c r="Y21" s="14" t="n">
        <v>0.01</v>
      </c>
      <c r="Z21" s="14" t="n">
        <v>0.01</v>
      </c>
      <c r="AA21" s="14" t="n">
        <v>0.02</v>
      </c>
      <c r="AB21" s="14" t="n">
        <v>0.02</v>
      </c>
      <c r="AC21" s="14" t="n">
        <v>0.02</v>
      </c>
      <c r="AD21" s="14" t="n">
        <v>0.06</v>
      </c>
      <c r="AE21" s="15" t="inlineStr">
        <is>
          <t>-</t>
        </is>
      </c>
      <c r="AF21" s="14" t="n">
        <v>0.01</v>
      </c>
    </row>
    <row r="22">
      <c r="A22" s="20" t="n"/>
      <c r="B22" s="11" t="inlineStr">
        <is>
          <t>Ne sait pas</t>
        </is>
      </c>
      <c r="C22" s="12" t="n">
        <v>2295</v>
      </c>
      <c r="D22" s="12" t="n">
        <v>54</v>
      </c>
      <c r="E22" s="12" t="n">
        <v>267</v>
      </c>
      <c r="F22" s="12" t="n">
        <v>108</v>
      </c>
      <c r="G22" s="12" t="n">
        <v>54</v>
      </c>
      <c r="H22" s="12" t="n">
        <v>88</v>
      </c>
      <c r="I22" s="12" t="n">
        <v>110</v>
      </c>
      <c r="J22" s="12" t="n">
        <v>22</v>
      </c>
      <c r="K22" s="12" t="n">
        <v>170</v>
      </c>
      <c r="L22" s="12" t="n">
        <v>67</v>
      </c>
      <c r="M22" s="12" t="n">
        <v>126</v>
      </c>
      <c r="N22" s="12" t="n">
        <v>98</v>
      </c>
      <c r="O22" s="12" t="n">
        <v>113</v>
      </c>
      <c r="P22" s="12" t="n">
        <v>41</v>
      </c>
      <c r="Q22" s="12" t="n">
        <v>57</v>
      </c>
      <c r="R22" s="12" t="n">
        <v>109</v>
      </c>
      <c r="S22" s="12" t="n">
        <v>269</v>
      </c>
      <c r="T22" s="12" t="n">
        <v>182</v>
      </c>
      <c r="U22" s="12" t="n">
        <v>73</v>
      </c>
      <c r="V22" s="12" t="n">
        <v>43</v>
      </c>
      <c r="W22" s="12" t="n">
        <v>68</v>
      </c>
      <c r="X22" s="12" t="n">
        <v>42</v>
      </c>
      <c r="Y22" s="12" t="n">
        <v>45</v>
      </c>
      <c r="Z22" s="12" t="n">
        <v>94</v>
      </c>
      <c r="AA22" s="12" t="n">
        <v>128</v>
      </c>
      <c r="AB22" s="12" t="n">
        <v>142</v>
      </c>
      <c r="AC22" s="12" t="n">
        <v>86</v>
      </c>
      <c r="AD22" s="12" t="n">
        <v>98</v>
      </c>
      <c r="AE22" s="12" t="n">
        <v>40</v>
      </c>
      <c r="AF22" s="12" t="n">
        <v>42</v>
      </c>
    </row>
    <row r="23">
      <c r="A23" s="23" t="n"/>
      <c r="B23" s="13" t="inlineStr">
        <is>
          <t>Don't know</t>
        </is>
      </c>
      <c r="C23" s="14" t="n">
        <v>0.09</v>
      </c>
      <c r="D23" s="14" t="n">
        <v>0.05</v>
      </c>
      <c r="E23" s="14" t="n">
        <v>0.26</v>
      </c>
      <c r="F23" s="14" t="n">
        <v>0.1</v>
      </c>
      <c r="G23" s="14" t="n">
        <v>0.05</v>
      </c>
      <c r="H23" s="14" t="n">
        <v>0.07000000000000001</v>
      </c>
      <c r="I23" s="14" t="n">
        <v>0.07000000000000001</v>
      </c>
      <c r="J23" s="14" t="n">
        <v>0.08</v>
      </c>
      <c r="K23" s="14" t="n">
        <v>0.17</v>
      </c>
      <c r="L23" s="14" t="n">
        <v>0.07000000000000001</v>
      </c>
      <c r="M23" s="14" t="n">
        <v>0.13</v>
      </c>
      <c r="N23" s="14" t="n">
        <v>0.1</v>
      </c>
      <c r="O23" s="14" t="n">
        <v>0.11</v>
      </c>
      <c r="P23" s="14" t="n">
        <v>0.04</v>
      </c>
      <c r="Q23" s="14" t="n">
        <v>0.05</v>
      </c>
      <c r="R23" s="14" t="n">
        <v>0.22</v>
      </c>
      <c r="S23" s="14" t="n">
        <v>0.27</v>
      </c>
      <c r="T23" s="14" t="n">
        <v>0.18</v>
      </c>
      <c r="U23" s="14" t="n">
        <v>0.14</v>
      </c>
      <c r="V23" s="14" t="n">
        <v>0.04</v>
      </c>
      <c r="W23" s="14" t="n">
        <v>0.14</v>
      </c>
      <c r="X23" s="14" t="n">
        <v>0.04</v>
      </c>
      <c r="Y23" s="14" t="n">
        <v>0.05</v>
      </c>
      <c r="Z23" s="14" t="n">
        <v>0.09</v>
      </c>
      <c r="AA23" s="14" t="n">
        <v>0.13</v>
      </c>
      <c r="AB23" s="14" t="n">
        <v>0.14</v>
      </c>
      <c r="AC23" s="14" t="n">
        <v>0.08</v>
      </c>
      <c r="AD23" s="14" t="n">
        <v>0.1</v>
      </c>
      <c r="AE23" s="14" t="n">
        <v>0.04</v>
      </c>
      <c r="AF23" s="14" t="n">
        <v>0.04</v>
      </c>
    </row>
    <row r="24">
      <c r="A24" s="19" t="n"/>
      <c r="B24" s="11" t="inlineStr">
        <is>
          <t>Total 'Meilleure'</t>
        </is>
      </c>
      <c r="C24" s="12" t="n">
        <v>17685</v>
      </c>
      <c r="D24" s="12" t="n">
        <v>747</v>
      </c>
      <c r="E24" s="12" t="n">
        <v>483</v>
      </c>
      <c r="F24" s="12" t="n">
        <v>589</v>
      </c>
      <c r="G24" s="12" t="n">
        <v>867</v>
      </c>
      <c r="H24" s="12" t="n">
        <v>926</v>
      </c>
      <c r="I24" s="12" t="n">
        <v>1104</v>
      </c>
      <c r="J24" s="12" t="n">
        <v>178</v>
      </c>
      <c r="K24" s="12" t="n">
        <v>635</v>
      </c>
      <c r="L24" s="12" t="n">
        <v>794</v>
      </c>
      <c r="M24" s="12" t="n">
        <v>552</v>
      </c>
      <c r="N24" s="12" t="n">
        <v>718</v>
      </c>
      <c r="O24" s="12" t="n">
        <v>706</v>
      </c>
      <c r="P24" s="12" t="n">
        <v>662</v>
      </c>
      <c r="Q24" s="12" t="n">
        <v>624</v>
      </c>
      <c r="R24" s="12" t="n">
        <v>262</v>
      </c>
      <c r="S24" s="12" t="n">
        <v>493</v>
      </c>
      <c r="T24" s="12" t="n">
        <v>632</v>
      </c>
      <c r="U24" s="12" t="n">
        <v>367</v>
      </c>
      <c r="V24" s="12" t="n">
        <v>602</v>
      </c>
      <c r="W24" s="12" t="n">
        <v>316</v>
      </c>
      <c r="X24" s="12" t="n">
        <v>837</v>
      </c>
      <c r="Y24" s="12" t="n">
        <v>629</v>
      </c>
      <c r="Z24" s="12" t="n">
        <v>528</v>
      </c>
      <c r="AA24" s="12" t="n">
        <v>743</v>
      </c>
      <c r="AB24" s="12" t="n">
        <v>507</v>
      </c>
      <c r="AC24" s="12" t="n">
        <v>765</v>
      </c>
      <c r="AD24" s="12" t="n">
        <v>588</v>
      </c>
      <c r="AE24" s="12" t="n">
        <v>935</v>
      </c>
      <c r="AF24" s="12" t="n">
        <v>933</v>
      </c>
    </row>
    <row r="25">
      <c r="A25" s="20" t="n"/>
      <c r="B25" s="13" t="inlineStr">
        <is>
          <t>Total 'Better'</t>
        </is>
      </c>
      <c r="C25" s="14" t="n">
        <v>0.67</v>
      </c>
      <c r="D25" s="14" t="n">
        <v>0.73</v>
      </c>
      <c r="E25" s="14" t="n">
        <v>0.48</v>
      </c>
      <c r="F25" s="14" t="n">
        <v>0.5700000000000001</v>
      </c>
      <c r="G25" s="14" t="n">
        <v>0.86</v>
      </c>
      <c r="H25" s="14" t="n">
        <v>0.76</v>
      </c>
      <c r="I25" s="14" t="n">
        <v>0.73</v>
      </c>
      <c r="J25" s="14" t="n">
        <v>0.61</v>
      </c>
      <c r="K25" s="14" t="n">
        <v>0.63</v>
      </c>
      <c r="L25" s="14" t="n">
        <v>0.79</v>
      </c>
      <c r="M25" s="14" t="n">
        <v>0.55</v>
      </c>
      <c r="N25" s="14" t="n">
        <v>0.71</v>
      </c>
      <c r="O25" s="14" t="n">
        <v>0.6900000000000001</v>
      </c>
      <c r="P25" s="14" t="n">
        <v>0.66</v>
      </c>
      <c r="Q25" s="14" t="n">
        <v>0.61</v>
      </c>
      <c r="R25" s="14" t="n">
        <v>0.52</v>
      </c>
      <c r="S25" s="14" t="n">
        <v>0.49</v>
      </c>
      <c r="T25" s="14" t="n">
        <v>0.62</v>
      </c>
      <c r="U25" s="14" t="n">
        <v>0.72</v>
      </c>
      <c r="V25" s="14" t="n">
        <v>0.59</v>
      </c>
      <c r="W25" s="14" t="n">
        <v>0.62</v>
      </c>
      <c r="X25" s="14" t="n">
        <v>0.8200000000000001</v>
      </c>
      <c r="Y25" s="14" t="n">
        <v>0.63</v>
      </c>
      <c r="Z25" s="14" t="n">
        <v>0.52</v>
      </c>
      <c r="AA25" s="14" t="n">
        <v>0.72</v>
      </c>
      <c r="AB25" s="14" t="n">
        <v>0.48</v>
      </c>
      <c r="AC25" s="14" t="n">
        <v>0.76</v>
      </c>
      <c r="AD25" s="14" t="n">
        <v>0.59</v>
      </c>
      <c r="AE25" s="14" t="n">
        <v>0.92</v>
      </c>
      <c r="AF25" s="14" t="n">
        <v>0.9</v>
      </c>
    </row>
    <row r="26">
      <c r="A26" s="20" t="n"/>
      <c r="B26" s="11" t="inlineStr">
        <is>
          <t>Total 'Moins bonne'</t>
        </is>
      </c>
      <c r="C26" s="12" t="n">
        <v>6069</v>
      </c>
      <c r="D26" s="12" t="n">
        <v>210</v>
      </c>
      <c r="E26" s="12" t="n">
        <v>227</v>
      </c>
      <c r="F26" s="12" t="n">
        <v>336</v>
      </c>
      <c r="G26" s="12" t="n">
        <v>65</v>
      </c>
      <c r="H26" s="12" t="n">
        <v>190</v>
      </c>
      <c r="I26" s="12" t="n">
        <v>275</v>
      </c>
      <c r="J26" s="12" t="n">
        <v>85</v>
      </c>
      <c r="K26" s="12" t="n">
        <v>183</v>
      </c>
      <c r="L26" s="12" t="n">
        <v>133</v>
      </c>
      <c r="M26" s="12" t="n">
        <v>316</v>
      </c>
      <c r="N26" s="12" t="n">
        <v>174</v>
      </c>
      <c r="O26" s="12" t="n">
        <v>182</v>
      </c>
      <c r="P26" s="12" t="n">
        <v>296</v>
      </c>
      <c r="Q26" s="12" t="n">
        <v>342</v>
      </c>
      <c r="R26" s="12" t="n">
        <v>122</v>
      </c>
      <c r="S26" s="12" t="n">
        <v>224</v>
      </c>
      <c r="T26" s="12" t="n">
        <v>184</v>
      </c>
      <c r="U26" s="12" t="n">
        <v>65</v>
      </c>
      <c r="V26" s="12" t="n">
        <v>334</v>
      </c>
      <c r="W26" s="12" t="n">
        <v>110</v>
      </c>
      <c r="X26" s="12" t="n">
        <v>133</v>
      </c>
      <c r="Y26" s="12" t="n">
        <v>318</v>
      </c>
      <c r="Z26" s="12" t="n">
        <v>384</v>
      </c>
      <c r="AA26" s="12" t="n">
        <v>137</v>
      </c>
      <c r="AB26" s="12" t="n">
        <v>380</v>
      </c>
      <c r="AC26" s="12" t="n">
        <v>135</v>
      </c>
      <c r="AD26" s="12" t="n">
        <v>254</v>
      </c>
      <c r="AE26" s="12" t="n">
        <v>41</v>
      </c>
      <c r="AF26" s="12" t="n">
        <v>56</v>
      </c>
    </row>
    <row r="27">
      <c r="A27" s="23" t="n"/>
      <c r="B27" s="13" t="inlineStr">
        <is>
          <t>Total 'Worse'</t>
        </is>
      </c>
      <c r="C27" s="14" t="n">
        <v>0.23</v>
      </c>
      <c r="D27" s="14" t="n">
        <v>0.21</v>
      </c>
      <c r="E27" s="14" t="n">
        <v>0.22</v>
      </c>
      <c r="F27" s="14" t="n">
        <v>0.32</v>
      </c>
      <c r="G27" s="14" t="n">
        <v>0.07000000000000001</v>
      </c>
      <c r="H27" s="14" t="n">
        <v>0.16</v>
      </c>
      <c r="I27" s="14" t="n">
        <v>0.19</v>
      </c>
      <c r="J27" s="14" t="n">
        <v>0.29</v>
      </c>
      <c r="K27" s="14" t="n">
        <v>0.18</v>
      </c>
      <c r="L27" s="14" t="n">
        <v>0.13</v>
      </c>
      <c r="M27" s="14" t="n">
        <v>0.31</v>
      </c>
      <c r="N27" s="14" t="n">
        <v>0.17</v>
      </c>
      <c r="O27" s="14" t="n">
        <v>0.18</v>
      </c>
      <c r="P27" s="14" t="n">
        <v>0.29</v>
      </c>
      <c r="Q27" s="14" t="n">
        <v>0.33</v>
      </c>
      <c r="R27" s="14" t="n">
        <v>0.24</v>
      </c>
      <c r="S27" s="14" t="n">
        <v>0.22</v>
      </c>
      <c r="T27" s="14" t="n">
        <v>0.18</v>
      </c>
      <c r="U27" s="14" t="n">
        <v>0.13</v>
      </c>
      <c r="V27" s="14" t="n">
        <v>0.33</v>
      </c>
      <c r="W27" s="14" t="n">
        <v>0.22</v>
      </c>
      <c r="X27" s="14" t="n">
        <v>0.13</v>
      </c>
      <c r="Y27" s="14" t="n">
        <v>0.31</v>
      </c>
      <c r="Z27" s="14" t="n">
        <v>0.38</v>
      </c>
      <c r="AA27" s="14" t="n">
        <v>0.13</v>
      </c>
      <c r="AB27" s="14" t="n">
        <v>0.36</v>
      </c>
      <c r="AC27" s="14" t="n">
        <v>0.14</v>
      </c>
      <c r="AD27" s="14" t="n">
        <v>0.25</v>
      </c>
      <c r="AE27" s="14" t="n">
        <v>0.04</v>
      </c>
      <c r="AF27" s="14" t="n">
        <v>0.05</v>
      </c>
    </row>
  </sheetData>
  <mergeCells count="10">
    <mergeCell ref="B4:F4"/>
    <mergeCell ref="H3:L3"/>
    <mergeCell ref="C8:AF8"/>
    <mergeCell ref="B3:F3"/>
    <mergeCell ref="B5:F5"/>
    <mergeCell ref="H5:L5"/>
    <mergeCell ref="B10:B11"/>
    <mergeCell ref="A24:A27"/>
    <mergeCell ref="H4:L4"/>
    <mergeCell ref="A10:A2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F19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24" customHeight="1" s="18">
      <c r="B3" s="21" t="inlineStr">
        <is>
          <t>QA16. Quelle affirmation est la plus proche de votre opinion ? Au cours des 12 derniers mois, votre qualité de vie (en termes de confort ou de budget)...</t>
        </is>
      </c>
      <c r="H3" s="21" t="inlineStr">
        <is>
          <t>QA16. Which statement comes closest to your view? Within the last 12 months your quality of life (comfort or budget-wise) has…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HYPERLINK("#Content!A43","&lt;&lt;Back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S'est améliorée</t>
        </is>
      </c>
      <c r="C12" s="12" t="n">
        <v>2888</v>
      </c>
      <c r="D12" s="12" t="n">
        <v>104</v>
      </c>
      <c r="E12" s="12" t="n">
        <v>62</v>
      </c>
      <c r="F12" s="12" t="n">
        <v>82</v>
      </c>
      <c r="G12" s="12" t="n">
        <v>268</v>
      </c>
      <c r="H12" s="12" t="n">
        <v>116</v>
      </c>
      <c r="I12" s="12" t="n">
        <v>141</v>
      </c>
      <c r="J12" s="12" t="n">
        <v>25</v>
      </c>
      <c r="K12" s="12" t="n">
        <v>111</v>
      </c>
      <c r="L12" s="12" t="n">
        <v>121</v>
      </c>
      <c r="M12" s="12" t="n">
        <v>64</v>
      </c>
      <c r="N12" s="12" t="n">
        <v>149</v>
      </c>
      <c r="O12" s="12" t="n">
        <v>93</v>
      </c>
      <c r="P12" s="12" t="n">
        <v>154</v>
      </c>
      <c r="Q12" s="12" t="n">
        <v>61</v>
      </c>
      <c r="R12" s="12" t="n">
        <v>62</v>
      </c>
      <c r="S12" s="12" t="n">
        <v>199</v>
      </c>
      <c r="T12" s="12" t="n">
        <v>129</v>
      </c>
      <c r="U12" s="12" t="n">
        <v>82</v>
      </c>
      <c r="V12" s="12" t="n">
        <v>56</v>
      </c>
      <c r="W12" s="12" t="n">
        <v>156</v>
      </c>
      <c r="X12" s="12" t="n">
        <v>189</v>
      </c>
      <c r="Y12" s="12" t="n">
        <v>107</v>
      </c>
      <c r="Z12" s="12" t="n">
        <v>143</v>
      </c>
      <c r="AA12" s="12" t="n">
        <v>69</v>
      </c>
      <c r="AB12" s="12" t="n">
        <v>118</v>
      </c>
      <c r="AC12" s="12" t="n">
        <v>110</v>
      </c>
      <c r="AD12" s="12" t="n">
        <v>54</v>
      </c>
      <c r="AE12" s="12" t="n">
        <v>190</v>
      </c>
      <c r="AF12" s="12" t="n">
        <v>276</v>
      </c>
    </row>
    <row r="13">
      <c r="A13" s="20" t="n"/>
      <c r="B13" s="13" t="inlineStr">
        <is>
          <t>Improved</t>
        </is>
      </c>
      <c r="C13" s="14" t="n">
        <v>0.11</v>
      </c>
      <c r="D13" s="14" t="n">
        <v>0.1</v>
      </c>
      <c r="E13" s="14" t="n">
        <v>0.06</v>
      </c>
      <c r="F13" s="14" t="n">
        <v>0.08</v>
      </c>
      <c r="G13" s="14" t="n">
        <v>0.27</v>
      </c>
      <c r="H13" s="14" t="n">
        <v>0.1</v>
      </c>
      <c r="I13" s="14" t="n">
        <v>0.1</v>
      </c>
      <c r="J13" s="14" t="n">
        <v>0.09</v>
      </c>
      <c r="K13" s="14" t="n">
        <v>0.11</v>
      </c>
      <c r="L13" s="14" t="n">
        <v>0.12</v>
      </c>
      <c r="M13" s="14" t="n">
        <v>0.06</v>
      </c>
      <c r="N13" s="14" t="n">
        <v>0.15</v>
      </c>
      <c r="O13" s="14" t="n">
        <v>0.09</v>
      </c>
      <c r="P13" s="14" t="n">
        <v>0.15</v>
      </c>
      <c r="Q13" s="14" t="n">
        <v>0.06</v>
      </c>
      <c r="R13" s="14" t="n">
        <v>0.12</v>
      </c>
      <c r="S13" s="14" t="n">
        <v>0.2</v>
      </c>
      <c r="T13" s="14" t="n">
        <v>0.13</v>
      </c>
      <c r="U13" s="14" t="n">
        <v>0.16</v>
      </c>
      <c r="V13" s="14" t="n">
        <v>0.05</v>
      </c>
      <c r="W13" s="14" t="n">
        <v>0.31</v>
      </c>
      <c r="X13" s="14" t="n">
        <v>0.18</v>
      </c>
      <c r="Y13" s="14" t="n">
        <v>0.11</v>
      </c>
      <c r="Z13" s="14" t="n">
        <v>0.14</v>
      </c>
      <c r="AA13" s="14" t="n">
        <v>0.07000000000000001</v>
      </c>
      <c r="AB13" s="14" t="n">
        <v>0.11</v>
      </c>
      <c r="AC13" s="14" t="n">
        <v>0.11</v>
      </c>
      <c r="AD13" s="14" t="n">
        <v>0.05</v>
      </c>
      <c r="AE13" s="14" t="n">
        <v>0.19</v>
      </c>
      <c r="AF13" s="14" t="n">
        <v>0.27</v>
      </c>
    </row>
    <row r="14">
      <c r="A14" s="20" t="n"/>
      <c r="B14" s="11" t="inlineStr">
        <is>
          <t>Est restée la même</t>
        </is>
      </c>
      <c r="C14" s="12" t="n">
        <v>16311</v>
      </c>
      <c r="D14" s="12" t="n">
        <v>633</v>
      </c>
      <c r="E14" s="12" t="n">
        <v>550</v>
      </c>
      <c r="F14" s="12" t="n">
        <v>714</v>
      </c>
      <c r="G14" s="12" t="n">
        <v>604</v>
      </c>
      <c r="H14" s="12" t="n">
        <v>694</v>
      </c>
      <c r="I14" s="12" t="n">
        <v>847</v>
      </c>
      <c r="J14" s="12" t="n">
        <v>153</v>
      </c>
      <c r="K14" s="12" t="n">
        <v>622</v>
      </c>
      <c r="L14" s="12" t="n">
        <v>559</v>
      </c>
      <c r="M14" s="12" t="n">
        <v>509</v>
      </c>
      <c r="N14" s="12" t="n">
        <v>650</v>
      </c>
      <c r="O14" s="12" t="n">
        <v>527</v>
      </c>
      <c r="P14" s="12" t="n">
        <v>629</v>
      </c>
      <c r="Q14" s="12" t="n">
        <v>763</v>
      </c>
      <c r="R14" s="12" t="n">
        <v>268</v>
      </c>
      <c r="S14" s="12" t="n">
        <v>620</v>
      </c>
      <c r="T14" s="12" t="n">
        <v>728</v>
      </c>
      <c r="U14" s="12" t="n">
        <v>323</v>
      </c>
      <c r="V14" s="12" t="n">
        <v>817</v>
      </c>
      <c r="W14" s="12" t="n">
        <v>275</v>
      </c>
      <c r="X14" s="12" t="n">
        <v>660</v>
      </c>
      <c r="Y14" s="12" t="n">
        <v>527</v>
      </c>
      <c r="Z14" s="12" t="n">
        <v>772</v>
      </c>
      <c r="AA14" s="12" t="n">
        <v>561</v>
      </c>
      <c r="AB14" s="12" t="n">
        <v>530</v>
      </c>
      <c r="AC14" s="12" t="n">
        <v>681</v>
      </c>
      <c r="AD14" s="12" t="n">
        <v>672</v>
      </c>
      <c r="AE14" s="12" t="n">
        <v>609</v>
      </c>
      <c r="AF14" s="12" t="n">
        <v>587</v>
      </c>
    </row>
    <row r="15">
      <c r="A15" s="20" t="n"/>
      <c r="B15" s="13" t="inlineStr">
        <is>
          <t>Stayed the same</t>
        </is>
      </c>
      <c r="C15" s="14" t="n">
        <v>0.62</v>
      </c>
      <c r="D15" s="14" t="n">
        <v>0.62</v>
      </c>
      <c r="E15" s="14" t="n">
        <v>0.54</v>
      </c>
      <c r="F15" s="14" t="n">
        <v>0.68</v>
      </c>
      <c r="G15" s="14" t="n">
        <v>0.6</v>
      </c>
      <c r="H15" s="14" t="n">
        <v>0.5700000000000001</v>
      </c>
      <c r="I15" s="14" t="n">
        <v>0.5600000000000001</v>
      </c>
      <c r="J15" s="14" t="n">
        <v>0.52</v>
      </c>
      <c r="K15" s="14" t="n">
        <v>0.62</v>
      </c>
      <c r="L15" s="14" t="n">
        <v>0.55</v>
      </c>
      <c r="M15" s="14" t="n">
        <v>0.51</v>
      </c>
      <c r="N15" s="14" t="n">
        <v>0.65</v>
      </c>
      <c r="O15" s="14" t="n">
        <v>0.52</v>
      </c>
      <c r="P15" s="14" t="n">
        <v>0.63</v>
      </c>
      <c r="Q15" s="14" t="n">
        <v>0.74</v>
      </c>
      <c r="R15" s="14" t="n">
        <v>0.53</v>
      </c>
      <c r="S15" s="14" t="n">
        <v>0.62</v>
      </c>
      <c r="T15" s="14" t="n">
        <v>0.72</v>
      </c>
      <c r="U15" s="14" t="n">
        <v>0.64</v>
      </c>
      <c r="V15" s="14" t="n">
        <v>0.8</v>
      </c>
      <c r="W15" s="14" t="n">
        <v>0.55</v>
      </c>
      <c r="X15" s="14" t="n">
        <v>0.65</v>
      </c>
      <c r="Y15" s="14" t="n">
        <v>0.52</v>
      </c>
      <c r="Z15" s="14" t="n">
        <v>0.76</v>
      </c>
      <c r="AA15" s="14" t="n">
        <v>0.54</v>
      </c>
      <c r="AB15" s="14" t="n">
        <v>0.51</v>
      </c>
      <c r="AC15" s="14" t="n">
        <v>0.68</v>
      </c>
      <c r="AD15" s="14" t="n">
        <v>0.67</v>
      </c>
      <c r="AE15" s="14" t="n">
        <v>0.6</v>
      </c>
      <c r="AF15" s="14" t="n">
        <v>0.5700000000000001</v>
      </c>
    </row>
    <row r="16">
      <c r="A16" s="20" t="n"/>
      <c r="B16" s="11" t="inlineStr">
        <is>
          <t>S'est détériorée</t>
        </is>
      </c>
      <c r="C16" s="12" t="n">
        <v>7155</v>
      </c>
      <c r="D16" s="12" t="n">
        <v>284</v>
      </c>
      <c r="E16" s="12" t="n">
        <v>398</v>
      </c>
      <c r="F16" s="12" t="n">
        <v>244</v>
      </c>
      <c r="G16" s="12" t="n">
        <v>124</v>
      </c>
      <c r="H16" s="12" t="n">
        <v>402</v>
      </c>
      <c r="I16" s="12" t="n">
        <v>516</v>
      </c>
      <c r="J16" s="12" t="n">
        <v>114</v>
      </c>
      <c r="K16" s="12" t="n">
        <v>262</v>
      </c>
      <c r="L16" s="12" t="n">
        <v>319</v>
      </c>
      <c r="M16" s="12" t="n">
        <v>434</v>
      </c>
      <c r="N16" s="12" t="n">
        <v>207</v>
      </c>
      <c r="O16" s="12" t="n">
        <v>393</v>
      </c>
      <c r="P16" s="12" t="n">
        <v>224</v>
      </c>
      <c r="Q16" s="12" t="n">
        <v>202</v>
      </c>
      <c r="R16" s="12" t="n">
        <v>172</v>
      </c>
      <c r="S16" s="12" t="n">
        <v>185</v>
      </c>
      <c r="T16" s="12" t="n">
        <v>158</v>
      </c>
      <c r="U16" s="12" t="n">
        <v>103</v>
      </c>
      <c r="V16" s="12" t="n">
        <v>148</v>
      </c>
      <c r="W16" s="12" t="n">
        <v>73</v>
      </c>
      <c r="X16" s="12" t="n">
        <v>174</v>
      </c>
      <c r="Y16" s="12" t="n">
        <v>368</v>
      </c>
      <c r="Z16" s="12" t="n">
        <v>96</v>
      </c>
      <c r="AA16" s="12" t="n">
        <v>399</v>
      </c>
      <c r="AB16" s="12" t="n">
        <v>397</v>
      </c>
      <c r="AC16" s="12" t="n">
        <v>215</v>
      </c>
      <c r="AD16" s="12" t="n">
        <v>275</v>
      </c>
      <c r="AE16" s="12" t="n">
        <v>217</v>
      </c>
      <c r="AF16" s="12" t="n">
        <v>172</v>
      </c>
    </row>
    <row r="17">
      <c r="A17" s="20" t="n"/>
      <c r="B17" s="13" t="inlineStr">
        <is>
          <t>Deteriorated</t>
        </is>
      </c>
      <c r="C17" s="14" t="n">
        <v>0.27</v>
      </c>
      <c r="D17" s="14" t="n">
        <v>0.28</v>
      </c>
      <c r="E17" s="14" t="n">
        <v>0.39</v>
      </c>
      <c r="F17" s="14" t="n">
        <v>0.23</v>
      </c>
      <c r="G17" s="14" t="n">
        <v>0.12</v>
      </c>
      <c r="H17" s="14" t="n">
        <v>0.33</v>
      </c>
      <c r="I17" s="14" t="n">
        <v>0.34</v>
      </c>
      <c r="J17" s="14" t="n">
        <v>0.39</v>
      </c>
      <c r="K17" s="14" t="n">
        <v>0.26</v>
      </c>
      <c r="L17" s="14" t="n">
        <v>0.32</v>
      </c>
      <c r="M17" s="14" t="n">
        <v>0.43</v>
      </c>
      <c r="N17" s="14" t="n">
        <v>0.2</v>
      </c>
      <c r="O17" s="14" t="n">
        <v>0.39</v>
      </c>
      <c r="P17" s="14" t="n">
        <v>0.22</v>
      </c>
      <c r="Q17" s="14" t="n">
        <v>0.2</v>
      </c>
      <c r="R17" s="14" t="n">
        <v>0.34</v>
      </c>
      <c r="S17" s="14" t="n">
        <v>0.18</v>
      </c>
      <c r="T17" s="14" t="n">
        <v>0.15</v>
      </c>
      <c r="U17" s="14" t="n">
        <v>0.2</v>
      </c>
      <c r="V17" s="14" t="n">
        <v>0.15</v>
      </c>
      <c r="W17" s="14" t="n">
        <v>0.14</v>
      </c>
      <c r="X17" s="14" t="n">
        <v>0.17</v>
      </c>
      <c r="Y17" s="14" t="n">
        <v>0.37</v>
      </c>
      <c r="Z17" s="14" t="n">
        <v>0.09</v>
      </c>
      <c r="AA17" s="14" t="n">
        <v>0.39</v>
      </c>
      <c r="AB17" s="14" t="n">
        <v>0.38</v>
      </c>
      <c r="AC17" s="14" t="n">
        <v>0.21</v>
      </c>
      <c r="AD17" s="14" t="n">
        <v>0.28</v>
      </c>
      <c r="AE17" s="14" t="n">
        <v>0.21</v>
      </c>
      <c r="AF17" s="14" t="n">
        <v>0.16</v>
      </c>
    </row>
    <row r="18">
      <c r="A18" s="20" t="n"/>
      <c r="B18" s="11" t="inlineStr">
        <is>
          <t>Ne sait pas</t>
        </is>
      </c>
      <c r="C18" s="12" t="n">
        <v>67</v>
      </c>
      <c r="D18" s="12" t="n">
        <v>0</v>
      </c>
      <c r="E18" s="12" t="n">
        <v>5</v>
      </c>
      <c r="F18" s="12" t="n">
        <v>10</v>
      </c>
      <c r="G18" s="12" t="n">
        <v>10</v>
      </c>
      <c r="H18" s="12" t="n">
        <v>2</v>
      </c>
      <c r="I18" s="12" t="n">
        <v>3</v>
      </c>
      <c r="J18" s="12" t="n">
        <v>1</v>
      </c>
      <c r="K18" s="12" t="n">
        <v>11</v>
      </c>
      <c r="L18" s="12" t="n">
        <v>12</v>
      </c>
      <c r="M18" s="12" t="n">
        <v>0</v>
      </c>
      <c r="N18" s="12" t="n">
        <v>0</v>
      </c>
      <c r="O18" s="12" t="n">
        <v>3</v>
      </c>
      <c r="P18" s="12" t="n">
        <v>0</v>
      </c>
      <c r="Q18" s="12" t="n">
        <v>2</v>
      </c>
      <c r="R18" s="12" t="n">
        <v>1</v>
      </c>
      <c r="S18" s="12" t="n">
        <v>1</v>
      </c>
      <c r="T18" s="12" t="n">
        <v>2</v>
      </c>
      <c r="U18" s="12" t="n">
        <v>0</v>
      </c>
      <c r="V18" s="12" t="n">
        <v>0</v>
      </c>
      <c r="W18" s="12" t="n">
        <v>1</v>
      </c>
      <c r="X18" s="12" t="n">
        <v>0</v>
      </c>
      <c r="Y18" s="12" t="n">
        <v>0</v>
      </c>
      <c r="Z18" s="12" t="n">
        <v>9</v>
      </c>
      <c r="AA18" s="12" t="n">
        <v>2</v>
      </c>
      <c r="AB18" s="12" t="n">
        <v>0</v>
      </c>
      <c r="AC18" s="12" t="n">
        <v>1</v>
      </c>
      <c r="AD18" s="12" t="n">
        <v>0</v>
      </c>
      <c r="AE18" s="12" t="n">
        <v>1</v>
      </c>
      <c r="AF18" s="12" t="n">
        <v>2</v>
      </c>
    </row>
    <row r="19">
      <c r="A19" s="23" t="n"/>
      <c r="B19" s="13" t="inlineStr">
        <is>
          <t>Don't know</t>
        </is>
      </c>
      <c r="C19" s="15" t="inlineStr">
        <is>
          <t>-</t>
        </is>
      </c>
      <c r="D19" s="15" t="inlineStr">
        <is>
          <t>-</t>
        </is>
      </c>
      <c r="E19" s="14" t="n">
        <v>0.01</v>
      </c>
      <c r="F19" s="14" t="n">
        <v>0.01</v>
      </c>
      <c r="G19" s="14" t="n">
        <v>0.01</v>
      </c>
      <c r="H19" s="15" t="inlineStr">
        <is>
          <t>-</t>
        </is>
      </c>
      <c r="I19" s="15" t="inlineStr">
        <is>
          <t>-</t>
        </is>
      </c>
      <c r="J19" s="15" t="inlineStr">
        <is>
          <t>-</t>
        </is>
      </c>
      <c r="K19" s="14" t="n">
        <v>0.01</v>
      </c>
      <c r="L19" s="14" t="n">
        <v>0.01</v>
      </c>
      <c r="M19" s="15" t="inlineStr">
        <is>
          <t>-</t>
        </is>
      </c>
      <c r="N19" s="15" t="inlineStr">
        <is>
          <t>-</t>
        </is>
      </c>
      <c r="O19" s="15" t="inlineStr">
        <is>
          <t>-</t>
        </is>
      </c>
      <c r="P19" s="15" t="inlineStr">
        <is>
          <t>-</t>
        </is>
      </c>
      <c r="Q19" s="15" t="inlineStr">
        <is>
          <t>-</t>
        </is>
      </c>
      <c r="R19" s="14" t="n">
        <v>0.01</v>
      </c>
      <c r="S19" s="15" t="inlineStr">
        <is>
          <t>-</t>
        </is>
      </c>
      <c r="T19" s="15" t="inlineStr">
        <is>
          <t>-</t>
        </is>
      </c>
      <c r="U19" s="15" t="inlineStr">
        <is>
          <t>-</t>
        </is>
      </c>
      <c r="V19" s="15" t="inlineStr">
        <is>
          <t>-</t>
        </is>
      </c>
      <c r="W19" s="15" t="inlineStr">
        <is>
          <t>-</t>
        </is>
      </c>
      <c r="X19" s="15" t="inlineStr">
        <is>
          <t>-</t>
        </is>
      </c>
      <c r="Y19" s="15" t="inlineStr">
        <is>
          <t>-</t>
        </is>
      </c>
      <c r="Z19" s="14" t="n">
        <v>0.01</v>
      </c>
      <c r="AA19" s="15" t="inlineStr">
        <is>
          <t>-</t>
        </is>
      </c>
      <c r="AB19" s="15" t="inlineStr">
        <is>
          <t>-</t>
        </is>
      </c>
      <c r="AC19" s="15" t="inlineStr">
        <is>
          <t>-</t>
        </is>
      </c>
      <c r="AD19" s="15" t="inlineStr">
        <is>
          <t>-</t>
        </is>
      </c>
      <c r="AE19" s="15" t="inlineStr">
        <is>
          <t>-</t>
        </is>
      </c>
      <c r="AF19" s="15" t="inlineStr">
        <is>
          <t>-</t>
        </is>
      </c>
    </row>
  </sheetData>
  <mergeCells count="9">
    <mergeCell ref="B4:F4"/>
    <mergeCell ref="H3:L3"/>
    <mergeCell ref="C8:AF8"/>
    <mergeCell ref="B3:F3"/>
    <mergeCell ref="B5:F5"/>
    <mergeCell ref="A10:A19"/>
    <mergeCell ref="H5:L5"/>
    <mergeCell ref="B10:B11"/>
    <mergeCell ref="H4:L4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F19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36" customHeight="1" s="18">
      <c r="B3" s="21" t="inlineStr">
        <is>
          <t>SD27. En pensant à l'évolution de votre niveau de vie personnel ces cinq prochaines années, laquelle des affirmations suivantes décrit le mieux vos prévisions ?</t>
        </is>
      </c>
      <c r="H3" s="21" t="inlineStr">
        <is>
          <t>SD27. When you think about the way your personal standard of living will evolve over the next five years, which of the following statements best describes your expectations?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HYPERLINK("#Content!A44","&lt;&lt;Back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Votre niveau de vie va baisser</t>
        </is>
      </c>
      <c r="C12" s="12" t="n">
        <v>7615</v>
      </c>
      <c r="D12" s="12" t="n">
        <v>382</v>
      </c>
      <c r="E12" s="12" t="n">
        <v>313</v>
      </c>
      <c r="F12" s="12" t="n">
        <v>309</v>
      </c>
      <c r="G12" s="12" t="n">
        <v>129</v>
      </c>
      <c r="H12" s="12" t="n">
        <v>453</v>
      </c>
      <c r="I12" s="12" t="n">
        <v>579</v>
      </c>
      <c r="J12" s="12" t="n">
        <v>126</v>
      </c>
      <c r="K12" s="12" t="n">
        <v>246</v>
      </c>
      <c r="L12" s="12" t="n">
        <v>360</v>
      </c>
      <c r="M12" s="12" t="n">
        <v>370</v>
      </c>
      <c r="N12" s="12" t="n">
        <v>232</v>
      </c>
      <c r="O12" s="12" t="n">
        <v>449</v>
      </c>
      <c r="P12" s="12" t="n">
        <v>245</v>
      </c>
      <c r="Q12" s="12" t="n">
        <v>195</v>
      </c>
      <c r="R12" s="12" t="n">
        <v>170</v>
      </c>
      <c r="S12" s="12" t="n">
        <v>127</v>
      </c>
      <c r="T12" s="12" t="n">
        <v>213</v>
      </c>
      <c r="U12" s="12" t="n">
        <v>133</v>
      </c>
      <c r="V12" s="12" t="n">
        <v>85</v>
      </c>
      <c r="W12" s="12" t="n">
        <v>98</v>
      </c>
      <c r="X12" s="12" t="n">
        <v>212</v>
      </c>
      <c r="Y12" s="12" t="n">
        <v>377</v>
      </c>
      <c r="Z12" s="12" t="n">
        <v>97</v>
      </c>
      <c r="AA12" s="12" t="n">
        <v>407</v>
      </c>
      <c r="AB12" s="12" t="n">
        <v>303</v>
      </c>
      <c r="AC12" s="12" t="n">
        <v>310</v>
      </c>
      <c r="AD12" s="12" t="n">
        <v>333</v>
      </c>
      <c r="AE12" s="12" t="n">
        <v>186</v>
      </c>
      <c r="AF12" s="12" t="n">
        <v>159</v>
      </c>
    </row>
    <row r="13">
      <c r="A13" s="20" t="n"/>
      <c r="B13" s="13" t="inlineStr">
        <is>
          <t>Your standard of living will decrease</t>
        </is>
      </c>
      <c r="C13" s="14" t="n">
        <v>0.29</v>
      </c>
      <c r="D13" s="14" t="n">
        <v>0.37</v>
      </c>
      <c r="E13" s="14" t="n">
        <v>0.31</v>
      </c>
      <c r="F13" s="14" t="n">
        <v>0.3</v>
      </c>
      <c r="G13" s="14" t="n">
        <v>0.13</v>
      </c>
      <c r="H13" s="14" t="n">
        <v>0.37</v>
      </c>
      <c r="I13" s="14" t="n">
        <v>0.38</v>
      </c>
      <c r="J13" s="14" t="n">
        <v>0.43</v>
      </c>
      <c r="K13" s="14" t="n">
        <v>0.25</v>
      </c>
      <c r="L13" s="14" t="n">
        <v>0.36</v>
      </c>
      <c r="M13" s="14" t="n">
        <v>0.37</v>
      </c>
      <c r="N13" s="14" t="n">
        <v>0.23</v>
      </c>
      <c r="O13" s="14" t="n">
        <v>0.44</v>
      </c>
      <c r="P13" s="14" t="n">
        <v>0.24</v>
      </c>
      <c r="Q13" s="14" t="n">
        <v>0.19</v>
      </c>
      <c r="R13" s="14" t="n">
        <v>0.34</v>
      </c>
      <c r="S13" s="14" t="n">
        <v>0.13</v>
      </c>
      <c r="T13" s="14" t="n">
        <v>0.21</v>
      </c>
      <c r="U13" s="14" t="n">
        <v>0.26</v>
      </c>
      <c r="V13" s="14" t="n">
        <v>0.08</v>
      </c>
      <c r="W13" s="14" t="n">
        <v>0.19</v>
      </c>
      <c r="X13" s="14" t="n">
        <v>0.21</v>
      </c>
      <c r="Y13" s="14" t="n">
        <v>0.38</v>
      </c>
      <c r="Z13" s="14" t="n">
        <v>0.09</v>
      </c>
      <c r="AA13" s="14" t="n">
        <v>0.39</v>
      </c>
      <c r="AB13" s="14" t="n">
        <v>0.29</v>
      </c>
      <c r="AC13" s="14" t="n">
        <v>0.31</v>
      </c>
      <c r="AD13" s="14" t="n">
        <v>0.33</v>
      </c>
      <c r="AE13" s="14" t="n">
        <v>0.18</v>
      </c>
      <c r="AF13" s="14" t="n">
        <v>0.15</v>
      </c>
    </row>
    <row r="14">
      <c r="A14" s="20" t="n"/>
      <c r="B14" s="11" t="inlineStr">
        <is>
          <t>Votre niveau de vie ne va pas changer</t>
        </is>
      </c>
      <c r="C14" s="12" t="n">
        <v>13348</v>
      </c>
      <c r="D14" s="12" t="n">
        <v>446</v>
      </c>
      <c r="E14" s="12" t="n">
        <v>436</v>
      </c>
      <c r="F14" s="12" t="n">
        <v>595</v>
      </c>
      <c r="G14" s="12" t="n">
        <v>573</v>
      </c>
      <c r="H14" s="12" t="n">
        <v>563</v>
      </c>
      <c r="I14" s="12" t="n">
        <v>685</v>
      </c>
      <c r="J14" s="12" t="n">
        <v>122</v>
      </c>
      <c r="K14" s="12" t="n">
        <v>427</v>
      </c>
      <c r="L14" s="12" t="n">
        <v>436</v>
      </c>
      <c r="M14" s="12" t="n">
        <v>466</v>
      </c>
      <c r="N14" s="12" t="n">
        <v>515</v>
      </c>
      <c r="O14" s="12" t="n">
        <v>329</v>
      </c>
      <c r="P14" s="12" t="n">
        <v>551</v>
      </c>
      <c r="Q14" s="12" t="n">
        <v>704</v>
      </c>
      <c r="R14" s="12" t="n">
        <v>191</v>
      </c>
      <c r="S14" s="12" t="n">
        <v>474</v>
      </c>
      <c r="T14" s="12" t="n">
        <v>524</v>
      </c>
      <c r="U14" s="12" t="n">
        <v>243</v>
      </c>
      <c r="V14" s="12" t="n">
        <v>681</v>
      </c>
      <c r="W14" s="12" t="n">
        <v>237</v>
      </c>
      <c r="X14" s="12" t="n">
        <v>566</v>
      </c>
      <c r="Y14" s="12" t="n">
        <v>466</v>
      </c>
      <c r="Z14" s="12" t="n">
        <v>726</v>
      </c>
      <c r="AA14" s="12" t="n">
        <v>402</v>
      </c>
      <c r="AB14" s="12" t="n">
        <v>449</v>
      </c>
      <c r="AC14" s="12" t="n">
        <v>462</v>
      </c>
      <c r="AD14" s="12" t="n">
        <v>507</v>
      </c>
      <c r="AE14" s="12" t="n">
        <v>491</v>
      </c>
      <c r="AF14" s="12" t="n">
        <v>493</v>
      </c>
    </row>
    <row r="15">
      <c r="A15" s="20" t="n"/>
      <c r="B15" s="13" t="inlineStr">
        <is>
          <t>Your standard of living will not change</t>
        </is>
      </c>
      <c r="C15" s="14" t="n">
        <v>0.5</v>
      </c>
      <c r="D15" s="14" t="n">
        <v>0.44</v>
      </c>
      <c r="E15" s="14" t="n">
        <v>0.43</v>
      </c>
      <c r="F15" s="14" t="n">
        <v>0.5700000000000001</v>
      </c>
      <c r="G15" s="14" t="n">
        <v>0.5700000000000001</v>
      </c>
      <c r="H15" s="14" t="n">
        <v>0.47</v>
      </c>
      <c r="I15" s="14" t="n">
        <v>0.45</v>
      </c>
      <c r="J15" s="14" t="n">
        <v>0.42</v>
      </c>
      <c r="K15" s="14" t="n">
        <v>0.42</v>
      </c>
      <c r="L15" s="14" t="n">
        <v>0.43</v>
      </c>
      <c r="M15" s="14" t="n">
        <v>0.46</v>
      </c>
      <c r="N15" s="14" t="n">
        <v>0.51</v>
      </c>
      <c r="O15" s="14" t="n">
        <v>0.32</v>
      </c>
      <c r="P15" s="14" t="n">
        <v>0.55</v>
      </c>
      <c r="Q15" s="14" t="n">
        <v>0.68</v>
      </c>
      <c r="R15" s="14" t="n">
        <v>0.38</v>
      </c>
      <c r="S15" s="14" t="n">
        <v>0.47</v>
      </c>
      <c r="T15" s="14" t="n">
        <v>0.51</v>
      </c>
      <c r="U15" s="14" t="n">
        <v>0.48</v>
      </c>
      <c r="V15" s="14" t="n">
        <v>0.67</v>
      </c>
      <c r="W15" s="14" t="n">
        <v>0.47</v>
      </c>
      <c r="X15" s="14" t="n">
        <v>0.55</v>
      </c>
      <c r="Y15" s="14" t="n">
        <v>0.46</v>
      </c>
      <c r="Z15" s="14" t="n">
        <v>0.71</v>
      </c>
      <c r="AA15" s="14" t="n">
        <v>0.39</v>
      </c>
      <c r="AB15" s="14" t="n">
        <v>0.43</v>
      </c>
      <c r="AC15" s="14" t="n">
        <v>0.46</v>
      </c>
      <c r="AD15" s="14" t="n">
        <v>0.51</v>
      </c>
      <c r="AE15" s="14" t="n">
        <v>0.48</v>
      </c>
      <c r="AF15" s="14" t="n">
        <v>0.48</v>
      </c>
    </row>
    <row r="16">
      <c r="A16" s="20" t="n"/>
      <c r="B16" s="11" t="inlineStr">
        <is>
          <t>Votre niveau de vie va augmenter</t>
        </is>
      </c>
      <c r="C16" s="12" t="n">
        <v>4634</v>
      </c>
      <c r="D16" s="12" t="n">
        <v>182</v>
      </c>
      <c r="E16" s="12" t="n">
        <v>170</v>
      </c>
      <c r="F16" s="12" t="n">
        <v>120</v>
      </c>
      <c r="G16" s="12" t="n">
        <v>297</v>
      </c>
      <c r="H16" s="12" t="n">
        <v>183</v>
      </c>
      <c r="I16" s="12" t="n">
        <v>219</v>
      </c>
      <c r="J16" s="12" t="n">
        <v>36</v>
      </c>
      <c r="K16" s="12" t="n">
        <v>224</v>
      </c>
      <c r="L16" s="12" t="n">
        <v>168</v>
      </c>
      <c r="M16" s="12" t="n">
        <v>141</v>
      </c>
      <c r="N16" s="12" t="n">
        <v>230</v>
      </c>
      <c r="O16" s="12" t="n">
        <v>190</v>
      </c>
      <c r="P16" s="12" t="n">
        <v>204</v>
      </c>
      <c r="Q16" s="12" t="n">
        <v>104</v>
      </c>
      <c r="R16" s="12" t="n">
        <v>108</v>
      </c>
      <c r="S16" s="12" t="n">
        <v>349</v>
      </c>
      <c r="T16" s="12" t="n">
        <v>243</v>
      </c>
      <c r="U16" s="12" t="n">
        <v>124</v>
      </c>
      <c r="V16" s="12" t="n">
        <v>229</v>
      </c>
      <c r="W16" s="12" t="n">
        <v>150</v>
      </c>
      <c r="X16" s="12" t="n">
        <v>237</v>
      </c>
      <c r="Y16" s="12" t="n">
        <v>124</v>
      </c>
      <c r="Z16" s="12" t="n">
        <v>149</v>
      </c>
      <c r="AA16" s="12" t="n">
        <v>143</v>
      </c>
      <c r="AB16" s="12" t="n">
        <v>251</v>
      </c>
      <c r="AC16" s="12" t="n">
        <v>200</v>
      </c>
      <c r="AD16" s="12" t="n">
        <v>113</v>
      </c>
      <c r="AE16" s="12" t="n">
        <v>322</v>
      </c>
      <c r="AF16" s="12" t="n">
        <v>378</v>
      </c>
    </row>
    <row r="17">
      <c r="A17" s="20" t="n"/>
      <c r="B17" s="13" t="inlineStr">
        <is>
          <t>Your standard of living will increase</t>
        </is>
      </c>
      <c r="C17" s="14" t="n">
        <v>0.18</v>
      </c>
      <c r="D17" s="14" t="n">
        <v>0.18</v>
      </c>
      <c r="E17" s="14" t="n">
        <v>0.17</v>
      </c>
      <c r="F17" s="14" t="n">
        <v>0.11</v>
      </c>
      <c r="G17" s="14" t="n">
        <v>0.29</v>
      </c>
      <c r="H17" s="14" t="n">
        <v>0.15</v>
      </c>
      <c r="I17" s="14" t="n">
        <v>0.15</v>
      </c>
      <c r="J17" s="14" t="n">
        <v>0.12</v>
      </c>
      <c r="K17" s="14" t="n">
        <v>0.22</v>
      </c>
      <c r="L17" s="14" t="n">
        <v>0.17</v>
      </c>
      <c r="M17" s="14" t="n">
        <v>0.14</v>
      </c>
      <c r="N17" s="14" t="n">
        <v>0.23</v>
      </c>
      <c r="O17" s="14" t="n">
        <v>0.19</v>
      </c>
      <c r="P17" s="14" t="n">
        <v>0.2</v>
      </c>
      <c r="Q17" s="14" t="n">
        <v>0.1</v>
      </c>
      <c r="R17" s="14" t="n">
        <v>0.21</v>
      </c>
      <c r="S17" s="14" t="n">
        <v>0.35</v>
      </c>
      <c r="T17" s="14" t="n">
        <v>0.24</v>
      </c>
      <c r="U17" s="14" t="n">
        <v>0.24</v>
      </c>
      <c r="V17" s="14" t="n">
        <v>0.23</v>
      </c>
      <c r="W17" s="14" t="n">
        <v>0.3</v>
      </c>
      <c r="X17" s="14" t="n">
        <v>0.23</v>
      </c>
      <c r="Y17" s="14" t="n">
        <v>0.12</v>
      </c>
      <c r="Z17" s="14" t="n">
        <v>0.15</v>
      </c>
      <c r="AA17" s="14" t="n">
        <v>0.14</v>
      </c>
      <c r="AB17" s="14" t="n">
        <v>0.24</v>
      </c>
      <c r="AC17" s="14" t="n">
        <v>0.2</v>
      </c>
      <c r="AD17" s="14" t="n">
        <v>0.11</v>
      </c>
      <c r="AE17" s="14" t="n">
        <v>0.32</v>
      </c>
      <c r="AF17" s="14" t="n">
        <v>0.36</v>
      </c>
    </row>
    <row r="18">
      <c r="A18" s="20" t="n"/>
      <c r="B18" s="11" t="inlineStr">
        <is>
          <t>Ne sait pas / Pas de réponse</t>
        </is>
      </c>
      <c r="C18" s="12" t="n">
        <v>824</v>
      </c>
      <c r="D18" s="12" t="n">
        <v>12</v>
      </c>
      <c r="E18" s="12" t="n">
        <v>95</v>
      </c>
      <c r="F18" s="12" t="n">
        <v>25</v>
      </c>
      <c r="G18" s="12" t="n">
        <v>8</v>
      </c>
      <c r="H18" s="12" t="n">
        <v>15</v>
      </c>
      <c r="I18" s="12" t="n">
        <v>24</v>
      </c>
      <c r="J18" s="12" t="n">
        <v>9</v>
      </c>
      <c r="K18" s="12" t="n">
        <v>109</v>
      </c>
      <c r="L18" s="12" t="n">
        <v>46</v>
      </c>
      <c r="M18" s="12" t="n">
        <v>31</v>
      </c>
      <c r="N18" s="12" t="n">
        <v>29</v>
      </c>
      <c r="O18" s="12" t="n">
        <v>48</v>
      </c>
      <c r="P18" s="12" t="n">
        <v>6</v>
      </c>
      <c r="Q18" s="12" t="n">
        <v>26</v>
      </c>
      <c r="R18" s="12" t="n">
        <v>35</v>
      </c>
      <c r="S18" s="12" t="n">
        <v>54</v>
      </c>
      <c r="T18" s="12" t="n">
        <v>37</v>
      </c>
      <c r="U18" s="12" t="n">
        <v>8</v>
      </c>
      <c r="V18" s="12" t="n">
        <v>25</v>
      </c>
      <c r="W18" s="12" t="n">
        <v>20</v>
      </c>
      <c r="X18" s="12" t="n">
        <v>7</v>
      </c>
      <c r="Y18" s="12" t="n">
        <v>35</v>
      </c>
      <c r="Z18" s="12" t="n">
        <v>49</v>
      </c>
      <c r="AA18" s="12" t="n">
        <v>79</v>
      </c>
      <c r="AB18" s="12" t="n">
        <v>42</v>
      </c>
      <c r="AC18" s="12" t="n">
        <v>35</v>
      </c>
      <c r="AD18" s="12" t="n">
        <v>48</v>
      </c>
      <c r="AE18" s="12" t="n">
        <v>17</v>
      </c>
      <c r="AF18" s="12" t="n">
        <v>6</v>
      </c>
    </row>
    <row r="19">
      <c r="A19" s="23" t="n"/>
      <c r="B19" s="13" t="inlineStr">
        <is>
          <t>Don't know / No answer</t>
        </is>
      </c>
      <c r="C19" s="14" t="n">
        <v>0.03</v>
      </c>
      <c r="D19" s="14" t="n">
        <v>0.01</v>
      </c>
      <c r="E19" s="14" t="n">
        <v>0.09</v>
      </c>
      <c r="F19" s="14" t="n">
        <v>0.02</v>
      </c>
      <c r="G19" s="14" t="n">
        <v>0.01</v>
      </c>
      <c r="H19" s="14" t="n">
        <v>0.01</v>
      </c>
      <c r="I19" s="14" t="n">
        <v>0.02</v>
      </c>
      <c r="J19" s="14" t="n">
        <v>0.03</v>
      </c>
      <c r="K19" s="14" t="n">
        <v>0.11</v>
      </c>
      <c r="L19" s="14" t="n">
        <v>0.04</v>
      </c>
      <c r="M19" s="14" t="n">
        <v>0.03</v>
      </c>
      <c r="N19" s="14" t="n">
        <v>0.03</v>
      </c>
      <c r="O19" s="14" t="n">
        <v>0.05</v>
      </c>
      <c r="P19" s="14" t="n">
        <v>0.01</v>
      </c>
      <c r="Q19" s="14" t="n">
        <v>0.03</v>
      </c>
      <c r="R19" s="14" t="n">
        <v>0.07000000000000001</v>
      </c>
      <c r="S19" s="14" t="n">
        <v>0.05</v>
      </c>
      <c r="T19" s="14" t="n">
        <v>0.04</v>
      </c>
      <c r="U19" s="14" t="n">
        <v>0.02</v>
      </c>
      <c r="V19" s="14" t="n">
        <v>0.02</v>
      </c>
      <c r="W19" s="14" t="n">
        <v>0.04</v>
      </c>
      <c r="X19" s="14" t="n">
        <v>0.01</v>
      </c>
      <c r="Y19" s="14" t="n">
        <v>0.04</v>
      </c>
      <c r="Z19" s="14" t="n">
        <v>0.05</v>
      </c>
      <c r="AA19" s="14" t="n">
        <v>0.08</v>
      </c>
      <c r="AB19" s="14" t="n">
        <v>0.04</v>
      </c>
      <c r="AC19" s="14" t="n">
        <v>0.03</v>
      </c>
      <c r="AD19" s="14" t="n">
        <v>0.05</v>
      </c>
      <c r="AE19" s="14" t="n">
        <v>0.02</v>
      </c>
      <c r="AF19" s="14" t="n">
        <v>0.01</v>
      </c>
    </row>
  </sheetData>
  <mergeCells count="9">
    <mergeCell ref="B4:F4"/>
    <mergeCell ref="H3:L3"/>
    <mergeCell ref="C8:AF8"/>
    <mergeCell ref="B3:F3"/>
    <mergeCell ref="B5:F5"/>
    <mergeCell ref="A10:A19"/>
    <mergeCell ref="H5:L5"/>
    <mergeCell ref="B10:B11"/>
    <mergeCell ref="H4:L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12" customHeight="1" s="18">
      <c r="B3" s="21" t="inlineStr">
        <is>
          <t>D11A. Quel est votre âge ?</t>
        </is>
      </c>
      <c r="H3" s="21" t="inlineStr">
        <is>
          <t>D11A. How old are you?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HYPERLINK("#Content!A45","&lt;&lt;Back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15-24</t>
        </is>
      </c>
      <c r="C12" s="12" t="n">
        <v>3263</v>
      </c>
      <c r="D12" s="12" t="n">
        <v>143</v>
      </c>
      <c r="E12" s="12" t="n">
        <v>109</v>
      </c>
      <c r="F12" s="12" t="n">
        <v>127</v>
      </c>
      <c r="G12" s="12" t="n">
        <v>123</v>
      </c>
      <c r="H12" s="12" t="n">
        <v>144</v>
      </c>
      <c r="I12" s="12" t="n">
        <v>175</v>
      </c>
      <c r="J12" s="12" t="n">
        <v>31</v>
      </c>
      <c r="K12" s="12" t="n">
        <v>124</v>
      </c>
      <c r="L12" s="12" t="n">
        <v>157</v>
      </c>
      <c r="M12" s="12" t="n">
        <v>120</v>
      </c>
      <c r="N12" s="12" t="n">
        <v>125</v>
      </c>
      <c r="O12" s="12" t="n">
        <v>147</v>
      </c>
      <c r="P12" s="12" t="n">
        <v>119</v>
      </c>
      <c r="Q12" s="12" t="n">
        <v>117</v>
      </c>
      <c r="R12" s="12" t="n">
        <v>61</v>
      </c>
      <c r="S12" s="12" t="n">
        <v>120</v>
      </c>
      <c r="T12" s="12" t="n">
        <v>113</v>
      </c>
      <c r="U12" s="12" t="n">
        <v>67</v>
      </c>
      <c r="V12" s="12" t="n">
        <v>125</v>
      </c>
      <c r="W12" s="12" t="n">
        <v>56</v>
      </c>
      <c r="X12" s="12" t="n">
        <v>148</v>
      </c>
      <c r="Y12" s="12" t="n">
        <v>122</v>
      </c>
      <c r="Z12" s="12" t="n">
        <v>118</v>
      </c>
      <c r="AA12" s="12" t="n">
        <v>122</v>
      </c>
      <c r="AB12" s="12" t="n">
        <v>136</v>
      </c>
      <c r="AC12" s="12" t="n">
        <v>115</v>
      </c>
      <c r="AD12" s="12" t="n">
        <v>117</v>
      </c>
      <c r="AE12" s="12" t="n">
        <v>133</v>
      </c>
      <c r="AF12" s="12" t="n">
        <v>87</v>
      </c>
    </row>
    <row r="13">
      <c r="A13" s="20" t="n"/>
      <c r="B13" s="13" t="inlineStr">
        <is>
          <t>15-24</t>
        </is>
      </c>
      <c r="C13" s="14" t="n">
        <v>0.12</v>
      </c>
      <c r="D13" s="14" t="n">
        <v>0.14</v>
      </c>
      <c r="E13" s="14" t="n">
        <v>0.11</v>
      </c>
      <c r="F13" s="14" t="n">
        <v>0.12</v>
      </c>
      <c r="G13" s="14" t="n">
        <v>0.12</v>
      </c>
      <c r="H13" s="14" t="n">
        <v>0.12</v>
      </c>
      <c r="I13" s="14" t="n">
        <v>0.12</v>
      </c>
      <c r="J13" s="14" t="n">
        <v>0.11</v>
      </c>
      <c r="K13" s="14" t="n">
        <v>0.12</v>
      </c>
      <c r="L13" s="14" t="n">
        <v>0.16</v>
      </c>
      <c r="M13" s="14" t="n">
        <v>0.12</v>
      </c>
      <c r="N13" s="14" t="n">
        <v>0.12</v>
      </c>
      <c r="O13" s="14" t="n">
        <v>0.14</v>
      </c>
      <c r="P13" s="14" t="n">
        <v>0.12</v>
      </c>
      <c r="Q13" s="14" t="n">
        <v>0.11</v>
      </c>
      <c r="R13" s="14" t="n">
        <v>0.12</v>
      </c>
      <c r="S13" s="14" t="n">
        <v>0.12</v>
      </c>
      <c r="T13" s="14" t="n">
        <v>0.11</v>
      </c>
      <c r="U13" s="14" t="n">
        <v>0.13</v>
      </c>
      <c r="V13" s="14" t="n">
        <v>0.12</v>
      </c>
      <c r="W13" s="14" t="n">
        <v>0.11</v>
      </c>
      <c r="X13" s="14" t="n">
        <v>0.15</v>
      </c>
      <c r="Y13" s="14" t="n">
        <v>0.12</v>
      </c>
      <c r="Z13" s="14" t="n">
        <v>0.12</v>
      </c>
      <c r="AA13" s="14" t="n">
        <v>0.12</v>
      </c>
      <c r="AB13" s="14" t="n">
        <v>0.13</v>
      </c>
      <c r="AC13" s="14" t="n">
        <v>0.11</v>
      </c>
      <c r="AD13" s="14" t="n">
        <v>0.12</v>
      </c>
      <c r="AE13" s="14" t="n">
        <v>0.13</v>
      </c>
      <c r="AF13" s="14" t="n">
        <v>0.09</v>
      </c>
    </row>
    <row r="14">
      <c r="A14" s="20" t="n"/>
      <c r="B14" s="11" t="inlineStr">
        <is>
          <t>25-39</t>
        </is>
      </c>
      <c r="C14" s="12" t="n">
        <v>5672</v>
      </c>
      <c r="D14" s="12" t="n">
        <v>237</v>
      </c>
      <c r="E14" s="12" t="n">
        <v>195</v>
      </c>
      <c r="F14" s="12" t="n">
        <v>228</v>
      </c>
      <c r="G14" s="12" t="n">
        <v>240</v>
      </c>
      <c r="H14" s="12" t="n">
        <v>273</v>
      </c>
      <c r="I14" s="12" t="n">
        <v>333</v>
      </c>
      <c r="J14" s="12" t="n">
        <v>60</v>
      </c>
      <c r="K14" s="12" t="n">
        <v>238</v>
      </c>
      <c r="L14" s="12" t="n">
        <v>242</v>
      </c>
      <c r="M14" s="12" t="n">
        <v>189</v>
      </c>
      <c r="N14" s="12" t="n">
        <v>203</v>
      </c>
      <c r="O14" s="12" t="n">
        <v>218</v>
      </c>
      <c r="P14" s="12" t="n">
        <v>213</v>
      </c>
      <c r="Q14" s="12" t="n">
        <v>190</v>
      </c>
      <c r="R14" s="12" t="n">
        <v>140</v>
      </c>
      <c r="S14" s="12" t="n">
        <v>221</v>
      </c>
      <c r="T14" s="12" t="n">
        <v>241</v>
      </c>
      <c r="U14" s="12" t="n">
        <v>143</v>
      </c>
      <c r="V14" s="12" t="n">
        <v>223</v>
      </c>
      <c r="W14" s="12" t="n">
        <v>163</v>
      </c>
      <c r="X14" s="12" t="n">
        <v>236</v>
      </c>
      <c r="Y14" s="12" t="n">
        <v>237</v>
      </c>
      <c r="Z14" s="12" t="n">
        <v>242</v>
      </c>
      <c r="AA14" s="12" t="n">
        <v>199</v>
      </c>
      <c r="AB14" s="12" t="n">
        <v>223</v>
      </c>
      <c r="AC14" s="12" t="n">
        <v>210</v>
      </c>
      <c r="AD14" s="12" t="n">
        <v>240</v>
      </c>
      <c r="AE14" s="12" t="n">
        <v>232</v>
      </c>
      <c r="AF14" s="12" t="n">
        <v>252</v>
      </c>
    </row>
    <row r="15">
      <c r="A15" s="20" t="n"/>
      <c r="B15" s="13" t="inlineStr">
        <is>
          <t>25-39</t>
        </is>
      </c>
      <c r="C15" s="14" t="n">
        <v>0.21</v>
      </c>
      <c r="D15" s="14" t="n">
        <v>0.23</v>
      </c>
      <c r="E15" s="14" t="n">
        <v>0.19</v>
      </c>
      <c r="F15" s="14" t="n">
        <v>0.22</v>
      </c>
      <c r="G15" s="14" t="n">
        <v>0.24</v>
      </c>
      <c r="H15" s="14" t="n">
        <v>0.22</v>
      </c>
      <c r="I15" s="14" t="n">
        <v>0.22</v>
      </c>
      <c r="J15" s="14" t="n">
        <v>0.2</v>
      </c>
      <c r="K15" s="14" t="n">
        <v>0.24</v>
      </c>
      <c r="L15" s="14" t="n">
        <v>0.24</v>
      </c>
      <c r="M15" s="14" t="n">
        <v>0.19</v>
      </c>
      <c r="N15" s="14" t="n">
        <v>0.2</v>
      </c>
      <c r="O15" s="14" t="n">
        <v>0.22</v>
      </c>
      <c r="P15" s="14" t="n">
        <v>0.21</v>
      </c>
      <c r="Q15" s="14" t="n">
        <v>0.19</v>
      </c>
      <c r="R15" s="14" t="n">
        <v>0.28</v>
      </c>
      <c r="S15" s="14" t="n">
        <v>0.22</v>
      </c>
      <c r="T15" s="14" t="n">
        <v>0.24</v>
      </c>
      <c r="U15" s="14" t="n">
        <v>0.28</v>
      </c>
      <c r="V15" s="14" t="n">
        <v>0.22</v>
      </c>
      <c r="W15" s="14" t="n">
        <v>0.32</v>
      </c>
      <c r="X15" s="14" t="n">
        <v>0.23</v>
      </c>
      <c r="Y15" s="14" t="n">
        <v>0.24</v>
      </c>
      <c r="Z15" s="14" t="n">
        <v>0.24</v>
      </c>
      <c r="AA15" s="14" t="n">
        <v>0.19</v>
      </c>
      <c r="AB15" s="14" t="n">
        <v>0.21</v>
      </c>
      <c r="AC15" s="14" t="n">
        <v>0.21</v>
      </c>
      <c r="AD15" s="14" t="n">
        <v>0.24</v>
      </c>
      <c r="AE15" s="14" t="n">
        <v>0.23</v>
      </c>
      <c r="AF15" s="14" t="n">
        <v>0.24</v>
      </c>
    </row>
    <row r="16">
      <c r="A16" s="20" t="n"/>
      <c r="B16" s="11" t="inlineStr">
        <is>
          <t>40-54</t>
        </is>
      </c>
      <c r="C16" s="12" t="n">
        <v>6477</v>
      </c>
      <c r="D16" s="12" t="n">
        <v>237</v>
      </c>
      <c r="E16" s="12" t="n">
        <v>265</v>
      </c>
      <c r="F16" s="12" t="n">
        <v>290</v>
      </c>
      <c r="G16" s="12" t="n">
        <v>229</v>
      </c>
      <c r="H16" s="12" t="n">
        <v>268</v>
      </c>
      <c r="I16" s="12" t="n">
        <v>333</v>
      </c>
      <c r="J16" s="12" t="n">
        <v>64</v>
      </c>
      <c r="K16" s="12" t="n">
        <v>249</v>
      </c>
      <c r="L16" s="12" t="n">
        <v>276</v>
      </c>
      <c r="M16" s="12" t="n">
        <v>263</v>
      </c>
      <c r="N16" s="12" t="n">
        <v>277</v>
      </c>
      <c r="O16" s="12" t="n">
        <v>233</v>
      </c>
      <c r="P16" s="12" t="n">
        <v>239</v>
      </c>
      <c r="Q16" s="12" t="n">
        <v>255</v>
      </c>
      <c r="R16" s="12" t="n">
        <v>125</v>
      </c>
      <c r="S16" s="12" t="n">
        <v>245</v>
      </c>
      <c r="T16" s="12" t="n">
        <v>245</v>
      </c>
      <c r="U16" s="12" t="n">
        <v>131</v>
      </c>
      <c r="V16" s="12" t="n">
        <v>280</v>
      </c>
      <c r="W16" s="12" t="n">
        <v>120</v>
      </c>
      <c r="X16" s="12" t="n">
        <v>226</v>
      </c>
      <c r="Y16" s="12" t="n">
        <v>237</v>
      </c>
      <c r="Z16" s="12" t="n">
        <v>269</v>
      </c>
      <c r="AA16" s="12" t="n">
        <v>259</v>
      </c>
      <c r="AB16" s="12" t="n">
        <v>282</v>
      </c>
      <c r="AC16" s="12" t="n">
        <v>260</v>
      </c>
      <c r="AD16" s="12" t="n">
        <v>276</v>
      </c>
      <c r="AE16" s="12" t="n">
        <v>219</v>
      </c>
      <c r="AF16" s="12" t="n">
        <v>251</v>
      </c>
    </row>
    <row r="17">
      <c r="A17" s="20" t="n"/>
      <c r="B17" s="13" t="inlineStr">
        <is>
          <t>40-54</t>
        </is>
      </c>
      <c r="C17" s="14" t="n">
        <v>0.25</v>
      </c>
      <c r="D17" s="14" t="n">
        <v>0.23</v>
      </c>
      <c r="E17" s="14" t="n">
        <v>0.26</v>
      </c>
      <c r="F17" s="14" t="n">
        <v>0.28</v>
      </c>
      <c r="G17" s="14" t="n">
        <v>0.23</v>
      </c>
      <c r="H17" s="14" t="n">
        <v>0.22</v>
      </c>
      <c r="I17" s="14" t="n">
        <v>0.22</v>
      </c>
      <c r="J17" s="14" t="n">
        <v>0.22</v>
      </c>
      <c r="K17" s="14" t="n">
        <v>0.25</v>
      </c>
      <c r="L17" s="14" t="n">
        <v>0.27</v>
      </c>
      <c r="M17" s="14" t="n">
        <v>0.26</v>
      </c>
      <c r="N17" s="14" t="n">
        <v>0.28</v>
      </c>
      <c r="O17" s="14" t="n">
        <v>0.23</v>
      </c>
      <c r="P17" s="14" t="n">
        <v>0.24</v>
      </c>
      <c r="Q17" s="14" t="n">
        <v>0.25</v>
      </c>
      <c r="R17" s="14" t="n">
        <v>0.25</v>
      </c>
      <c r="S17" s="14" t="n">
        <v>0.24</v>
      </c>
      <c r="T17" s="14" t="n">
        <v>0.24</v>
      </c>
      <c r="U17" s="14" t="n">
        <v>0.26</v>
      </c>
      <c r="V17" s="14" t="n">
        <v>0.28</v>
      </c>
      <c r="W17" s="14" t="n">
        <v>0.24</v>
      </c>
      <c r="X17" s="14" t="n">
        <v>0.22</v>
      </c>
      <c r="Y17" s="14" t="n">
        <v>0.24</v>
      </c>
      <c r="Z17" s="14" t="n">
        <v>0.26</v>
      </c>
      <c r="AA17" s="14" t="n">
        <v>0.25</v>
      </c>
      <c r="AB17" s="14" t="n">
        <v>0.27</v>
      </c>
      <c r="AC17" s="14" t="n">
        <v>0.26</v>
      </c>
      <c r="AD17" s="14" t="n">
        <v>0.27</v>
      </c>
      <c r="AE17" s="14" t="n">
        <v>0.22</v>
      </c>
      <c r="AF17" s="14" t="n">
        <v>0.24</v>
      </c>
    </row>
    <row r="18">
      <c r="A18" s="20" t="n"/>
      <c r="B18" s="11" t="inlineStr">
        <is>
          <t>55+</t>
        </is>
      </c>
      <c r="C18" s="12" t="n">
        <v>11009</v>
      </c>
      <c r="D18" s="12" t="n">
        <v>404</v>
      </c>
      <c r="E18" s="12" t="n">
        <v>446</v>
      </c>
      <c r="F18" s="12" t="n">
        <v>404</v>
      </c>
      <c r="G18" s="12" t="n">
        <v>416</v>
      </c>
      <c r="H18" s="12" t="n">
        <v>528</v>
      </c>
      <c r="I18" s="12" t="n">
        <v>667</v>
      </c>
      <c r="J18" s="12" t="n">
        <v>139</v>
      </c>
      <c r="K18" s="12" t="n">
        <v>394</v>
      </c>
      <c r="L18" s="12" t="n">
        <v>335</v>
      </c>
      <c r="M18" s="12" t="n">
        <v>435</v>
      </c>
      <c r="N18" s="12" t="n">
        <v>401</v>
      </c>
      <c r="O18" s="12" t="n">
        <v>417</v>
      </c>
      <c r="P18" s="12" t="n">
        <v>436</v>
      </c>
      <c r="Q18" s="12" t="n">
        <v>467</v>
      </c>
      <c r="R18" s="12" t="n">
        <v>178</v>
      </c>
      <c r="S18" s="12" t="n">
        <v>419</v>
      </c>
      <c r="T18" s="12" t="n">
        <v>418</v>
      </c>
      <c r="U18" s="12" t="n">
        <v>167</v>
      </c>
      <c r="V18" s="12" t="n">
        <v>391</v>
      </c>
      <c r="W18" s="12" t="n">
        <v>167</v>
      </c>
      <c r="X18" s="12" t="n">
        <v>413</v>
      </c>
      <c r="Y18" s="12" t="n">
        <v>407</v>
      </c>
      <c r="Z18" s="12" t="n">
        <v>392</v>
      </c>
      <c r="AA18" s="12" t="n">
        <v>451</v>
      </c>
      <c r="AB18" s="12" t="n">
        <v>405</v>
      </c>
      <c r="AC18" s="12" t="n">
        <v>422</v>
      </c>
      <c r="AD18" s="12" t="n">
        <v>368</v>
      </c>
      <c r="AE18" s="12" t="n">
        <v>432</v>
      </c>
      <c r="AF18" s="12" t="n">
        <v>446</v>
      </c>
    </row>
    <row r="19">
      <c r="A19" s="20" t="n"/>
      <c r="B19" s="13" t="inlineStr">
        <is>
          <t>55+</t>
        </is>
      </c>
      <c r="C19" s="14" t="n">
        <v>0.42</v>
      </c>
      <c r="D19" s="14" t="n">
        <v>0.4</v>
      </c>
      <c r="E19" s="14" t="n">
        <v>0.44</v>
      </c>
      <c r="F19" s="14" t="n">
        <v>0.38</v>
      </c>
      <c r="G19" s="14" t="n">
        <v>0.41</v>
      </c>
      <c r="H19" s="14" t="n">
        <v>0.44</v>
      </c>
      <c r="I19" s="14" t="n">
        <v>0.44</v>
      </c>
      <c r="J19" s="14" t="n">
        <v>0.47</v>
      </c>
      <c r="K19" s="14" t="n">
        <v>0.39</v>
      </c>
      <c r="L19" s="14" t="n">
        <v>0.33</v>
      </c>
      <c r="M19" s="14" t="n">
        <v>0.43</v>
      </c>
      <c r="N19" s="14" t="n">
        <v>0.4</v>
      </c>
      <c r="O19" s="14" t="n">
        <v>0.41</v>
      </c>
      <c r="P19" s="14" t="n">
        <v>0.43</v>
      </c>
      <c r="Q19" s="14" t="n">
        <v>0.45</v>
      </c>
      <c r="R19" s="14" t="n">
        <v>0.35</v>
      </c>
      <c r="S19" s="14" t="n">
        <v>0.42</v>
      </c>
      <c r="T19" s="14" t="n">
        <v>0.41</v>
      </c>
      <c r="U19" s="14" t="n">
        <v>0.33</v>
      </c>
      <c r="V19" s="14" t="n">
        <v>0.38</v>
      </c>
      <c r="W19" s="14" t="n">
        <v>0.33</v>
      </c>
      <c r="X19" s="14" t="n">
        <v>0.4</v>
      </c>
      <c r="Y19" s="14" t="n">
        <v>0.4</v>
      </c>
      <c r="Z19" s="14" t="n">
        <v>0.38</v>
      </c>
      <c r="AA19" s="14" t="n">
        <v>0.44</v>
      </c>
      <c r="AB19" s="14" t="n">
        <v>0.39</v>
      </c>
      <c r="AC19" s="14" t="n">
        <v>0.42</v>
      </c>
      <c r="AD19" s="14" t="n">
        <v>0.37</v>
      </c>
      <c r="AE19" s="14" t="n">
        <v>0.42</v>
      </c>
      <c r="AF19" s="14" t="n">
        <v>0.43</v>
      </c>
    </row>
    <row r="20">
      <c r="A20" s="20" t="n"/>
      <c r="B20" s="11" t="inlineStr">
        <is>
          <t>Moyenne</t>
        </is>
      </c>
      <c r="C20" s="12" t="n">
        <v>49.19</v>
      </c>
      <c r="D20" s="12" t="n">
        <v>47.84</v>
      </c>
      <c r="E20" s="12" t="n">
        <v>50.28</v>
      </c>
      <c r="F20" s="12" t="n">
        <v>48.51</v>
      </c>
      <c r="G20" s="12" t="n">
        <v>49.72</v>
      </c>
      <c r="H20" s="12" t="n">
        <v>49.47</v>
      </c>
      <c r="I20" s="12" t="n">
        <v>49.81</v>
      </c>
      <c r="J20" s="12" t="n">
        <v>51.19</v>
      </c>
      <c r="K20" s="12" t="n">
        <v>48.35</v>
      </c>
      <c r="L20" s="12" t="n">
        <v>46.25</v>
      </c>
      <c r="M20" s="12" t="n">
        <v>50.06</v>
      </c>
      <c r="N20" s="12" t="n">
        <v>48.97</v>
      </c>
      <c r="O20" s="12" t="n">
        <v>48.76</v>
      </c>
      <c r="P20" s="12" t="n">
        <v>49.19</v>
      </c>
      <c r="Q20" s="12" t="n">
        <v>50.18</v>
      </c>
      <c r="R20" s="12" t="n">
        <v>46.96</v>
      </c>
      <c r="S20" s="12" t="n">
        <v>49.38</v>
      </c>
      <c r="T20" s="12" t="n">
        <v>49.19</v>
      </c>
      <c r="U20" s="12" t="n">
        <v>46.06</v>
      </c>
      <c r="V20" s="12" t="n">
        <v>48.52</v>
      </c>
      <c r="W20" s="12" t="n">
        <v>46.72</v>
      </c>
      <c r="X20" s="12" t="n">
        <v>47.77</v>
      </c>
      <c r="Y20" s="12" t="n">
        <v>48.66</v>
      </c>
      <c r="Z20" s="12" t="n">
        <v>48.55</v>
      </c>
      <c r="AA20" s="12" t="n">
        <v>50.29</v>
      </c>
      <c r="AB20" s="12" t="n">
        <v>48.16</v>
      </c>
      <c r="AC20" s="12" t="n">
        <v>50.08</v>
      </c>
      <c r="AD20" s="12" t="n">
        <v>47.79</v>
      </c>
      <c r="AE20" s="12" t="n">
        <v>49.42</v>
      </c>
      <c r="AF20" s="12" t="n">
        <v>51.71</v>
      </c>
    </row>
    <row r="21">
      <c r="A21" s="23" t="n"/>
      <c r="B21" s="13" t="inlineStr">
        <is>
          <t>Average</t>
        </is>
      </c>
      <c r="C21" s="15" t="inlineStr">
        <is>
          <t>-</t>
        </is>
      </c>
      <c r="D21" s="15" t="inlineStr">
        <is>
          <t>-</t>
        </is>
      </c>
      <c r="E21" s="15" t="inlineStr">
        <is>
          <t>-</t>
        </is>
      </c>
      <c r="F21" s="15" t="inlineStr">
        <is>
          <t>-</t>
        </is>
      </c>
      <c r="G21" s="15" t="inlineStr">
        <is>
          <t>-</t>
        </is>
      </c>
      <c r="H21" s="15" t="inlineStr">
        <is>
          <t>-</t>
        </is>
      </c>
      <c r="I21" s="15" t="inlineStr">
        <is>
          <t>-</t>
        </is>
      </c>
      <c r="J21" s="15" t="inlineStr">
        <is>
          <t>-</t>
        </is>
      </c>
      <c r="K21" s="15" t="inlineStr">
        <is>
          <t>-</t>
        </is>
      </c>
      <c r="L21" s="15" t="inlineStr">
        <is>
          <t>-</t>
        </is>
      </c>
      <c r="M21" s="15" t="inlineStr">
        <is>
          <t>-</t>
        </is>
      </c>
      <c r="N21" s="15" t="inlineStr">
        <is>
          <t>-</t>
        </is>
      </c>
      <c r="O21" s="15" t="inlineStr">
        <is>
          <t>-</t>
        </is>
      </c>
      <c r="P21" s="15" t="inlineStr">
        <is>
          <t>-</t>
        </is>
      </c>
      <c r="Q21" s="15" t="inlineStr">
        <is>
          <t>-</t>
        </is>
      </c>
      <c r="R21" s="15" t="inlineStr">
        <is>
          <t>-</t>
        </is>
      </c>
      <c r="S21" s="15" t="inlineStr">
        <is>
          <t>-</t>
        </is>
      </c>
      <c r="T21" s="15" t="inlineStr">
        <is>
          <t>-</t>
        </is>
      </c>
      <c r="U21" s="15" t="inlineStr">
        <is>
          <t>-</t>
        </is>
      </c>
      <c r="V21" s="15" t="inlineStr">
        <is>
          <t>-</t>
        </is>
      </c>
      <c r="W21" s="15" t="inlineStr">
        <is>
          <t>-</t>
        </is>
      </c>
      <c r="X21" s="15" t="inlineStr">
        <is>
          <t>-</t>
        </is>
      </c>
      <c r="Y21" s="15" t="inlineStr">
        <is>
          <t>-</t>
        </is>
      </c>
      <c r="Z21" s="15" t="inlineStr">
        <is>
          <t>-</t>
        </is>
      </c>
      <c r="AA21" s="15" t="inlineStr">
        <is>
          <t>-</t>
        </is>
      </c>
      <c r="AB21" s="15" t="inlineStr">
        <is>
          <t>-</t>
        </is>
      </c>
      <c r="AC21" s="15" t="inlineStr">
        <is>
          <t>-</t>
        </is>
      </c>
      <c r="AD21" s="15" t="inlineStr">
        <is>
          <t>-</t>
        </is>
      </c>
      <c r="AE21" s="15" t="inlineStr">
        <is>
          <t>-</t>
        </is>
      </c>
      <c r="AF21" s="15" t="inlineStr">
        <is>
          <t>-</t>
        </is>
      </c>
    </row>
  </sheetData>
  <mergeCells count="9">
    <mergeCell ref="B4:F4"/>
    <mergeCell ref="H3:L3"/>
    <mergeCell ref="A10:A21"/>
    <mergeCell ref="C8:AF8"/>
    <mergeCell ref="B3:F3"/>
    <mergeCell ref="B5:F5"/>
    <mergeCell ref="H5:L5"/>
    <mergeCell ref="B10:B11"/>
    <mergeCell ref="H4:L4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12" customHeight="1" s="18">
      <c r="B3" s="21" t="inlineStr">
        <is>
          <t>D11R. Quel est votre âge ?</t>
        </is>
      </c>
      <c r="H3" s="21" t="inlineStr">
        <is>
          <t>D11R. How old are you?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HYPERLINK("#Content!A46","&lt;&lt;Back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15-24</t>
        </is>
      </c>
      <c r="C12" s="12" t="n">
        <v>3263</v>
      </c>
      <c r="D12" s="12" t="n">
        <v>143</v>
      </c>
      <c r="E12" s="12" t="n">
        <v>109</v>
      </c>
      <c r="F12" s="12" t="n">
        <v>127</v>
      </c>
      <c r="G12" s="12" t="n">
        <v>123</v>
      </c>
      <c r="H12" s="12" t="n">
        <v>144</v>
      </c>
      <c r="I12" s="12" t="n">
        <v>175</v>
      </c>
      <c r="J12" s="12" t="n">
        <v>31</v>
      </c>
      <c r="K12" s="12" t="n">
        <v>124</v>
      </c>
      <c r="L12" s="12" t="n">
        <v>157</v>
      </c>
      <c r="M12" s="12" t="n">
        <v>120</v>
      </c>
      <c r="N12" s="12" t="n">
        <v>125</v>
      </c>
      <c r="O12" s="12" t="n">
        <v>147</v>
      </c>
      <c r="P12" s="12" t="n">
        <v>119</v>
      </c>
      <c r="Q12" s="12" t="n">
        <v>117</v>
      </c>
      <c r="R12" s="12" t="n">
        <v>61</v>
      </c>
      <c r="S12" s="12" t="n">
        <v>120</v>
      </c>
      <c r="T12" s="12" t="n">
        <v>113</v>
      </c>
      <c r="U12" s="12" t="n">
        <v>67</v>
      </c>
      <c r="V12" s="12" t="n">
        <v>125</v>
      </c>
      <c r="W12" s="12" t="n">
        <v>56</v>
      </c>
      <c r="X12" s="12" t="n">
        <v>148</v>
      </c>
      <c r="Y12" s="12" t="n">
        <v>122</v>
      </c>
      <c r="Z12" s="12" t="n">
        <v>118</v>
      </c>
      <c r="AA12" s="12" t="n">
        <v>122</v>
      </c>
      <c r="AB12" s="12" t="n">
        <v>136</v>
      </c>
      <c r="AC12" s="12" t="n">
        <v>115</v>
      </c>
      <c r="AD12" s="12" t="n">
        <v>117</v>
      </c>
      <c r="AE12" s="12" t="n">
        <v>133</v>
      </c>
      <c r="AF12" s="12" t="n">
        <v>87</v>
      </c>
    </row>
    <row r="13">
      <c r="A13" s="20" t="n"/>
      <c r="B13" s="13" t="inlineStr">
        <is>
          <t>15-24</t>
        </is>
      </c>
      <c r="C13" s="14" t="n">
        <v>0.12</v>
      </c>
      <c r="D13" s="14" t="n">
        <v>0.14</v>
      </c>
      <c r="E13" s="14" t="n">
        <v>0.11</v>
      </c>
      <c r="F13" s="14" t="n">
        <v>0.12</v>
      </c>
      <c r="G13" s="14" t="n">
        <v>0.12</v>
      </c>
      <c r="H13" s="14" t="n">
        <v>0.12</v>
      </c>
      <c r="I13" s="14" t="n">
        <v>0.12</v>
      </c>
      <c r="J13" s="14" t="n">
        <v>0.11</v>
      </c>
      <c r="K13" s="14" t="n">
        <v>0.12</v>
      </c>
      <c r="L13" s="14" t="n">
        <v>0.16</v>
      </c>
      <c r="M13" s="14" t="n">
        <v>0.12</v>
      </c>
      <c r="N13" s="14" t="n">
        <v>0.12</v>
      </c>
      <c r="O13" s="14" t="n">
        <v>0.15</v>
      </c>
      <c r="P13" s="14" t="n">
        <v>0.12</v>
      </c>
      <c r="Q13" s="14" t="n">
        <v>0.11</v>
      </c>
      <c r="R13" s="14" t="n">
        <v>0.12</v>
      </c>
      <c r="S13" s="14" t="n">
        <v>0.12</v>
      </c>
      <c r="T13" s="14" t="n">
        <v>0.11</v>
      </c>
      <c r="U13" s="14" t="n">
        <v>0.13</v>
      </c>
      <c r="V13" s="14" t="n">
        <v>0.12</v>
      </c>
      <c r="W13" s="14" t="n">
        <v>0.11</v>
      </c>
      <c r="X13" s="14" t="n">
        <v>0.14</v>
      </c>
      <c r="Y13" s="14" t="n">
        <v>0.12</v>
      </c>
      <c r="Z13" s="14" t="n">
        <v>0.12</v>
      </c>
      <c r="AA13" s="14" t="n">
        <v>0.12</v>
      </c>
      <c r="AB13" s="14" t="n">
        <v>0.13</v>
      </c>
      <c r="AC13" s="14" t="n">
        <v>0.11</v>
      </c>
      <c r="AD13" s="14" t="n">
        <v>0.11</v>
      </c>
      <c r="AE13" s="14" t="n">
        <v>0.13</v>
      </c>
      <c r="AF13" s="14" t="n">
        <v>0.08</v>
      </c>
    </row>
    <row r="14">
      <c r="A14" s="20" t="n"/>
      <c r="B14" s="11" t="inlineStr">
        <is>
          <t>25-34</t>
        </is>
      </c>
      <c r="C14" s="12" t="n">
        <v>3498</v>
      </c>
      <c r="D14" s="12" t="n">
        <v>156</v>
      </c>
      <c r="E14" s="12" t="n">
        <v>110</v>
      </c>
      <c r="F14" s="12" t="n">
        <v>148</v>
      </c>
      <c r="G14" s="12" t="n">
        <v>123</v>
      </c>
      <c r="H14" s="12" t="n">
        <v>184</v>
      </c>
      <c r="I14" s="12" t="n">
        <v>211</v>
      </c>
      <c r="J14" s="12" t="n">
        <v>27</v>
      </c>
      <c r="K14" s="12" t="n">
        <v>133</v>
      </c>
      <c r="L14" s="12" t="n">
        <v>142</v>
      </c>
      <c r="M14" s="12" t="n">
        <v>107</v>
      </c>
      <c r="N14" s="12" t="n">
        <v>128</v>
      </c>
      <c r="O14" s="12" t="n">
        <v>147</v>
      </c>
      <c r="P14" s="12" t="n">
        <v>153</v>
      </c>
      <c r="Q14" s="12" t="n">
        <v>109</v>
      </c>
      <c r="R14" s="12" t="n">
        <v>85</v>
      </c>
      <c r="S14" s="12" t="n">
        <v>133</v>
      </c>
      <c r="T14" s="12" t="n">
        <v>152</v>
      </c>
      <c r="U14" s="12" t="n">
        <v>74</v>
      </c>
      <c r="V14" s="12" t="n">
        <v>136</v>
      </c>
      <c r="W14" s="12" t="n">
        <v>77</v>
      </c>
      <c r="X14" s="12" t="n">
        <v>166</v>
      </c>
      <c r="Y14" s="12" t="n">
        <v>141</v>
      </c>
      <c r="Z14" s="12" t="n">
        <v>135</v>
      </c>
      <c r="AA14" s="12" t="n">
        <v>126</v>
      </c>
      <c r="AB14" s="12" t="n">
        <v>143</v>
      </c>
      <c r="AC14" s="12" t="n">
        <v>116</v>
      </c>
      <c r="AD14" s="12" t="n">
        <v>131</v>
      </c>
      <c r="AE14" s="12" t="n">
        <v>150</v>
      </c>
      <c r="AF14" s="12" t="n">
        <v>108</v>
      </c>
    </row>
    <row r="15">
      <c r="A15" s="20" t="n"/>
      <c r="B15" s="13" t="inlineStr">
        <is>
          <t>25-34</t>
        </is>
      </c>
      <c r="C15" s="14" t="n">
        <v>0.13</v>
      </c>
      <c r="D15" s="14" t="n">
        <v>0.15</v>
      </c>
      <c r="E15" s="14" t="n">
        <v>0.11</v>
      </c>
      <c r="F15" s="14" t="n">
        <v>0.14</v>
      </c>
      <c r="G15" s="14" t="n">
        <v>0.12</v>
      </c>
      <c r="H15" s="14" t="n">
        <v>0.15</v>
      </c>
      <c r="I15" s="14" t="n">
        <v>0.14</v>
      </c>
      <c r="J15" s="14" t="n">
        <v>0.09</v>
      </c>
      <c r="K15" s="14" t="n">
        <v>0.13</v>
      </c>
      <c r="L15" s="14" t="n">
        <v>0.14</v>
      </c>
      <c r="M15" s="14" t="n">
        <v>0.11</v>
      </c>
      <c r="N15" s="14" t="n">
        <v>0.13</v>
      </c>
      <c r="O15" s="14" t="n">
        <v>0.15</v>
      </c>
      <c r="P15" s="14" t="n">
        <v>0.15</v>
      </c>
      <c r="Q15" s="14" t="n">
        <v>0.11</v>
      </c>
      <c r="R15" s="14" t="n">
        <v>0.17</v>
      </c>
      <c r="S15" s="14" t="n">
        <v>0.13</v>
      </c>
      <c r="T15" s="14" t="n">
        <v>0.15</v>
      </c>
      <c r="U15" s="14" t="n">
        <v>0.15</v>
      </c>
      <c r="V15" s="14" t="n">
        <v>0.13</v>
      </c>
      <c r="W15" s="14" t="n">
        <v>0.15</v>
      </c>
      <c r="X15" s="14" t="n">
        <v>0.16</v>
      </c>
      <c r="Y15" s="14" t="n">
        <v>0.14</v>
      </c>
      <c r="Z15" s="14" t="n">
        <v>0.13</v>
      </c>
      <c r="AA15" s="14" t="n">
        <v>0.12</v>
      </c>
      <c r="AB15" s="14" t="n">
        <v>0.14</v>
      </c>
      <c r="AC15" s="14" t="n">
        <v>0.12</v>
      </c>
      <c r="AD15" s="14" t="n">
        <v>0.13</v>
      </c>
      <c r="AE15" s="14" t="n">
        <v>0.15</v>
      </c>
      <c r="AF15" s="14" t="n">
        <v>0.11</v>
      </c>
    </row>
    <row r="16">
      <c r="A16" s="20" t="n"/>
      <c r="B16" s="11" t="inlineStr">
        <is>
          <t>35-44</t>
        </is>
      </c>
      <c r="C16" s="12" t="n">
        <v>4249</v>
      </c>
      <c r="D16" s="12" t="n">
        <v>138</v>
      </c>
      <c r="E16" s="12" t="n">
        <v>163</v>
      </c>
      <c r="F16" s="12" t="n">
        <v>162</v>
      </c>
      <c r="G16" s="12" t="n">
        <v>170</v>
      </c>
      <c r="H16" s="12" t="n">
        <v>175</v>
      </c>
      <c r="I16" s="12" t="n">
        <v>236</v>
      </c>
      <c r="J16" s="12" t="n">
        <v>61</v>
      </c>
      <c r="K16" s="12" t="n">
        <v>186</v>
      </c>
      <c r="L16" s="12" t="n">
        <v>185</v>
      </c>
      <c r="M16" s="12" t="n">
        <v>153</v>
      </c>
      <c r="N16" s="12" t="n">
        <v>159</v>
      </c>
      <c r="O16" s="12" t="n">
        <v>152</v>
      </c>
      <c r="P16" s="12" t="n">
        <v>137</v>
      </c>
      <c r="Q16" s="12" t="n">
        <v>161</v>
      </c>
      <c r="R16" s="12" t="n">
        <v>99</v>
      </c>
      <c r="S16" s="12" t="n">
        <v>171</v>
      </c>
      <c r="T16" s="12" t="n">
        <v>163</v>
      </c>
      <c r="U16" s="12" t="n">
        <v>108</v>
      </c>
      <c r="V16" s="12" t="n">
        <v>167</v>
      </c>
      <c r="W16" s="12" t="n">
        <v>127</v>
      </c>
      <c r="X16" s="12" t="n">
        <v>146</v>
      </c>
      <c r="Y16" s="12" t="n">
        <v>187</v>
      </c>
      <c r="Z16" s="12" t="n">
        <v>201</v>
      </c>
      <c r="AA16" s="12" t="n">
        <v>155</v>
      </c>
      <c r="AB16" s="12" t="n">
        <v>166</v>
      </c>
      <c r="AC16" s="12" t="n">
        <v>171</v>
      </c>
      <c r="AD16" s="12" t="n">
        <v>198</v>
      </c>
      <c r="AE16" s="12" t="n">
        <v>159</v>
      </c>
      <c r="AF16" s="12" t="n">
        <v>211</v>
      </c>
    </row>
    <row r="17">
      <c r="A17" s="20" t="n"/>
      <c r="B17" s="13" t="inlineStr">
        <is>
          <t>35-44</t>
        </is>
      </c>
      <c r="C17" s="14" t="n">
        <v>0.16</v>
      </c>
      <c r="D17" s="14" t="n">
        <v>0.14</v>
      </c>
      <c r="E17" s="14" t="n">
        <v>0.16</v>
      </c>
      <c r="F17" s="14" t="n">
        <v>0.16</v>
      </c>
      <c r="G17" s="14" t="n">
        <v>0.17</v>
      </c>
      <c r="H17" s="14" t="n">
        <v>0.15</v>
      </c>
      <c r="I17" s="14" t="n">
        <v>0.16</v>
      </c>
      <c r="J17" s="14" t="n">
        <v>0.21</v>
      </c>
      <c r="K17" s="14" t="n">
        <v>0.19</v>
      </c>
      <c r="L17" s="14" t="n">
        <v>0.18</v>
      </c>
      <c r="M17" s="14" t="n">
        <v>0.15</v>
      </c>
      <c r="N17" s="14" t="n">
        <v>0.16</v>
      </c>
      <c r="O17" s="14" t="n">
        <v>0.15</v>
      </c>
      <c r="P17" s="14" t="n">
        <v>0.14</v>
      </c>
      <c r="Q17" s="14" t="n">
        <v>0.16</v>
      </c>
      <c r="R17" s="14" t="n">
        <v>0.2</v>
      </c>
      <c r="S17" s="14" t="n">
        <v>0.17</v>
      </c>
      <c r="T17" s="14" t="n">
        <v>0.16</v>
      </c>
      <c r="U17" s="14" t="n">
        <v>0.21</v>
      </c>
      <c r="V17" s="14" t="n">
        <v>0.16</v>
      </c>
      <c r="W17" s="14" t="n">
        <v>0.25</v>
      </c>
      <c r="X17" s="14" t="n">
        <v>0.14</v>
      </c>
      <c r="Y17" s="14" t="n">
        <v>0.19</v>
      </c>
      <c r="Z17" s="14" t="n">
        <v>0.2</v>
      </c>
      <c r="AA17" s="14" t="n">
        <v>0.15</v>
      </c>
      <c r="AB17" s="14" t="n">
        <v>0.16</v>
      </c>
      <c r="AC17" s="14" t="n">
        <v>0.17</v>
      </c>
      <c r="AD17" s="14" t="n">
        <v>0.2</v>
      </c>
      <c r="AE17" s="14" t="n">
        <v>0.16</v>
      </c>
      <c r="AF17" s="14" t="n">
        <v>0.2</v>
      </c>
    </row>
    <row r="18">
      <c r="A18" s="20" t="n"/>
      <c r="B18" s="11" t="inlineStr">
        <is>
          <t>45-54</t>
        </is>
      </c>
      <c r="C18" s="12" t="n">
        <v>4401</v>
      </c>
      <c r="D18" s="12" t="n">
        <v>180</v>
      </c>
      <c r="E18" s="12" t="n">
        <v>187</v>
      </c>
      <c r="F18" s="12" t="n">
        <v>208</v>
      </c>
      <c r="G18" s="12" t="n">
        <v>176</v>
      </c>
      <c r="H18" s="12" t="n">
        <v>182</v>
      </c>
      <c r="I18" s="12" t="n">
        <v>218</v>
      </c>
      <c r="J18" s="12" t="n">
        <v>36</v>
      </c>
      <c r="K18" s="12" t="n">
        <v>168</v>
      </c>
      <c r="L18" s="12" t="n">
        <v>191</v>
      </c>
      <c r="M18" s="12" t="n">
        <v>191</v>
      </c>
      <c r="N18" s="12" t="n">
        <v>193</v>
      </c>
      <c r="O18" s="12" t="n">
        <v>153</v>
      </c>
      <c r="P18" s="12" t="n">
        <v>161</v>
      </c>
      <c r="Q18" s="12" t="n">
        <v>175</v>
      </c>
      <c r="R18" s="12" t="n">
        <v>81</v>
      </c>
      <c r="S18" s="12" t="n">
        <v>161</v>
      </c>
      <c r="T18" s="12" t="n">
        <v>170</v>
      </c>
      <c r="U18" s="12" t="n">
        <v>92</v>
      </c>
      <c r="V18" s="12" t="n">
        <v>200</v>
      </c>
      <c r="W18" s="12" t="n">
        <v>79</v>
      </c>
      <c r="X18" s="12" t="n">
        <v>151</v>
      </c>
      <c r="Y18" s="12" t="n">
        <v>146</v>
      </c>
      <c r="Z18" s="12" t="n">
        <v>175</v>
      </c>
      <c r="AA18" s="12" t="n">
        <v>177</v>
      </c>
      <c r="AB18" s="12" t="n">
        <v>196</v>
      </c>
      <c r="AC18" s="12" t="n">
        <v>183</v>
      </c>
      <c r="AD18" s="12" t="n">
        <v>187</v>
      </c>
      <c r="AE18" s="12" t="n">
        <v>142</v>
      </c>
      <c r="AF18" s="12" t="n">
        <v>185</v>
      </c>
    </row>
    <row r="19">
      <c r="A19" s="20" t="n"/>
      <c r="B19" s="13" t="inlineStr">
        <is>
          <t>45-54</t>
        </is>
      </c>
      <c r="C19" s="14" t="n">
        <v>0.17</v>
      </c>
      <c r="D19" s="14" t="n">
        <v>0.18</v>
      </c>
      <c r="E19" s="14" t="n">
        <v>0.18</v>
      </c>
      <c r="F19" s="14" t="n">
        <v>0.2</v>
      </c>
      <c r="G19" s="14" t="n">
        <v>0.18</v>
      </c>
      <c r="H19" s="14" t="n">
        <v>0.15</v>
      </c>
      <c r="I19" s="14" t="n">
        <v>0.14</v>
      </c>
      <c r="J19" s="14" t="n">
        <v>0.12</v>
      </c>
      <c r="K19" s="14" t="n">
        <v>0.17</v>
      </c>
      <c r="L19" s="14" t="n">
        <v>0.19</v>
      </c>
      <c r="M19" s="14" t="n">
        <v>0.19</v>
      </c>
      <c r="N19" s="14" t="n">
        <v>0.19</v>
      </c>
      <c r="O19" s="14" t="n">
        <v>0.15</v>
      </c>
      <c r="P19" s="14" t="n">
        <v>0.16</v>
      </c>
      <c r="Q19" s="14" t="n">
        <v>0.17</v>
      </c>
      <c r="R19" s="14" t="n">
        <v>0.16</v>
      </c>
      <c r="S19" s="14" t="n">
        <v>0.16</v>
      </c>
      <c r="T19" s="14" t="n">
        <v>0.17</v>
      </c>
      <c r="U19" s="14" t="n">
        <v>0.18</v>
      </c>
      <c r="V19" s="14" t="n">
        <v>0.2</v>
      </c>
      <c r="W19" s="14" t="n">
        <v>0.16</v>
      </c>
      <c r="X19" s="14" t="n">
        <v>0.15</v>
      </c>
      <c r="Y19" s="14" t="n">
        <v>0.15</v>
      </c>
      <c r="Z19" s="14" t="n">
        <v>0.17</v>
      </c>
      <c r="AA19" s="14" t="n">
        <v>0.17</v>
      </c>
      <c r="AB19" s="14" t="n">
        <v>0.19</v>
      </c>
      <c r="AC19" s="14" t="n">
        <v>0.18</v>
      </c>
      <c r="AD19" s="14" t="n">
        <v>0.19</v>
      </c>
      <c r="AE19" s="14" t="n">
        <v>0.14</v>
      </c>
      <c r="AF19" s="14" t="n">
        <v>0.18</v>
      </c>
    </row>
    <row r="20">
      <c r="A20" s="20" t="n"/>
      <c r="B20" s="11" t="inlineStr">
        <is>
          <t>55-64</t>
        </is>
      </c>
      <c r="C20" s="12" t="n">
        <v>4303</v>
      </c>
      <c r="D20" s="12" t="n">
        <v>161</v>
      </c>
      <c r="E20" s="12" t="n">
        <v>165</v>
      </c>
      <c r="F20" s="12" t="n">
        <v>148</v>
      </c>
      <c r="G20" s="12" t="n">
        <v>162</v>
      </c>
      <c r="H20" s="12" t="n">
        <v>221</v>
      </c>
      <c r="I20" s="12" t="n">
        <v>274</v>
      </c>
      <c r="J20" s="12" t="n">
        <v>53</v>
      </c>
      <c r="K20" s="12" t="n">
        <v>149</v>
      </c>
      <c r="L20" s="12" t="n">
        <v>143</v>
      </c>
      <c r="M20" s="12" t="n">
        <v>165</v>
      </c>
      <c r="N20" s="12" t="n">
        <v>164</v>
      </c>
      <c r="O20" s="12" t="n">
        <v>155</v>
      </c>
      <c r="P20" s="12" t="n">
        <v>167</v>
      </c>
      <c r="Q20" s="12" t="n">
        <v>182</v>
      </c>
      <c r="R20" s="12" t="n">
        <v>72</v>
      </c>
      <c r="S20" s="12" t="n">
        <v>165</v>
      </c>
      <c r="T20" s="12" t="n">
        <v>176</v>
      </c>
      <c r="U20" s="12" t="n">
        <v>77</v>
      </c>
      <c r="V20" s="12" t="n">
        <v>145</v>
      </c>
      <c r="W20" s="12" t="n">
        <v>61</v>
      </c>
      <c r="X20" s="12" t="n">
        <v>166</v>
      </c>
      <c r="Y20" s="12" t="n">
        <v>175</v>
      </c>
      <c r="Z20" s="12" t="n">
        <v>145</v>
      </c>
      <c r="AA20" s="12" t="n">
        <v>166</v>
      </c>
      <c r="AB20" s="12" t="n">
        <v>156</v>
      </c>
      <c r="AC20" s="12" t="n">
        <v>165</v>
      </c>
      <c r="AD20" s="12" t="n">
        <v>150</v>
      </c>
      <c r="AE20" s="12" t="n">
        <v>153</v>
      </c>
      <c r="AF20" s="12" t="n">
        <v>163</v>
      </c>
    </row>
    <row r="21">
      <c r="A21" s="20" t="n"/>
      <c r="B21" s="13" t="inlineStr">
        <is>
          <t>55-64</t>
        </is>
      </c>
      <c r="C21" s="14" t="n">
        <v>0.16</v>
      </c>
      <c r="D21" s="14" t="n">
        <v>0.16</v>
      </c>
      <c r="E21" s="14" t="n">
        <v>0.16</v>
      </c>
      <c r="F21" s="14" t="n">
        <v>0.14</v>
      </c>
      <c r="G21" s="14" t="n">
        <v>0.16</v>
      </c>
      <c r="H21" s="14" t="n">
        <v>0.18</v>
      </c>
      <c r="I21" s="14" t="n">
        <v>0.18</v>
      </c>
      <c r="J21" s="14" t="n">
        <v>0.18</v>
      </c>
      <c r="K21" s="14" t="n">
        <v>0.15</v>
      </c>
      <c r="L21" s="14" t="n">
        <v>0.14</v>
      </c>
      <c r="M21" s="14" t="n">
        <v>0.16</v>
      </c>
      <c r="N21" s="14" t="n">
        <v>0.16</v>
      </c>
      <c r="O21" s="14" t="n">
        <v>0.15</v>
      </c>
      <c r="P21" s="14" t="n">
        <v>0.17</v>
      </c>
      <c r="Q21" s="14" t="n">
        <v>0.18</v>
      </c>
      <c r="R21" s="14" t="n">
        <v>0.14</v>
      </c>
      <c r="S21" s="14" t="n">
        <v>0.16</v>
      </c>
      <c r="T21" s="14" t="n">
        <v>0.17</v>
      </c>
      <c r="U21" s="14" t="n">
        <v>0.15</v>
      </c>
      <c r="V21" s="14" t="n">
        <v>0.14</v>
      </c>
      <c r="W21" s="14" t="n">
        <v>0.12</v>
      </c>
      <c r="X21" s="14" t="n">
        <v>0.16</v>
      </c>
      <c r="Y21" s="14" t="n">
        <v>0.17</v>
      </c>
      <c r="Z21" s="14" t="n">
        <v>0.14</v>
      </c>
      <c r="AA21" s="14" t="n">
        <v>0.16</v>
      </c>
      <c r="AB21" s="14" t="n">
        <v>0.15</v>
      </c>
      <c r="AC21" s="14" t="n">
        <v>0.16</v>
      </c>
      <c r="AD21" s="14" t="n">
        <v>0.15</v>
      </c>
      <c r="AE21" s="14" t="n">
        <v>0.15</v>
      </c>
      <c r="AF21" s="14" t="n">
        <v>0.16</v>
      </c>
    </row>
    <row r="22">
      <c r="A22" s="20" t="n"/>
      <c r="B22" s="11" t="inlineStr">
        <is>
          <t>65-74</t>
        </is>
      </c>
      <c r="C22" s="12" t="n">
        <v>4190</v>
      </c>
      <c r="D22" s="12" t="n">
        <v>167</v>
      </c>
      <c r="E22" s="12" t="n">
        <v>203</v>
      </c>
      <c r="F22" s="12" t="n">
        <v>178</v>
      </c>
      <c r="G22" s="12" t="n">
        <v>139</v>
      </c>
      <c r="H22" s="12" t="n">
        <v>181</v>
      </c>
      <c r="I22" s="12" t="n">
        <v>238</v>
      </c>
      <c r="J22" s="12" t="n">
        <v>57</v>
      </c>
      <c r="K22" s="12" t="n">
        <v>155</v>
      </c>
      <c r="L22" s="12" t="n">
        <v>114</v>
      </c>
      <c r="M22" s="12" t="n">
        <v>166</v>
      </c>
      <c r="N22" s="12" t="n">
        <v>129</v>
      </c>
      <c r="O22" s="12" t="n">
        <v>147</v>
      </c>
      <c r="P22" s="12" t="n">
        <v>204</v>
      </c>
      <c r="Q22" s="12" t="n">
        <v>210</v>
      </c>
      <c r="R22" s="12" t="n">
        <v>60</v>
      </c>
      <c r="S22" s="12" t="n">
        <v>146</v>
      </c>
      <c r="T22" s="12" t="n">
        <v>133</v>
      </c>
      <c r="U22" s="12" t="n">
        <v>61</v>
      </c>
      <c r="V22" s="12" t="n">
        <v>167</v>
      </c>
      <c r="W22" s="12" t="n">
        <v>60</v>
      </c>
      <c r="X22" s="12" t="n">
        <v>169</v>
      </c>
      <c r="Y22" s="12" t="n">
        <v>138</v>
      </c>
      <c r="Z22" s="12" t="n">
        <v>160</v>
      </c>
      <c r="AA22" s="12" t="n">
        <v>165</v>
      </c>
      <c r="AB22" s="12" t="n">
        <v>171</v>
      </c>
      <c r="AC22" s="12" t="n">
        <v>145</v>
      </c>
      <c r="AD22" s="12" t="n">
        <v>159</v>
      </c>
      <c r="AE22" s="12" t="n">
        <v>173</v>
      </c>
      <c r="AF22" s="12" t="n">
        <v>126</v>
      </c>
    </row>
    <row r="23">
      <c r="A23" s="20" t="n"/>
      <c r="B23" s="13" t="inlineStr">
        <is>
          <t>65-74</t>
        </is>
      </c>
      <c r="C23" s="14" t="n">
        <v>0.16</v>
      </c>
      <c r="D23" s="14" t="n">
        <v>0.16</v>
      </c>
      <c r="E23" s="14" t="n">
        <v>0.2</v>
      </c>
      <c r="F23" s="14" t="n">
        <v>0.17</v>
      </c>
      <c r="G23" s="14" t="n">
        <v>0.14</v>
      </c>
      <c r="H23" s="14" t="n">
        <v>0.15</v>
      </c>
      <c r="I23" s="14" t="n">
        <v>0.16</v>
      </c>
      <c r="J23" s="14" t="n">
        <v>0.19</v>
      </c>
      <c r="K23" s="14" t="n">
        <v>0.15</v>
      </c>
      <c r="L23" s="14" t="n">
        <v>0.11</v>
      </c>
      <c r="M23" s="14" t="n">
        <v>0.17</v>
      </c>
      <c r="N23" s="14" t="n">
        <v>0.13</v>
      </c>
      <c r="O23" s="14" t="n">
        <v>0.14</v>
      </c>
      <c r="P23" s="14" t="n">
        <v>0.2</v>
      </c>
      <c r="Q23" s="14" t="n">
        <v>0.2</v>
      </c>
      <c r="R23" s="14" t="n">
        <v>0.12</v>
      </c>
      <c r="S23" s="14" t="n">
        <v>0.15</v>
      </c>
      <c r="T23" s="14" t="n">
        <v>0.13</v>
      </c>
      <c r="U23" s="14" t="n">
        <v>0.12</v>
      </c>
      <c r="V23" s="14" t="n">
        <v>0.17</v>
      </c>
      <c r="W23" s="14" t="n">
        <v>0.12</v>
      </c>
      <c r="X23" s="14" t="n">
        <v>0.17</v>
      </c>
      <c r="Y23" s="14" t="n">
        <v>0.14</v>
      </c>
      <c r="Z23" s="14" t="n">
        <v>0.16</v>
      </c>
      <c r="AA23" s="14" t="n">
        <v>0.16</v>
      </c>
      <c r="AB23" s="14" t="n">
        <v>0.16</v>
      </c>
      <c r="AC23" s="14" t="n">
        <v>0.15</v>
      </c>
      <c r="AD23" s="14" t="n">
        <v>0.16</v>
      </c>
      <c r="AE23" s="14" t="n">
        <v>0.17</v>
      </c>
      <c r="AF23" s="14" t="n">
        <v>0.12</v>
      </c>
    </row>
    <row r="24">
      <c r="A24" s="20" t="n"/>
      <c r="B24" s="11" t="inlineStr">
        <is>
          <t>75+</t>
        </is>
      </c>
      <c r="C24" s="12" t="n">
        <v>2516</v>
      </c>
      <c r="D24" s="12" t="n">
        <v>76</v>
      </c>
      <c r="E24" s="12" t="n">
        <v>78</v>
      </c>
      <c r="F24" s="12" t="n">
        <v>78</v>
      </c>
      <c r="G24" s="12" t="n">
        <v>115</v>
      </c>
      <c r="H24" s="12" t="n">
        <v>126</v>
      </c>
      <c r="I24" s="12" t="n">
        <v>155</v>
      </c>
      <c r="J24" s="12" t="n">
        <v>29</v>
      </c>
      <c r="K24" s="12" t="n">
        <v>91</v>
      </c>
      <c r="L24" s="12" t="n">
        <v>78</v>
      </c>
      <c r="M24" s="12" t="n">
        <v>104</v>
      </c>
      <c r="N24" s="12" t="n">
        <v>108</v>
      </c>
      <c r="O24" s="12" t="n">
        <v>116</v>
      </c>
      <c r="P24" s="12" t="n">
        <v>66</v>
      </c>
      <c r="Q24" s="12" t="n">
        <v>75</v>
      </c>
      <c r="R24" s="12" t="n">
        <v>45</v>
      </c>
      <c r="S24" s="12" t="n">
        <v>108</v>
      </c>
      <c r="T24" s="12" t="n">
        <v>109</v>
      </c>
      <c r="U24" s="12" t="n">
        <v>30</v>
      </c>
      <c r="V24" s="12" t="n">
        <v>80</v>
      </c>
      <c r="W24" s="12" t="n">
        <v>45</v>
      </c>
      <c r="X24" s="12" t="n">
        <v>78</v>
      </c>
      <c r="Y24" s="12" t="n">
        <v>95</v>
      </c>
      <c r="Z24" s="12" t="n">
        <v>87</v>
      </c>
      <c r="AA24" s="12" t="n">
        <v>120</v>
      </c>
      <c r="AB24" s="12" t="n">
        <v>78</v>
      </c>
      <c r="AC24" s="12" t="n">
        <v>112</v>
      </c>
      <c r="AD24" s="12" t="n">
        <v>59</v>
      </c>
      <c r="AE24" s="12" t="n">
        <v>106</v>
      </c>
      <c r="AF24" s="12" t="n">
        <v>157</v>
      </c>
    </row>
    <row r="25">
      <c r="A25" s="20" t="n"/>
      <c r="B25" s="13" t="inlineStr">
        <is>
          <t>75+</t>
        </is>
      </c>
      <c r="C25" s="14" t="n">
        <v>0.1</v>
      </c>
      <c r="D25" s="14" t="n">
        <v>0.07000000000000001</v>
      </c>
      <c r="E25" s="14" t="n">
        <v>0.08</v>
      </c>
      <c r="F25" s="14" t="n">
        <v>0.07000000000000001</v>
      </c>
      <c r="G25" s="14" t="n">
        <v>0.11</v>
      </c>
      <c r="H25" s="14" t="n">
        <v>0.1</v>
      </c>
      <c r="I25" s="14" t="n">
        <v>0.1</v>
      </c>
      <c r="J25" s="14" t="n">
        <v>0.1</v>
      </c>
      <c r="K25" s="14" t="n">
        <v>0.09</v>
      </c>
      <c r="L25" s="14" t="n">
        <v>0.08</v>
      </c>
      <c r="M25" s="14" t="n">
        <v>0.1</v>
      </c>
      <c r="N25" s="14" t="n">
        <v>0.11</v>
      </c>
      <c r="O25" s="14" t="n">
        <v>0.11</v>
      </c>
      <c r="P25" s="14" t="n">
        <v>0.06</v>
      </c>
      <c r="Q25" s="14" t="n">
        <v>0.07000000000000001</v>
      </c>
      <c r="R25" s="14" t="n">
        <v>0.09</v>
      </c>
      <c r="S25" s="14" t="n">
        <v>0.11</v>
      </c>
      <c r="T25" s="14" t="n">
        <v>0.11</v>
      </c>
      <c r="U25" s="14" t="n">
        <v>0.06</v>
      </c>
      <c r="V25" s="14" t="n">
        <v>0.08</v>
      </c>
      <c r="W25" s="14" t="n">
        <v>0.09</v>
      </c>
      <c r="X25" s="14" t="n">
        <v>0.08</v>
      </c>
      <c r="Y25" s="14" t="n">
        <v>0.09</v>
      </c>
      <c r="Z25" s="14" t="n">
        <v>0.08</v>
      </c>
      <c r="AA25" s="14" t="n">
        <v>0.12</v>
      </c>
      <c r="AB25" s="14" t="n">
        <v>0.07000000000000001</v>
      </c>
      <c r="AC25" s="14" t="n">
        <v>0.11</v>
      </c>
      <c r="AD25" s="14" t="n">
        <v>0.06</v>
      </c>
      <c r="AE25" s="14" t="n">
        <v>0.1</v>
      </c>
      <c r="AF25" s="14" t="n">
        <v>0.15</v>
      </c>
    </row>
    <row r="26">
      <c r="A26" s="20" t="n"/>
      <c r="B26" s="11" t="inlineStr">
        <is>
          <t>Moyenne</t>
        </is>
      </c>
      <c r="C26" s="12" t="n">
        <v>49.19</v>
      </c>
      <c r="D26" s="12" t="n">
        <v>47.84</v>
      </c>
      <c r="E26" s="12" t="n">
        <v>50.28</v>
      </c>
      <c r="F26" s="12" t="n">
        <v>48.51</v>
      </c>
      <c r="G26" s="12" t="n">
        <v>49.72</v>
      </c>
      <c r="H26" s="12" t="n">
        <v>49.47</v>
      </c>
      <c r="I26" s="12" t="n">
        <v>49.81</v>
      </c>
      <c r="J26" s="12" t="n">
        <v>51.19</v>
      </c>
      <c r="K26" s="12" t="n">
        <v>48.35</v>
      </c>
      <c r="L26" s="12" t="n">
        <v>46.25</v>
      </c>
      <c r="M26" s="12" t="n">
        <v>50.06</v>
      </c>
      <c r="N26" s="12" t="n">
        <v>48.97</v>
      </c>
      <c r="O26" s="12" t="n">
        <v>48.76</v>
      </c>
      <c r="P26" s="12" t="n">
        <v>49.19</v>
      </c>
      <c r="Q26" s="12" t="n">
        <v>50.18</v>
      </c>
      <c r="R26" s="12" t="n">
        <v>46.96</v>
      </c>
      <c r="S26" s="12" t="n">
        <v>49.38</v>
      </c>
      <c r="T26" s="12" t="n">
        <v>49.19</v>
      </c>
      <c r="U26" s="12" t="n">
        <v>46.06</v>
      </c>
      <c r="V26" s="12" t="n">
        <v>48.52</v>
      </c>
      <c r="W26" s="12" t="n">
        <v>46.72</v>
      </c>
      <c r="X26" s="12" t="n">
        <v>47.77</v>
      </c>
      <c r="Y26" s="12" t="n">
        <v>48.66</v>
      </c>
      <c r="Z26" s="12" t="n">
        <v>48.55</v>
      </c>
      <c r="AA26" s="12" t="n">
        <v>50.29</v>
      </c>
      <c r="AB26" s="12" t="n">
        <v>48.16</v>
      </c>
      <c r="AC26" s="12" t="n">
        <v>50.08</v>
      </c>
      <c r="AD26" s="12" t="n">
        <v>47.79</v>
      </c>
      <c r="AE26" s="12" t="n">
        <v>49.42</v>
      </c>
      <c r="AF26" s="12" t="n">
        <v>51.71</v>
      </c>
    </row>
    <row r="27">
      <c r="A27" s="23" t="n"/>
      <c r="B27" s="13" t="inlineStr">
        <is>
          <t>Average</t>
        </is>
      </c>
      <c r="C27" s="15" t="inlineStr">
        <is>
          <t>-</t>
        </is>
      </c>
      <c r="D27" s="15" t="inlineStr">
        <is>
          <t>-</t>
        </is>
      </c>
      <c r="E27" s="15" t="inlineStr">
        <is>
          <t>-</t>
        </is>
      </c>
      <c r="F27" s="15" t="inlineStr">
        <is>
          <t>-</t>
        </is>
      </c>
      <c r="G27" s="15" t="inlineStr">
        <is>
          <t>-</t>
        </is>
      </c>
      <c r="H27" s="15" t="inlineStr">
        <is>
          <t>-</t>
        </is>
      </c>
      <c r="I27" s="15" t="inlineStr">
        <is>
          <t>-</t>
        </is>
      </c>
      <c r="J27" s="15" t="inlineStr">
        <is>
          <t>-</t>
        </is>
      </c>
      <c r="K27" s="15" t="inlineStr">
        <is>
          <t>-</t>
        </is>
      </c>
      <c r="L27" s="15" t="inlineStr">
        <is>
          <t>-</t>
        </is>
      </c>
      <c r="M27" s="15" t="inlineStr">
        <is>
          <t>-</t>
        </is>
      </c>
      <c r="N27" s="15" t="inlineStr">
        <is>
          <t>-</t>
        </is>
      </c>
      <c r="O27" s="15" t="inlineStr">
        <is>
          <t>-</t>
        </is>
      </c>
      <c r="P27" s="15" t="inlineStr">
        <is>
          <t>-</t>
        </is>
      </c>
      <c r="Q27" s="15" t="inlineStr">
        <is>
          <t>-</t>
        </is>
      </c>
      <c r="R27" s="15" t="inlineStr">
        <is>
          <t>-</t>
        </is>
      </c>
      <c r="S27" s="15" t="inlineStr">
        <is>
          <t>-</t>
        </is>
      </c>
      <c r="T27" s="15" t="inlineStr">
        <is>
          <t>-</t>
        </is>
      </c>
      <c r="U27" s="15" t="inlineStr">
        <is>
          <t>-</t>
        </is>
      </c>
      <c r="V27" s="15" t="inlineStr">
        <is>
          <t>-</t>
        </is>
      </c>
      <c r="W27" s="15" t="inlineStr">
        <is>
          <t>-</t>
        </is>
      </c>
      <c r="X27" s="15" t="inlineStr">
        <is>
          <t>-</t>
        </is>
      </c>
      <c r="Y27" s="15" t="inlineStr">
        <is>
          <t>-</t>
        </is>
      </c>
      <c r="Z27" s="15" t="inlineStr">
        <is>
          <t>-</t>
        </is>
      </c>
      <c r="AA27" s="15" t="inlineStr">
        <is>
          <t>-</t>
        </is>
      </c>
      <c r="AB27" s="15" t="inlineStr">
        <is>
          <t>-</t>
        </is>
      </c>
      <c r="AC27" s="15" t="inlineStr">
        <is>
          <t>-</t>
        </is>
      </c>
      <c r="AD27" s="15" t="inlineStr">
        <is>
          <t>-</t>
        </is>
      </c>
      <c r="AE27" s="15" t="inlineStr">
        <is>
          <t>-</t>
        </is>
      </c>
      <c r="AF27" s="15" t="inlineStr">
        <is>
          <t>-</t>
        </is>
      </c>
    </row>
  </sheetData>
  <mergeCells count="9">
    <mergeCell ref="B4:F4"/>
    <mergeCell ref="H5:L5"/>
    <mergeCell ref="H3:L3"/>
    <mergeCell ref="C8:AF8"/>
    <mergeCell ref="B3:F3"/>
    <mergeCell ref="B5:F5"/>
    <mergeCell ref="A10:A27"/>
    <mergeCell ref="B10:B11"/>
    <mergeCell ref="H4:L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F19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12" customHeight="1" s="18">
      <c r="B3" s="21" t="inlineStr">
        <is>
          <t>D11bis. Quel est votre âge ?</t>
        </is>
      </c>
      <c r="H3" s="21" t="inlineStr">
        <is>
          <t>D11bis. How old are you?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HYPERLINK("#Content!A47","&lt;&lt;Back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15-30</t>
        </is>
      </c>
      <c r="C12" s="12" t="n">
        <v>5454</v>
      </c>
      <c r="D12" s="12" t="n">
        <v>233</v>
      </c>
      <c r="E12" s="12" t="n">
        <v>172</v>
      </c>
      <c r="F12" s="12" t="n">
        <v>207</v>
      </c>
      <c r="G12" s="12" t="n">
        <v>160</v>
      </c>
      <c r="H12" s="12" t="n">
        <v>278</v>
      </c>
      <c r="I12" s="12" t="n">
        <v>326</v>
      </c>
      <c r="J12" s="12" t="n">
        <v>48</v>
      </c>
      <c r="K12" s="12" t="n">
        <v>198</v>
      </c>
      <c r="L12" s="12" t="n">
        <v>247</v>
      </c>
      <c r="M12" s="12" t="n">
        <v>184</v>
      </c>
      <c r="N12" s="12" t="n">
        <v>208</v>
      </c>
      <c r="O12" s="12" t="n">
        <v>241</v>
      </c>
      <c r="P12" s="12" t="n">
        <v>214</v>
      </c>
      <c r="Q12" s="12" t="n">
        <v>187</v>
      </c>
      <c r="R12" s="12" t="n">
        <v>108</v>
      </c>
      <c r="S12" s="12" t="n">
        <v>189</v>
      </c>
      <c r="T12" s="12" t="n">
        <v>182</v>
      </c>
      <c r="U12" s="12" t="n">
        <v>113</v>
      </c>
      <c r="V12" s="12" t="n">
        <v>198</v>
      </c>
      <c r="W12" s="12" t="n">
        <v>103</v>
      </c>
      <c r="X12" s="12" t="n">
        <v>252</v>
      </c>
      <c r="Y12" s="12" t="n">
        <v>203</v>
      </c>
      <c r="Z12" s="12" t="n">
        <v>196</v>
      </c>
      <c r="AA12" s="12" t="n">
        <v>200</v>
      </c>
      <c r="AB12" s="12" t="n">
        <v>223</v>
      </c>
      <c r="AC12" s="12" t="n">
        <v>187</v>
      </c>
      <c r="AD12" s="12" t="n">
        <v>179</v>
      </c>
      <c r="AE12" s="12" t="n">
        <v>211</v>
      </c>
      <c r="AF12" s="12" t="n">
        <v>144</v>
      </c>
    </row>
    <row r="13">
      <c r="A13" s="20" t="n"/>
      <c r="B13" s="13" t="inlineStr">
        <is>
          <t>15-30</t>
        </is>
      </c>
      <c r="C13" s="14" t="n">
        <v>0.21</v>
      </c>
      <c r="D13" s="14" t="n">
        <v>0.23</v>
      </c>
      <c r="E13" s="14" t="n">
        <v>0.17</v>
      </c>
      <c r="F13" s="14" t="n">
        <v>0.2</v>
      </c>
      <c r="G13" s="14" t="n">
        <v>0.16</v>
      </c>
      <c r="H13" s="14" t="n">
        <v>0.23</v>
      </c>
      <c r="I13" s="14" t="n">
        <v>0.22</v>
      </c>
      <c r="J13" s="14" t="n">
        <v>0.16</v>
      </c>
      <c r="K13" s="14" t="n">
        <v>0.2</v>
      </c>
      <c r="L13" s="14" t="n">
        <v>0.25</v>
      </c>
      <c r="M13" s="14" t="n">
        <v>0.18</v>
      </c>
      <c r="N13" s="14" t="n">
        <v>0.21</v>
      </c>
      <c r="O13" s="14" t="n">
        <v>0.24</v>
      </c>
      <c r="P13" s="14" t="n">
        <v>0.21</v>
      </c>
      <c r="Q13" s="14" t="n">
        <v>0.18</v>
      </c>
      <c r="R13" s="14" t="n">
        <v>0.21</v>
      </c>
      <c r="S13" s="14" t="n">
        <v>0.19</v>
      </c>
      <c r="T13" s="14" t="n">
        <v>0.18</v>
      </c>
      <c r="U13" s="14" t="n">
        <v>0.22</v>
      </c>
      <c r="V13" s="14" t="n">
        <v>0.2</v>
      </c>
      <c r="W13" s="14" t="n">
        <v>0.2</v>
      </c>
      <c r="X13" s="14" t="n">
        <v>0.25</v>
      </c>
      <c r="Y13" s="14" t="n">
        <v>0.2</v>
      </c>
      <c r="Z13" s="14" t="n">
        <v>0.19</v>
      </c>
      <c r="AA13" s="14" t="n">
        <v>0.19</v>
      </c>
      <c r="AB13" s="14" t="n">
        <v>0.21</v>
      </c>
      <c r="AC13" s="14" t="n">
        <v>0.19</v>
      </c>
      <c r="AD13" s="14" t="n">
        <v>0.18</v>
      </c>
      <c r="AE13" s="14" t="n">
        <v>0.21</v>
      </c>
      <c r="AF13" s="14" t="n">
        <v>0.14</v>
      </c>
    </row>
    <row r="14">
      <c r="A14" s="20" t="n"/>
      <c r="B14" s="11" t="inlineStr">
        <is>
          <t>31-64</t>
        </is>
      </c>
      <c r="C14" s="12" t="n">
        <v>14262</v>
      </c>
      <c r="D14" s="12" t="n">
        <v>545</v>
      </c>
      <c r="E14" s="12" t="n">
        <v>562</v>
      </c>
      <c r="F14" s="12" t="n">
        <v>586</v>
      </c>
      <c r="G14" s="12" t="n">
        <v>593</v>
      </c>
      <c r="H14" s="12" t="n">
        <v>628</v>
      </c>
      <c r="I14" s="12" t="n">
        <v>788</v>
      </c>
      <c r="J14" s="12" t="n">
        <v>160</v>
      </c>
      <c r="K14" s="12" t="n">
        <v>562</v>
      </c>
      <c r="L14" s="12" t="n">
        <v>570</v>
      </c>
      <c r="M14" s="12" t="n">
        <v>553</v>
      </c>
      <c r="N14" s="12" t="n">
        <v>561</v>
      </c>
      <c r="O14" s="12" t="n">
        <v>513</v>
      </c>
      <c r="P14" s="12" t="n">
        <v>524</v>
      </c>
      <c r="Q14" s="12" t="n">
        <v>557</v>
      </c>
      <c r="R14" s="12" t="n">
        <v>290</v>
      </c>
      <c r="S14" s="12" t="n">
        <v>562</v>
      </c>
      <c r="T14" s="12" t="n">
        <v>593</v>
      </c>
      <c r="U14" s="12" t="n">
        <v>304</v>
      </c>
      <c r="V14" s="12" t="n">
        <v>575</v>
      </c>
      <c r="W14" s="12" t="n">
        <v>297</v>
      </c>
      <c r="X14" s="12" t="n">
        <v>524</v>
      </c>
      <c r="Y14" s="12" t="n">
        <v>567</v>
      </c>
      <c r="Z14" s="12" t="n">
        <v>578</v>
      </c>
      <c r="AA14" s="12" t="n">
        <v>546</v>
      </c>
      <c r="AB14" s="12" t="n">
        <v>573</v>
      </c>
      <c r="AC14" s="12" t="n">
        <v>563</v>
      </c>
      <c r="AD14" s="12" t="n">
        <v>603</v>
      </c>
      <c r="AE14" s="12" t="n">
        <v>526</v>
      </c>
      <c r="AF14" s="12" t="n">
        <v>611</v>
      </c>
    </row>
    <row r="15">
      <c r="A15" s="20" t="n"/>
      <c r="B15" s="13" t="inlineStr">
        <is>
          <t>31-64</t>
        </is>
      </c>
      <c r="C15" s="14" t="n">
        <v>0.54</v>
      </c>
      <c r="D15" s="14" t="n">
        <v>0.53</v>
      </c>
      <c r="E15" s="14" t="n">
        <v>0.55</v>
      </c>
      <c r="F15" s="14" t="n">
        <v>0.5600000000000001</v>
      </c>
      <c r="G15" s="14" t="n">
        <v>0.59</v>
      </c>
      <c r="H15" s="14" t="n">
        <v>0.52</v>
      </c>
      <c r="I15" s="14" t="n">
        <v>0.52</v>
      </c>
      <c r="J15" s="14" t="n">
        <v>0.55</v>
      </c>
      <c r="K15" s="14" t="n">
        <v>0.5600000000000001</v>
      </c>
      <c r="L15" s="14" t="n">
        <v>0.5600000000000001</v>
      </c>
      <c r="M15" s="14" t="n">
        <v>0.55</v>
      </c>
      <c r="N15" s="14" t="n">
        <v>0.5600000000000001</v>
      </c>
      <c r="O15" s="14" t="n">
        <v>0.5</v>
      </c>
      <c r="P15" s="14" t="n">
        <v>0.52</v>
      </c>
      <c r="Q15" s="14" t="n">
        <v>0.54</v>
      </c>
      <c r="R15" s="14" t="n">
        <v>0.58</v>
      </c>
      <c r="S15" s="14" t="n">
        <v>0.5600000000000001</v>
      </c>
      <c r="T15" s="14" t="n">
        <v>0.58</v>
      </c>
      <c r="U15" s="14" t="n">
        <v>0.6</v>
      </c>
      <c r="V15" s="14" t="n">
        <v>0.5600000000000001</v>
      </c>
      <c r="W15" s="14" t="n">
        <v>0.59</v>
      </c>
      <c r="X15" s="14" t="n">
        <v>0.51</v>
      </c>
      <c r="Y15" s="14" t="n">
        <v>0.5700000000000001</v>
      </c>
      <c r="Z15" s="14" t="n">
        <v>0.5700000000000001</v>
      </c>
      <c r="AA15" s="14" t="n">
        <v>0.53</v>
      </c>
      <c r="AB15" s="14" t="n">
        <v>0.55</v>
      </c>
      <c r="AC15" s="14" t="n">
        <v>0.5600000000000001</v>
      </c>
      <c r="AD15" s="14" t="n">
        <v>0.6</v>
      </c>
      <c r="AE15" s="14" t="n">
        <v>0.52</v>
      </c>
      <c r="AF15" s="14" t="n">
        <v>0.59</v>
      </c>
    </row>
    <row r="16">
      <c r="A16" s="20" t="n"/>
      <c r="B16" s="11" t="inlineStr">
        <is>
          <t>65+</t>
        </is>
      </c>
      <c r="C16" s="12" t="n">
        <v>6706</v>
      </c>
      <c r="D16" s="12" t="n">
        <v>243</v>
      </c>
      <c r="E16" s="12" t="n">
        <v>280</v>
      </c>
      <c r="F16" s="12" t="n">
        <v>256</v>
      </c>
      <c r="G16" s="12" t="n">
        <v>254</v>
      </c>
      <c r="H16" s="12" t="n">
        <v>307</v>
      </c>
      <c r="I16" s="12" t="n">
        <v>393</v>
      </c>
      <c r="J16" s="12" t="n">
        <v>85</v>
      </c>
      <c r="K16" s="12" t="n">
        <v>245</v>
      </c>
      <c r="L16" s="12" t="n">
        <v>193</v>
      </c>
      <c r="M16" s="12" t="n">
        <v>270</v>
      </c>
      <c r="N16" s="12" t="n">
        <v>237</v>
      </c>
      <c r="O16" s="12" t="n">
        <v>262</v>
      </c>
      <c r="P16" s="12" t="n">
        <v>270</v>
      </c>
      <c r="Q16" s="12" t="n">
        <v>285</v>
      </c>
      <c r="R16" s="12" t="n">
        <v>106</v>
      </c>
      <c r="S16" s="12" t="n">
        <v>254</v>
      </c>
      <c r="T16" s="12" t="n">
        <v>242</v>
      </c>
      <c r="U16" s="12" t="n">
        <v>91</v>
      </c>
      <c r="V16" s="12" t="n">
        <v>247</v>
      </c>
      <c r="W16" s="12" t="n">
        <v>106</v>
      </c>
      <c r="X16" s="12" t="n">
        <v>247</v>
      </c>
      <c r="Y16" s="12" t="n">
        <v>232</v>
      </c>
      <c r="Z16" s="12" t="n">
        <v>246</v>
      </c>
      <c r="AA16" s="12" t="n">
        <v>285</v>
      </c>
      <c r="AB16" s="12" t="n">
        <v>249</v>
      </c>
      <c r="AC16" s="12" t="n">
        <v>257</v>
      </c>
      <c r="AD16" s="12" t="n">
        <v>219</v>
      </c>
      <c r="AE16" s="12" t="n">
        <v>279</v>
      </c>
      <c r="AF16" s="12" t="n">
        <v>283</v>
      </c>
    </row>
    <row r="17">
      <c r="A17" s="20" t="n"/>
      <c r="B17" s="13" t="inlineStr">
        <is>
          <t>65+</t>
        </is>
      </c>
      <c r="C17" s="14" t="n">
        <v>0.25</v>
      </c>
      <c r="D17" s="14" t="n">
        <v>0.24</v>
      </c>
      <c r="E17" s="14" t="n">
        <v>0.28</v>
      </c>
      <c r="F17" s="14" t="n">
        <v>0.24</v>
      </c>
      <c r="G17" s="14" t="n">
        <v>0.25</v>
      </c>
      <c r="H17" s="14" t="n">
        <v>0.25</v>
      </c>
      <c r="I17" s="14" t="n">
        <v>0.26</v>
      </c>
      <c r="J17" s="14" t="n">
        <v>0.29</v>
      </c>
      <c r="K17" s="14" t="n">
        <v>0.24</v>
      </c>
      <c r="L17" s="14" t="n">
        <v>0.19</v>
      </c>
      <c r="M17" s="14" t="n">
        <v>0.27</v>
      </c>
      <c r="N17" s="14" t="n">
        <v>0.23</v>
      </c>
      <c r="O17" s="14" t="n">
        <v>0.26</v>
      </c>
      <c r="P17" s="14" t="n">
        <v>0.27</v>
      </c>
      <c r="Q17" s="14" t="n">
        <v>0.28</v>
      </c>
      <c r="R17" s="14" t="n">
        <v>0.21</v>
      </c>
      <c r="S17" s="14" t="n">
        <v>0.25</v>
      </c>
      <c r="T17" s="14" t="n">
        <v>0.24</v>
      </c>
      <c r="U17" s="14" t="n">
        <v>0.18</v>
      </c>
      <c r="V17" s="14" t="n">
        <v>0.24</v>
      </c>
      <c r="W17" s="14" t="n">
        <v>0.21</v>
      </c>
      <c r="X17" s="14" t="n">
        <v>0.24</v>
      </c>
      <c r="Y17" s="14" t="n">
        <v>0.23</v>
      </c>
      <c r="Z17" s="14" t="n">
        <v>0.24</v>
      </c>
      <c r="AA17" s="14" t="n">
        <v>0.28</v>
      </c>
      <c r="AB17" s="14" t="n">
        <v>0.24</v>
      </c>
      <c r="AC17" s="14" t="n">
        <v>0.25</v>
      </c>
      <c r="AD17" s="14" t="n">
        <v>0.22</v>
      </c>
      <c r="AE17" s="14" t="n">
        <v>0.27</v>
      </c>
      <c r="AF17" s="14" t="n">
        <v>0.27</v>
      </c>
    </row>
    <row r="18">
      <c r="A18" s="20" t="n"/>
      <c r="B18" s="11" t="inlineStr">
        <is>
          <t>Moyenne</t>
        </is>
      </c>
      <c r="C18" s="12" t="n">
        <v>49.19</v>
      </c>
      <c r="D18" s="12" t="n">
        <v>47.84</v>
      </c>
      <c r="E18" s="12" t="n">
        <v>50.28</v>
      </c>
      <c r="F18" s="12" t="n">
        <v>48.51</v>
      </c>
      <c r="G18" s="12" t="n">
        <v>49.72</v>
      </c>
      <c r="H18" s="12" t="n">
        <v>49.47</v>
      </c>
      <c r="I18" s="12" t="n">
        <v>49.81</v>
      </c>
      <c r="J18" s="12" t="n">
        <v>51.19</v>
      </c>
      <c r="K18" s="12" t="n">
        <v>48.35</v>
      </c>
      <c r="L18" s="12" t="n">
        <v>46.25</v>
      </c>
      <c r="M18" s="12" t="n">
        <v>50.06</v>
      </c>
      <c r="N18" s="12" t="n">
        <v>48.97</v>
      </c>
      <c r="O18" s="12" t="n">
        <v>48.76</v>
      </c>
      <c r="P18" s="12" t="n">
        <v>49.19</v>
      </c>
      <c r="Q18" s="12" t="n">
        <v>50.18</v>
      </c>
      <c r="R18" s="12" t="n">
        <v>46.96</v>
      </c>
      <c r="S18" s="12" t="n">
        <v>49.38</v>
      </c>
      <c r="T18" s="12" t="n">
        <v>49.19</v>
      </c>
      <c r="U18" s="12" t="n">
        <v>46.06</v>
      </c>
      <c r="V18" s="12" t="n">
        <v>48.52</v>
      </c>
      <c r="W18" s="12" t="n">
        <v>46.72</v>
      </c>
      <c r="X18" s="12" t="n">
        <v>47.77</v>
      </c>
      <c r="Y18" s="12" t="n">
        <v>48.66</v>
      </c>
      <c r="Z18" s="12" t="n">
        <v>48.55</v>
      </c>
      <c r="AA18" s="12" t="n">
        <v>50.29</v>
      </c>
      <c r="AB18" s="12" t="n">
        <v>48.16</v>
      </c>
      <c r="AC18" s="12" t="n">
        <v>50.08</v>
      </c>
      <c r="AD18" s="12" t="n">
        <v>47.79</v>
      </c>
      <c r="AE18" s="12" t="n">
        <v>49.42</v>
      </c>
      <c r="AF18" s="12" t="n">
        <v>51.71</v>
      </c>
    </row>
    <row r="19">
      <c r="A19" s="23" t="n"/>
      <c r="B19" s="13" t="inlineStr">
        <is>
          <t>Average</t>
        </is>
      </c>
      <c r="C19" s="15" t="inlineStr">
        <is>
          <t>-</t>
        </is>
      </c>
      <c r="D19" s="15" t="inlineStr">
        <is>
          <t>-</t>
        </is>
      </c>
      <c r="E19" s="15" t="inlineStr">
        <is>
          <t>-</t>
        </is>
      </c>
      <c r="F19" s="15" t="inlineStr">
        <is>
          <t>-</t>
        </is>
      </c>
      <c r="G19" s="15" t="inlineStr">
        <is>
          <t>-</t>
        </is>
      </c>
      <c r="H19" s="15" t="inlineStr">
        <is>
          <t>-</t>
        </is>
      </c>
      <c r="I19" s="15" t="inlineStr">
        <is>
          <t>-</t>
        </is>
      </c>
      <c r="J19" s="15" t="inlineStr">
        <is>
          <t>-</t>
        </is>
      </c>
      <c r="K19" s="15" t="inlineStr">
        <is>
          <t>-</t>
        </is>
      </c>
      <c r="L19" s="15" t="inlineStr">
        <is>
          <t>-</t>
        </is>
      </c>
      <c r="M19" s="15" t="inlineStr">
        <is>
          <t>-</t>
        </is>
      </c>
      <c r="N19" s="15" t="inlineStr">
        <is>
          <t>-</t>
        </is>
      </c>
      <c r="O19" s="15" t="inlineStr">
        <is>
          <t>-</t>
        </is>
      </c>
      <c r="P19" s="15" t="inlineStr">
        <is>
          <t>-</t>
        </is>
      </c>
      <c r="Q19" s="15" t="inlineStr">
        <is>
          <t>-</t>
        </is>
      </c>
      <c r="R19" s="15" t="inlineStr">
        <is>
          <t>-</t>
        </is>
      </c>
      <c r="S19" s="15" t="inlineStr">
        <is>
          <t>-</t>
        </is>
      </c>
      <c r="T19" s="15" t="inlineStr">
        <is>
          <t>-</t>
        </is>
      </c>
      <c r="U19" s="15" t="inlineStr">
        <is>
          <t>-</t>
        </is>
      </c>
      <c r="V19" s="15" t="inlineStr">
        <is>
          <t>-</t>
        </is>
      </c>
      <c r="W19" s="15" t="inlineStr">
        <is>
          <t>-</t>
        </is>
      </c>
      <c r="X19" s="15" t="inlineStr">
        <is>
          <t>-</t>
        </is>
      </c>
      <c r="Y19" s="15" t="inlineStr">
        <is>
          <t>-</t>
        </is>
      </c>
      <c r="Z19" s="15" t="inlineStr">
        <is>
          <t>-</t>
        </is>
      </c>
      <c r="AA19" s="15" t="inlineStr">
        <is>
          <t>-</t>
        </is>
      </c>
      <c r="AB19" s="15" t="inlineStr">
        <is>
          <t>-</t>
        </is>
      </c>
      <c r="AC19" s="15" t="inlineStr">
        <is>
          <t>-</t>
        </is>
      </c>
      <c r="AD19" s="15" t="inlineStr">
        <is>
          <t>-</t>
        </is>
      </c>
      <c r="AE19" s="15" t="inlineStr">
        <is>
          <t>-</t>
        </is>
      </c>
      <c r="AF19" s="15" t="inlineStr">
        <is>
          <t>-</t>
        </is>
      </c>
    </row>
  </sheetData>
  <mergeCells count="9">
    <mergeCell ref="B4:F4"/>
    <mergeCell ref="H3:L3"/>
    <mergeCell ref="C8:AF8"/>
    <mergeCell ref="B3:F3"/>
    <mergeCell ref="B5:F5"/>
    <mergeCell ref="A10:A19"/>
    <mergeCell ref="H5:L5"/>
    <mergeCell ref="B10:B11"/>
    <mergeCell ref="H4:L4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F23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12" customHeight="1" s="18">
      <c r="B3" s="21" t="inlineStr">
        <is>
          <t>D11G. Génération</t>
        </is>
      </c>
      <c r="H3" s="21" t="inlineStr">
        <is>
          <t>D11G. Generation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HYPERLINK("#Content!A48","&lt;&lt;Back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Total 'Avant 1946'</t>
        </is>
      </c>
      <c r="C12" s="12" t="n">
        <v>929</v>
      </c>
      <c r="D12" s="12" t="n">
        <v>21</v>
      </c>
      <c r="E12" s="12" t="n">
        <v>29</v>
      </c>
      <c r="F12" s="12" t="n">
        <v>27</v>
      </c>
      <c r="G12" s="12" t="n">
        <v>46</v>
      </c>
      <c r="H12" s="12" t="n">
        <v>52</v>
      </c>
      <c r="I12" s="12" t="n">
        <v>67</v>
      </c>
      <c r="J12" s="12" t="n">
        <v>14</v>
      </c>
      <c r="K12" s="12" t="n">
        <v>34</v>
      </c>
      <c r="L12" s="12" t="n">
        <v>31</v>
      </c>
      <c r="M12" s="12" t="n">
        <v>36</v>
      </c>
      <c r="N12" s="12" t="n">
        <v>40</v>
      </c>
      <c r="O12" s="12" t="n">
        <v>45</v>
      </c>
      <c r="P12" s="12" t="n">
        <v>19</v>
      </c>
      <c r="Q12" s="12" t="n">
        <v>19</v>
      </c>
      <c r="R12" s="12" t="n">
        <v>8</v>
      </c>
      <c r="S12" s="12" t="n">
        <v>54</v>
      </c>
      <c r="T12" s="12" t="n">
        <v>48</v>
      </c>
      <c r="U12" s="12" t="n">
        <v>12</v>
      </c>
      <c r="V12" s="12" t="n">
        <v>22</v>
      </c>
      <c r="W12" s="12" t="n">
        <v>14</v>
      </c>
      <c r="X12" s="12" t="n">
        <v>15</v>
      </c>
      <c r="Y12" s="12" t="n">
        <v>42</v>
      </c>
      <c r="Z12" s="12" t="n">
        <v>36</v>
      </c>
      <c r="AA12" s="12" t="n">
        <v>36</v>
      </c>
      <c r="AB12" s="12" t="n">
        <v>31</v>
      </c>
      <c r="AC12" s="12" t="n">
        <v>46</v>
      </c>
      <c r="AD12" s="12" t="n">
        <v>10</v>
      </c>
      <c r="AE12" s="12" t="n">
        <v>34</v>
      </c>
      <c r="AF12" s="12" t="n">
        <v>71</v>
      </c>
    </row>
    <row r="13">
      <c r="A13" s="20" t="n"/>
      <c r="B13" s="13" t="inlineStr">
        <is>
          <t>Total 'Before 1946'</t>
        </is>
      </c>
      <c r="C13" s="14" t="n">
        <v>0.03</v>
      </c>
      <c r="D13" s="14" t="n">
        <v>0.02</v>
      </c>
      <c r="E13" s="14" t="n">
        <v>0.03</v>
      </c>
      <c r="F13" s="14" t="n">
        <v>0.03</v>
      </c>
      <c r="G13" s="14" t="n">
        <v>0.05</v>
      </c>
      <c r="H13" s="14" t="n">
        <v>0.04</v>
      </c>
      <c r="I13" s="14" t="n">
        <v>0.04</v>
      </c>
      <c r="J13" s="14" t="n">
        <v>0.05</v>
      </c>
      <c r="K13" s="14" t="n">
        <v>0.04</v>
      </c>
      <c r="L13" s="14" t="n">
        <v>0.03</v>
      </c>
      <c r="M13" s="14" t="n">
        <v>0.04</v>
      </c>
      <c r="N13" s="14" t="n">
        <v>0.04</v>
      </c>
      <c r="O13" s="14" t="n">
        <v>0.04</v>
      </c>
      <c r="P13" s="14" t="n">
        <v>0.02</v>
      </c>
      <c r="Q13" s="14" t="n">
        <v>0.02</v>
      </c>
      <c r="R13" s="14" t="n">
        <v>0.01</v>
      </c>
      <c r="S13" s="14" t="n">
        <v>0.05</v>
      </c>
      <c r="T13" s="14" t="n">
        <v>0.05</v>
      </c>
      <c r="U13" s="14" t="n">
        <v>0.02</v>
      </c>
      <c r="V13" s="14" t="n">
        <v>0.02</v>
      </c>
      <c r="W13" s="14" t="n">
        <v>0.03</v>
      </c>
      <c r="X13" s="14" t="n">
        <v>0.01</v>
      </c>
      <c r="Y13" s="14" t="n">
        <v>0.04</v>
      </c>
      <c r="Z13" s="14" t="n">
        <v>0.03</v>
      </c>
      <c r="AA13" s="14" t="n">
        <v>0.03</v>
      </c>
      <c r="AB13" s="14" t="n">
        <v>0.03</v>
      </c>
      <c r="AC13" s="14" t="n">
        <v>0.05</v>
      </c>
      <c r="AD13" s="14" t="n">
        <v>0.01</v>
      </c>
      <c r="AE13" s="14" t="n">
        <v>0.03</v>
      </c>
      <c r="AF13" s="14" t="n">
        <v>0.07000000000000001</v>
      </c>
    </row>
    <row r="14">
      <c r="A14" s="20" t="n"/>
      <c r="B14" s="11" t="inlineStr">
        <is>
          <t>1946 - 1964 'BB'</t>
        </is>
      </c>
      <c r="C14" s="12" t="n">
        <v>7037</v>
      </c>
      <c r="D14" s="12" t="n">
        <v>274</v>
      </c>
      <c r="E14" s="12" t="n">
        <v>301</v>
      </c>
      <c r="F14" s="12" t="n">
        <v>264</v>
      </c>
      <c r="G14" s="12" t="n">
        <v>264</v>
      </c>
      <c r="H14" s="12" t="n">
        <v>309</v>
      </c>
      <c r="I14" s="12" t="n">
        <v>404</v>
      </c>
      <c r="J14" s="12" t="n">
        <v>95</v>
      </c>
      <c r="K14" s="12" t="n">
        <v>248</v>
      </c>
      <c r="L14" s="12" t="n">
        <v>206</v>
      </c>
      <c r="M14" s="12" t="n">
        <v>273</v>
      </c>
      <c r="N14" s="12" t="n">
        <v>236</v>
      </c>
      <c r="O14" s="12" t="n">
        <v>279</v>
      </c>
      <c r="P14" s="12" t="n">
        <v>303</v>
      </c>
      <c r="Q14" s="12" t="n">
        <v>315</v>
      </c>
      <c r="R14" s="12" t="n">
        <v>122</v>
      </c>
      <c r="S14" s="12" t="n">
        <v>252</v>
      </c>
      <c r="T14" s="12" t="n">
        <v>255</v>
      </c>
      <c r="U14" s="12" t="n">
        <v>100</v>
      </c>
      <c r="V14" s="12" t="n">
        <v>258</v>
      </c>
      <c r="W14" s="12" t="n">
        <v>115</v>
      </c>
      <c r="X14" s="12" t="n">
        <v>284</v>
      </c>
      <c r="Y14" s="12" t="n">
        <v>234</v>
      </c>
      <c r="Z14" s="12" t="n">
        <v>251</v>
      </c>
      <c r="AA14" s="12" t="n">
        <v>289</v>
      </c>
      <c r="AB14" s="12" t="n">
        <v>256</v>
      </c>
      <c r="AC14" s="12" t="n">
        <v>262</v>
      </c>
      <c r="AD14" s="12" t="n">
        <v>260</v>
      </c>
      <c r="AE14" s="12" t="n">
        <v>297</v>
      </c>
      <c r="AF14" s="12" t="n">
        <v>265</v>
      </c>
    </row>
    <row r="15">
      <c r="A15" s="20" t="n"/>
      <c r="B15" s="13" t="inlineStr">
        <is>
          <t>1946 - 1964 'BB'</t>
        </is>
      </c>
      <c r="C15" s="14" t="n">
        <v>0.27</v>
      </c>
      <c r="D15" s="14" t="n">
        <v>0.27</v>
      </c>
      <c r="E15" s="14" t="n">
        <v>0.3</v>
      </c>
      <c r="F15" s="14" t="n">
        <v>0.25</v>
      </c>
      <c r="G15" s="14" t="n">
        <v>0.26</v>
      </c>
      <c r="H15" s="14" t="n">
        <v>0.26</v>
      </c>
      <c r="I15" s="14" t="n">
        <v>0.27</v>
      </c>
      <c r="J15" s="14" t="n">
        <v>0.32</v>
      </c>
      <c r="K15" s="14" t="n">
        <v>0.25</v>
      </c>
      <c r="L15" s="14" t="n">
        <v>0.2</v>
      </c>
      <c r="M15" s="14" t="n">
        <v>0.27</v>
      </c>
      <c r="N15" s="14" t="n">
        <v>0.23</v>
      </c>
      <c r="O15" s="14" t="n">
        <v>0.28</v>
      </c>
      <c r="P15" s="14" t="n">
        <v>0.3</v>
      </c>
      <c r="Q15" s="14" t="n">
        <v>0.31</v>
      </c>
      <c r="R15" s="14" t="n">
        <v>0.24</v>
      </c>
      <c r="S15" s="14" t="n">
        <v>0.25</v>
      </c>
      <c r="T15" s="14" t="n">
        <v>0.25</v>
      </c>
      <c r="U15" s="14" t="n">
        <v>0.2</v>
      </c>
      <c r="V15" s="14" t="n">
        <v>0.25</v>
      </c>
      <c r="W15" s="14" t="n">
        <v>0.23</v>
      </c>
      <c r="X15" s="14" t="n">
        <v>0.28</v>
      </c>
      <c r="Y15" s="14" t="n">
        <v>0.23</v>
      </c>
      <c r="Z15" s="14" t="n">
        <v>0.25</v>
      </c>
      <c r="AA15" s="14" t="n">
        <v>0.28</v>
      </c>
      <c r="AB15" s="14" t="n">
        <v>0.25</v>
      </c>
      <c r="AC15" s="14" t="n">
        <v>0.26</v>
      </c>
      <c r="AD15" s="14" t="n">
        <v>0.26</v>
      </c>
      <c r="AE15" s="14" t="n">
        <v>0.29</v>
      </c>
      <c r="AF15" s="14" t="n">
        <v>0.26</v>
      </c>
    </row>
    <row r="16">
      <c r="A16" s="20" t="n"/>
      <c r="B16" s="11" t="inlineStr">
        <is>
          <t>1965 - 1980 'X'</t>
        </is>
      </c>
      <c r="C16" s="12" t="n">
        <v>6891</v>
      </c>
      <c r="D16" s="12" t="n">
        <v>275</v>
      </c>
      <c r="E16" s="12" t="n">
        <v>281</v>
      </c>
      <c r="F16" s="12" t="n">
        <v>292</v>
      </c>
      <c r="G16" s="12" t="n">
        <v>261</v>
      </c>
      <c r="H16" s="12" t="n">
        <v>328</v>
      </c>
      <c r="I16" s="12" t="n">
        <v>387</v>
      </c>
      <c r="J16" s="12" t="n">
        <v>59</v>
      </c>
      <c r="K16" s="12" t="n">
        <v>254</v>
      </c>
      <c r="L16" s="12" t="n">
        <v>267</v>
      </c>
      <c r="M16" s="12" t="n">
        <v>294</v>
      </c>
      <c r="N16" s="12" t="n">
        <v>294</v>
      </c>
      <c r="O16" s="12" t="n">
        <v>223</v>
      </c>
      <c r="P16" s="12" t="n">
        <v>262</v>
      </c>
      <c r="Q16" s="12" t="n">
        <v>285</v>
      </c>
      <c r="R16" s="12" t="n">
        <v>115</v>
      </c>
      <c r="S16" s="12" t="n">
        <v>253</v>
      </c>
      <c r="T16" s="12" t="n">
        <v>267</v>
      </c>
      <c r="U16" s="12" t="n">
        <v>140</v>
      </c>
      <c r="V16" s="12" t="n">
        <v>295</v>
      </c>
      <c r="W16" s="12" t="n">
        <v>108</v>
      </c>
      <c r="X16" s="12" t="n">
        <v>247</v>
      </c>
      <c r="Y16" s="12" t="n">
        <v>267</v>
      </c>
      <c r="Z16" s="12" t="n">
        <v>256</v>
      </c>
      <c r="AA16" s="12" t="n">
        <v>285</v>
      </c>
      <c r="AB16" s="12" t="n">
        <v>284</v>
      </c>
      <c r="AC16" s="12" t="n">
        <v>274</v>
      </c>
      <c r="AD16" s="12" t="n">
        <v>260</v>
      </c>
      <c r="AE16" s="12" t="n">
        <v>230</v>
      </c>
      <c r="AF16" s="12" t="n">
        <v>283</v>
      </c>
    </row>
    <row r="17">
      <c r="A17" s="20" t="n"/>
      <c r="B17" s="13" t="inlineStr">
        <is>
          <t>1965 - 1980 'X'</t>
        </is>
      </c>
      <c r="C17" s="14" t="n">
        <v>0.26</v>
      </c>
      <c r="D17" s="14" t="n">
        <v>0.27</v>
      </c>
      <c r="E17" s="14" t="n">
        <v>0.28</v>
      </c>
      <c r="F17" s="14" t="n">
        <v>0.28</v>
      </c>
      <c r="G17" s="14" t="n">
        <v>0.26</v>
      </c>
      <c r="H17" s="14" t="n">
        <v>0.27</v>
      </c>
      <c r="I17" s="14" t="n">
        <v>0.26</v>
      </c>
      <c r="J17" s="14" t="n">
        <v>0.2</v>
      </c>
      <c r="K17" s="14" t="n">
        <v>0.25</v>
      </c>
      <c r="L17" s="14" t="n">
        <v>0.27</v>
      </c>
      <c r="M17" s="14" t="n">
        <v>0.29</v>
      </c>
      <c r="N17" s="14" t="n">
        <v>0.29</v>
      </c>
      <c r="O17" s="14" t="n">
        <v>0.22</v>
      </c>
      <c r="P17" s="14" t="n">
        <v>0.26</v>
      </c>
      <c r="Q17" s="14" t="n">
        <v>0.28</v>
      </c>
      <c r="R17" s="14" t="n">
        <v>0.23</v>
      </c>
      <c r="S17" s="14" t="n">
        <v>0.25</v>
      </c>
      <c r="T17" s="14" t="n">
        <v>0.26</v>
      </c>
      <c r="U17" s="14" t="n">
        <v>0.28</v>
      </c>
      <c r="V17" s="14" t="n">
        <v>0.29</v>
      </c>
      <c r="W17" s="14" t="n">
        <v>0.21</v>
      </c>
      <c r="X17" s="14" t="n">
        <v>0.24</v>
      </c>
      <c r="Y17" s="14" t="n">
        <v>0.27</v>
      </c>
      <c r="Z17" s="14" t="n">
        <v>0.25</v>
      </c>
      <c r="AA17" s="14" t="n">
        <v>0.28</v>
      </c>
      <c r="AB17" s="14" t="n">
        <v>0.27</v>
      </c>
      <c r="AC17" s="14" t="n">
        <v>0.27</v>
      </c>
      <c r="AD17" s="14" t="n">
        <v>0.26</v>
      </c>
      <c r="AE17" s="14" t="n">
        <v>0.23</v>
      </c>
      <c r="AF17" s="14" t="n">
        <v>0.27</v>
      </c>
    </row>
    <row r="18">
      <c r="A18" s="20" t="n"/>
      <c r="B18" s="11" t="inlineStr">
        <is>
          <t>1981 – 1996 'Millennials'</t>
        </is>
      </c>
      <c r="C18" s="12" t="n">
        <v>6512</v>
      </c>
      <c r="D18" s="12" t="n">
        <v>234</v>
      </c>
      <c r="E18" s="12" t="n">
        <v>239</v>
      </c>
      <c r="F18" s="12" t="n">
        <v>276</v>
      </c>
      <c r="G18" s="12" t="n">
        <v>285</v>
      </c>
      <c r="H18" s="12" t="n">
        <v>264</v>
      </c>
      <c r="I18" s="12" t="n">
        <v>342</v>
      </c>
      <c r="J18" s="12" t="n">
        <v>78</v>
      </c>
      <c r="K18" s="12" t="n">
        <v>286</v>
      </c>
      <c r="L18" s="12" t="n">
        <v>275</v>
      </c>
      <c r="M18" s="12" t="n">
        <v>230</v>
      </c>
      <c r="N18" s="12" t="n">
        <v>239</v>
      </c>
      <c r="O18" s="12" t="n">
        <v>248</v>
      </c>
      <c r="P18" s="12" t="n">
        <v>226</v>
      </c>
      <c r="Q18" s="12" t="n">
        <v>240</v>
      </c>
      <c r="R18" s="12" t="n">
        <v>160</v>
      </c>
      <c r="S18" s="12" t="n">
        <v>266</v>
      </c>
      <c r="T18" s="12" t="n">
        <v>282</v>
      </c>
      <c r="U18" s="12" t="n">
        <v>152</v>
      </c>
      <c r="V18" s="12" t="n">
        <v>263</v>
      </c>
      <c r="W18" s="12" t="n">
        <v>173</v>
      </c>
      <c r="X18" s="12" t="n">
        <v>243</v>
      </c>
      <c r="Y18" s="12" t="n">
        <v>265</v>
      </c>
      <c r="Z18" s="12" t="n">
        <v>303</v>
      </c>
      <c r="AA18" s="12" t="n">
        <v>238</v>
      </c>
      <c r="AB18" s="12" t="n">
        <v>273</v>
      </c>
      <c r="AC18" s="12" t="n">
        <v>251</v>
      </c>
      <c r="AD18" s="12" t="n">
        <v>302</v>
      </c>
      <c r="AE18" s="12" t="n">
        <v>254</v>
      </c>
      <c r="AF18" s="12" t="n">
        <v>290</v>
      </c>
    </row>
    <row r="19">
      <c r="A19" s="20" t="n"/>
      <c r="B19" s="13" t="inlineStr">
        <is>
          <t>1981 – 1996 'Millennials'</t>
        </is>
      </c>
      <c r="C19" s="14" t="n">
        <v>0.25</v>
      </c>
      <c r="D19" s="14" t="n">
        <v>0.23</v>
      </c>
      <c r="E19" s="14" t="n">
        <v>0.23</v>
      </c>
      <c r="F19" s="14" t="n">
        <v>0.26</v>
      </c>
      <c r="G19" s="14" t="n">
        <v>0.28</v>
      </c>
      <c r="H19" s="14" t="n">
        <v>0.22</v>
      </c>
      <c r="I19" s="14" t="n">
        <v>0.23</v>
      </c>
      <c r="J19" s="14" t="n">
        <v>0.27</v>
      </c>
      <c r="K19" s="14" t="n">
        <v>0.28</v>
      </c>
      <c r="L19" s="14" t="n">
        <v>0.27</v>
      </c>
      <c r="M19" s="14" t="n">
        <v>0.23</v>
      </c>
      <c r="N19" s="14" t="n">
        <v>0.24</v>
      </c>
      <c r="O19" s="14" t="n">
        <v>0.24</v>
      </c>
      <c r="P19" s="14" t="n">
        <v>0.22</v>
      </c>
      <c r="Q19" s="14" t="n">
        <v>0.23</v>
      </c>
      <c r="R19" s="14" t="n">
        <v>0.32</v>
      </c>
      <c r="S19" s="14" t="n">
        <v>0.27</v>
      </c>
      <c r="T19" s="14" t="n">
        <v>0.28</v>
      </c>
      <c r="U19" s="14" t="n">
        <v>0.3</v>
      </c>
      <c r="V19" s="14" t="n">
        <v>0.26</v>
      </c>
      <c r="W19" s="14" t="n">
        <v>0.34</v>
      </c>
      <c r="X19" s="14" t="n">
        <v>0.24</v>
      </c>
      <c r="Y19" s="14" t="n">
        <v>0.27</v>
      </c>
      <c r="Z19" s="14" t="n">
        <v>0.3</v>
      </c>
      <c r="AA19" s="14" t="n">
        <v>0.23</v>
      </c>
      <c r="AB19" s="14" t="n">
        <v>0.26</v>
      </c>
      <c r="AC19" s="14" t="n">
        <v>0.25</v>
      </c>
      <c r="AD19" s="14" t="n">
        <v>0.3</v>
      </c>
      <c r="AE19" s="14" t="n">
        <v>0.25</v>
      </c>
      <c r="AF19" s="14" t="n">
        <v>0.28</v>
      </c>
    </row>
    <row r="20">
      <c r="A20" s="20" t="n"/>
      <c r="B20" s="11" t="inlineStr">
        <is>
          <t>1997 et après 'Génération Z'</t>
        </is>
      </c>
      <c r="C20" s="12" t="n">
        <v>5052</v>
      </c>
      <c r="D20" s="12" t="n">
        <v>217</v>
      </c>
      <c r="E20" s="12" t="n">
        <v>165</v>
      </c>
      <c r="F20" s="12" t="n">
        <v>190</v>
      </c>
      <c r="G20" s="12" t="n">
        <v>151</v>
      </c>
      <c r="H20" s="12" t="n">
        <v>260</v>
      </c>
      <c r="I20" s="12" t="n">
        <v>307</v>
      </c>
      <c r="J20" s="12" t="n">
        <v>47</v>
      </c>
      <c r="K20" s="12" t="n">
        <v>184</v>
      </c>
      <c r="L20" s="12" t="n">
        <v>230</v>
      </c>
      <c r="M20" s="12" t="n">
        <v>174</v>
      </c>
      <c r="N20" s="12" t="n">
        <v>198</v>
      </c>
      <c r="O20" s="12" t="n">
        <v>221</v>
      </c>
      <c r="P20" s="12" t="n">
        <v>197</v>
      </c>
      <c r="Q20" s="12" t="n">
        <v>169</v>
      </c>
      <c r="R20" s="12" t="n">
        <v>99</v>
      </c>
      <c r="S20" s="12" t="n">
        <v>180</v>
      </c>
      <c r="T20" s="12" t="n">
        <v>165</v>
      </c>
      <c r="U20" s="12" t="n">
        <v>104</v>
      </c>
      <c r="V20" s="12" t="n">
        <v>182</v>
      </c>
      <c r="W20" s="12" t="n">
        <v>96</v>
      </c>
      <c r="X20" s="12" t="n">
        <v>233</v>
      </c>
      <c r="Y20" s="12" t="n">
        <v>194</v>
      </c>
      <c r="Z20" s="12" t="n">
        <v>175</v>
      </c>
      <c r="AA20" s="12" t="n">
        <v>183</v>
      </c>
      <c r="AB20" s="12" t="n">
        <v>201</v>
      </c>
      <c r="AC20" s="12" t="n">
        <v>173</v>
      </c>
      <c r="AD20" s="12" t="n">
        <v>168</v>
      </c>
      <c r="AE20" s="12" t="n">
        <v>200</v>
      </c>
      <c r="AF20" s="12" t="n">
        <v>128</v>
      </c>
    </row>
    <row r="21">
      <c r="A21" s="20" t="n"/>
      <c r="B21" s="13" t="inlineStr">
        <is>
          <t>1997 and beyond 'Generation Z'</t>
        </is>
      </c>
      <c r="C21" s="14" t="n">
        <v>0.19</v>
      </c>
      <c r="D21" s="14" t="n">
        <v>0.21</v>
      </c>
      <c r="E21" s="14" t="n">
        <v>0.16</v>
      </c>
      <c r="F21" s="14" t="n">
        <v>0.18</v>
      </c>
      <c r="G21" s="14" t="n">
        <v>0.15</v>
      </c>
      <c r="H21" s="14" t="n">
        <v>0.21</v>
      </c>
      <c r="I21" s="14" t="n">
        <v>0.2</v>
      </c>
      <c r="J21" s="14" t="n">
        <v>0.16</v>
      </c>
      <c r="K21" s="14" t="n">
        <v>0.18</v>
      </c>
      <c r="L21" s="14" t="n">
        <v>0.23</v>
      </c>
      <c r="M21" s="14" t="n">
        <v>0.17</v>
      </c>
      <c r="N21" s="14" t="n">
        <v>0.2</v>
      </c>
      <c r="O21" s="14" t="n">
        <v>0.22</v>
      </c>
      <c r="P21" s="14" t="n">
        <v>0.2</v>
      </c>
      <c r="Q21" s="14" t="n">
        <v>0.16</v>
      </c>
      <c r="R21" s="14" t="n">
        <v>0.2</v>
      </c>
      <c r="S21" s="14" t="n">
        <v>0.18</v>
      </c>
      <c r="T21" s="14" t="n">
        <v>0.16</v>
      </c>
      <c r="U21" s="14" t="n">
        <v>0.2</v>
      </c>
      <c r="V21" s="14" t="n">
        <v>0.18</v>
      </c>
      <c r="W21" s="14" t="n">
        <v>0.19</v>
      </c>
      <c r="X21" s="14" t="n">
        <v>0.23</v>
      </c>
      <c r="Y21" s="14" t="n">
        <v>0.19</v>
      </c>
      <c r="Z21" s="14" t="n">
        <v>0.17</v>
      </c>
      <c r="AA21" s="14" t="n">
        <v>0.18</v>
      </c>
      <c r="AB21" s="14" t="n">
        <v>0.19</v>
      </c>
      <c r="AC21" s="14" t="n">
        <v>0.17</v>
      </c>
      <c r="AD21" s="14" t="n">
        <v>0.17</v>
      </c>
      <c r="AE21" s="14" t="n">
        <v>0.2</v>
      </c>
      <c r="AF21" s="14" t="n">
        <v>0.12</v>
      </c>
    </row>
    <row r="22">
      <c r="A22" s="20" t="n"/>
      <c r="B22" s="11" t="inlineStr">
        <is>
          <t>Moyenne</t>
        </is>
      </c>
      <c r="C22" s="12" t="n">
        <v>49.19</v>
      </c>
      <c r="D22" s="12" t="n">
        <v>47.84</v>
      </c>
      <c r="E22" s="12" t="n">
        <v>50.28</v>
      </c>
      <c r="F22" s="12" t="n">
        <v>48.51</v>
      </c>
      <c r="G22" s="12" t="n">
        <v>49.72</v>
      </c>
      <c r="H22" s="12" t="n">
        <v>49.47</v>
      </c>
      <c r="I22" s="12" t="n">
        <v>49.81</v>
      </c>
      <c r="J22" s="12" t="n">
        <v>51.19</v>
      </c>
      <c r="K22" s="12" t="n">
        <v>48.35</v>
      </c>
      <c r="L22" s="12" t="n">
        <v>46.25</v>
      </c>
      <c r="M22" s="12" t="n">
        <v>50.06</v>
      </c>
      <c r="N22" s="12" t="n">
        <v>48.97</v>
      </c>
      <c r="O22" s="12" t="n">
        <v>48.76</v>
      </c>
      <c r="P22" s="12" t="n">
        <v>49.19</v>
      </c>
      <c r="Q22" s="12" t="n">
        <v>50.18</v>
      </c>
      <c r="R22" s="12" t="n">
        <v>46.96</v>
      </c>
      <c r="S22" s="12" t="n">
        <v>49.38</v>
      </c>
      <c r="T22" s="12" t="n">
        <v>49.19</v>
      </c>
      <c r="U22" s="12" t="n">
        <v>46.06</v>
      </c>
      <c r="V22" s="12" t="n">
        <v>48.52</v>
      </c>
      <c r="W22" s="12" t="n">
        <v>46.72</v>
      </c>
      <c r="X22" s="12" t="n">
        <v>47.77</v>
      </c>
      <c r="Y22" s="12" t="n">
        <v>48.66</v>
      </c>
      <c r="Z22" s="12" t="n">
        <v>48.55</v>
      </c>
      <c r="AA22" s="12" t="n">
        <v>50.29</v>
      </c>
      <c r="AB22" s="12" t="n">
        <v>48.16</v>
      </c>
      <c r="AC22" s="12" t="n">
        <v>50.08</v>
      </c>
      <c r="AD22" s="12" t="n">
        <v>47.79</v>
      </c>
      <c r="AE22" s="12" t="n">
        <v>49.42</v>
      </c>
      <c r="AF22" s="12" t="n">
        <v>51.71</v>
      </c>
    </row>
    <row r="23">
      <c r="A23" s="23" t="n"/>
      <c r="B23" s="13" t="inlineStr">
        <is>
          <t>Average</t>
        </is>
      </c>
      <c r="C23" s="15" t="inlineStr">
        <is>
          <t>-</t>
        </is>
      </c>
      <c r="D23" s="15" t="inlineStr">
        <is>
          <t>-</t>
        </is>
      </c>
      <c r="E23" s="15" t="inlineStr">
        <is>
          <t>-</t>
        </is>
      </c>
      <c r="F23" s="15" t="inlineStr">
        <is>
          <t>-</t>
        </is>
      </c>
      <c r="G23" s="15" t="inlineStr">
        <is>
          <t>-</t>
        </is>
      </c>
      <c r="H23" s="15" t="inlineStr">
        <is>
          <t>-</t>
        </is>
      </c>
      <c r="I23" s="15" t="inlineStr">
        <is>
          <t>-</t>
        </is>
      </c>
      <c r="J23" s="15" t="inlineStr">
        <is>
          <t>-</t>
        </is>
      </c>
      <c r="K23" s="15" t="inlineStr">
        <is>
          <t>-</t>
        </is>
      </c>
      <c r="L23" s="15" t="inlineStr">
        <is>
          <t>-</t>
        </is>
      </c>
      <c r="M23" s="15" t="inlineStr">
        <is>
          <t>-</t>
        </is>
      </c>
      <c r="N23" s="15" t="inlineStr">
        <is>
          <t>-</t>
        </is>
      </c>
      <c r="O23" s="15" t="inlineStr">
        <is>
          <t>-</t>
        </is>
      </c>
      <c r="P23" s="15" t="inlineStr">
        <is>
          <t>-</t>
        </is>
      </c>
      <c r="Q23" s="15" t="inlineStr">
        <is>
          <t>-</t>
        </is>
      </c>
      <c r="R23" s="15" t="inlineStr">
        <is>
          <t>-</t>
        </is>
      </c>
      <c r="S23" s="15" t="inlineStr">
        <is>
          <t>-</t>
        </is>
      </c>
      <c r="T23" s="15" t="inlineStr">
        <is>
          <t>-</t>
        </is>
      </c>
      <c r="U23" s="15" t="inlineStr">
        <is>
          <t>-</t>
        </is>
      </c>
      <c r="V23" s="15" t="inlineStr">
        <is>
          <t>-</t>
        </is>
      </c>
      <c r="W23" s="15" t="inlineStr">
        <is>
          <t>-</t>
        </is>
      </c>
      <c r="X23" s="15" t="inlineStr">
        <is>
          <t>-</t>
        </is>
      </c>
      <c r="Y23" s="15" t="inlineStr">
        <is>
          <t>-</t>
        </is>
      </c>
      <c r="Z23" s="15" t="inlineStr">
        <is>
          <t>-</t>
        </is>
      </c>
      <c r="AA23" s="15" t="inlineStr">
        <is>
          <t>-</t>
        </is>
      </c>
      <c r="AB23" s="15" t="inlineStr">
        <is>
          <t>-</t>
        </is>
      </c>
      <c r="AC23" s="15" t="inlineStr">
        <is>
          <t>-</t>
        </is>
      </c>
      <c r="AD23" s="15" t="inlineStr">
        <is>
          <t>-</t>
        </is>
      </c>
      <c r="AE23" s="15" t="inlineStr">
        <is>
          <t>-</t>
        </is>
      </c>
      <c r="AF23" s="15" t="inlineStr">
        <is>
          <t>-</t>
        </is>
      </c>
    </row>
  </sheetData>
  <mergeCells count="9">
    <mergeCell ref="B4:F4"/>
    <mergeCell ref="H3:L3"/>
    <mergeCell ref="C8:AF8"/>
    <mergeCell ref="B3:F3"/>
    <mergeCell ref="B5:F5"/>
    <mergeCell ref="H5:L5"/>
    <mergeCell ref="B10:B11"/>
    <mergeCell ref="H4:L4"/>
    <mergeCell ref="A10:A23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12" customHeight="1" s="18">
      <c r="B3" s="21" t="inlineStr">
        <is>
          <t>D8. A quel âge avez-vous arrêté vos études à temps complet ?</t>
        </is>
      </c>
      <c r="H3" s="21" t="inlineStr">
        <is>
          <t>D8. How old were you when you stopped full-time education?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HYPERLINK("#Content!A49","&lt;&lt;Back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15-</t>
        </is>
      </c>
      <c r="C12" s="12" t="n">
        <v>2857</v>
      </c>
      <c r="D12" s="12" t="n">
        <v>29</v>
      </c>
      <c r="E12" s="12" t="n">
        <v>88</v>
      </c>
      <c r="F12" s="12" t="n">
        <v>35</v>
      </c>
      <c r="G12" s="12" t="n">
        <v>22</v>
      </c>
      <c r="H12" s="12" t="n">
        <v>89</v>
      </c>
      <c r="I12" s="12" t="n">
        <v>106</v>
      </c>
      <c r="J12" s="12" t="n">
        <v>17</v>
      </c>
      <c r="K12" s="12" t="n">
        <v>32</v>
      </c>
      <c r="L12" s="12" t="n">
        <v>72</v>
      </c>
      <c r="M12" s="12" t="n">
        <v>250</v>
      </c>
      <c r="N12" s="12" t="n">
        <v>253</v>
      </c>
      <c r="O12" s="12" t="n">
        <v>78</v>
      </c>
      <c r="P12" s="12" t="n">
        <v>71</v>
      </c>
      <c r="Q12" s="12" t="n">
        <v>174</v>
      </c>
      <c r="R12" s="12" t="n">
        <v>56</v>
      </c>
      <c r="S12" s="12" t="n">
        <v>52</v>
      </c>
      <c r="T12" s="12" t="n">
        <v>30</v>
      </c>
      <c r="U12" s="12" t="n">
        <v>44</v>
      </c>
      <c r="V12" s="12" t="n">
        <v>115</v>
      </c>
      <c r="W12" s="12" t="n">
        <v>57</v>
      </c>
      <c r="X12" s="12" t="n">
        <v>19</v>
      </c>
      <c r="Y12" s="12" t="n">
        <v>136</v>
      </c>
      <c r="Z12" s="12" t="n">
        <v>35</v>
      </c>
      <c r="AA12" s="12" t="n">
        <v>364</v>
      </c>
      <c r="AB12" s="12" t="n">
        <v>83</v>
      </c>
      <c r="AC12" s="12" t="n">
        <v>80</v>
      </c>
      <c r="AD12" s="12" t="n">
        <v>23</v>
      </c>
      <c r="AE12" s="12" t="n">
        <v>30</v>
      </c>
      <c r="AF12" s="12" t="n">
        <v>13</v>
      </c>
    </row>
    <row r="13">
      <c r="A13" s="20" t="n"/>
      <c r="B13" s="13" t="inlineStr">
        <is>
          <t>15-</t>
        </is>
      </c>
      <c r="C13" s="14" t="n">
        <v>0.11</v>
      </c>
      <c r="D13" s="14" t="n">
        <v>0.03</v>
      </c>
      <c r="E13" s="14" t="n">
        <v>0.09</v>
      </c>
      <c r="F13" s="14" t="n">
        <v>0.03</v>
      </c>
      <c r="G13" s="14" t="n">
        <v>0.02</v>
      </c>
      <c r="H13" s="14" t="n">
        <v>0.07000000000000001</v>
      </c>
      <c r="I13" s="14" t="n">
        <v>0.07000000000000001</v>
      </c>
      <c r="J13" s="14" t="n">
        <v>0.06</v>
      </c>
      <c r="K13" s="14" t="n">
        <v>0.03</v>
      </c>
      <c r="L13" s="14" t="n">
        <v>0.07000000000000001</v>
      </c>
      <c r="M13" s="14" t="n">
        <v>0.25</v>
      </c>
      <c r="N13" s="14" t="n">
        <v>0.25</v>
      </c>
      <c r="O13" s="14" t="n">
        <v>0.08</v>
      </c>
      <c r="P13" s="14" t="n">
        <v>0.07000000000000001</v>
      </c>
      <c r="Q13" s="14" t="n">
        <v>0.17</v>
      </c>
      <c r="R13" s="14" t="n">
        <v>0.11</v>
      </c>
      <c r="S13" s="14" t="n">
        <v>0.05</v>
      </c>
      <c r="T13" s="14" t="n">
        <v>0.03</v>
      </c>
      <c r="U13" s="14" t="n">
        <v>0.09</v>
      </c>
      <c r="V13" s="14" t="n">
        <v>0.11</v>
      </c>
      <c r="W13" s="14" t="n">
        <v>0.11</v>
      </c>
      <c r="X13" s="14" t="n">
        <v>0.02</v>
      </c>
      <c r="Y13" s="14" t="n">
        <v>0.14</v>
      </c>
      <c r="Z13" s="14" t="n">
        <v>0.04</v>
      </c>
      <c r="AA13" s="14" t="n">
        <v>0.35</v>
      </c>
      <c r="AB13" s="14" t="n">
        <v>0.08</v>
      </c>
      <c r="AC13" s="14" t="n">
        <v>0.08</v>
      </c>
      <c r="AD13" s="14" t="n">
        <v>0.02</v>
      </c>
      <c r="AE13" s="14" t="n">
        <v>0.03</v>
      </c>
      <c r="AF13" s="14" t="n">
        <v>0.01</v>
      </c>
    </row>
    <row r="14">
      <c r="A14" s="20" t="n"/>
      <c r="B14" s="11" t="inlineStr">
        <is>
          <t>16-19</t>
        </is>
      </c>
      <c r="C14" s="12" t="n">
        <v>11887</v>
      </c>
      <c r="D14" s="12" t="n">
        <v>338</v>
      </c>
      <c r="E14" s="12" t="n">
        <v>623</v>
      </c>
      <c r="F14" s="12" t="n">
        <v>577</v>
      </c>
      <c r="G14" s="12" t="n">
        <v>109</v>
      </c>
      <c r="H14" s="12" t="n">
        <v>565</v>
      </c>
      <c r="I14" s="12" t="n">
        <v>741</v>
      </c>
      <c r="J14" s="12" t="n">
        <v>176</v>
      </c>
      <c r="K14" s="12" t="n">
        <v>441</v>
      </c>
      <c r="L14" s="12" t="n">
        <v>413</v>
      </c>
      <c r="M14" s="12" t="n">
        <v>383</v>
      </c>
      <c r="N14" s="12" t="n">
        <v>350</v>
      </c>
      <c r="O14" s="12" t="n">
        <v>421</v>
      </c>
      <c r="P14" s="12" t="n">
        <v>718</v>
      </c>
      <c r="Q14" s="12" t="n">
        <v>554</v>
      </c>
      <c r="R14" s="12" t="n">
        <v>194</v>
      </c>
      <c r="S14" s="12" t="n">
        <v>486</v>
      </c>
      <c r="T14" s="12" t="n">
        <v>446</v>
      </c>
      <c r="U14" s="12" t="n">
        <v>106</v>
      </c>
      <c r="V14" s="12" t="n">
        <v>640</v>
      </c>
      <c r="W14" s="12" t="n">
        <v>187</v>
      </c>
      <c r="X14" s="12" t="n">
        <v>301</v>
      </c>
      <c r="Y14" s="12" t="n">
        <v>593</v>
      </c>
      <c r="Z14" s="12" t="n">
        <v>482</v>
      </c>
      <c r="AA14" s="12" t="n">
        <v>343</v>
      </c>
      <c r="AB14" s="12" t="n">
        <v>651</v>
      </c>
      <c r="AC14" s="12" t="n">
        <v>471</v>
      </c>
      <c r="AD14" s="12" t="n">
        <v>617</v>
      </c>
      <c r="AE14" s="12" t="n">
        <v>220</v>
      </c>
      <c r="AF14" s="12" t="n">
        <v>194</v>
      </c>
    </row>
    <row r="15">
      <c r="A15" s="20" t="n"/>
      <c r="B15" s="13" t="inlineStr">
        <is>
          <t>16-19</t>
        </is>
      </c>
      <c r="C15" s="14" t="n">
        <v>0.45</v>
      </c>
      <c r="D15" s="14" t="n">
        <v>0.33</v>
      </c>
      <c r="E15" s="14" t="n">
        <v>0.61</v>
      </c>
      <c r="F15" s="14" t="n">
        <v>0.55</v>
      </c>
      <c r="G15" s="14" t="n">
        <v>0.11</v>
      </c>
      <c r="H15" s="14" t="n">
        <v>0.47</v>
      </c>
      <c r="I15" s="14" t="n">
        <v>0.49</v>
      </c>
      <c r="J15" s="14" t="n">
        <v>0.6</v>
      </c>
      <c r="K15" s="14" t="n">
        <v>0.44</v>
      </c>
      <c r="L15" s="14" t="n">
        <v>0.41</v>
      </c>
      <c r="M15" s="14" t="n">
        <v>0.38</v>
      </c>
      <c r="N15" s="14" t="n">
        <v>0.35</v>
      </c>
      <c r="O15" s="14" t="n">
        <v>0.42</v>
      </c>
      <c r="P15" s="14" t="n">
        <v>0.71</v>
      </c>
      <c r="Q15" s="14" t="n">
        <v>0.54</v>
      </c>
      <c r="R15" s="14" t="n">
        <v>0.38</v>
      </c>
      <c r="S15" s="14" t="n">
        <v>0.49</v>
      </c>
      <c r="T15" s="14" t="n">
        <v>0.44</v>
      </c>
      <c r="U15" s="14" t="n">
        <v>0.21</v>
      </c>
      <c r="V15" s="14" t="n">
        <v>0.63</v>
      </c>
      <c r="W15" s="14" t="n">
        <v>0.37</v>
      </c>
      <c r="X15" s="14" t="n">
        <v>0.29</v>
      </c>
      <c r="Y15" s="14" t="n">
        <v>0.59</v>
      </c>
      <c r="Z15" s="14" t="n">
        <v>0.47</v>
      </c>
      <c r="AA15" s="14" t="n">
        <v>0.33</v>
      </c>
      <c r="AB15" s="14" t="n">
        <v>0.62</v>
      </c>
      <c r="AC15" s="14" t="n">
        <v>0.47</v>
      </c>
      <c r="AD15" s="14" t="n">
        <v>0.62</v>
      </c>
      <c r="AE15" s="14" t="n">
        <v>0.22</v>
      </c>
      <c r="AF15" s="14" t="n">
        <v>0.19</v>
      </c>
    </row>
    <row r="16">
      <c r="A16" s="20" t="n"/>
      <c r="B16" s="11" t="inlineStr">
        <is>
          <t>20+</t>
        </is>
      </c>
      <c r="C16" s="12" t="n">
        <v>9604</v>
      </c>
      <c r="D16" s="12" t="n">
        <v>534</v>
      </c>
      <c r="E16" s="12" t="n">
        <v>280</v>
      </c>
      <c r="F16" s="12" t="n">
        <v>358</v>
      </c>
      <c r="G16" s="12" t="n">
        <v>783</v>
      </c>
      <c r="H16" s="12" t="n">
        <v>432</v>
      </c>
      <c r="I16" s="12" t="n">
        <v>519</v>
      </c>
      <c r="J16" s="12" t="n">
        <v>87</v>
      </c>
      <c r="K16" s="12" t="n">
        <v>435</v>
      </c>
      <c r="L16" s="12" t="n">
        <v>463</v>
      </c>
      <c r="M16" s="12" t="n">
        <v>302</v>
      </c>
      <c r="N16" s="12" t="n">
        <v>347</v>
      </c>
      <c r="O16" s="12" t="n">
        <v>429</v>
      </c>
      <c r="P16" s="12" t="n">
        <v>180</v>
      </c>
      <c r="Q16" s="12" t="n">
        <v>211</v>
      </c>
      <c r="R16" s="12" t="n">
        <v>241</v>
      </c>
      <c r="S16" s="12" t="n">
        <v>396</v>
      </c>
      <c r="T16" s="12" t="n">
        <v>444</v>
      </c>
      <c r="U16" s="12" t="n">
        <v>307</v>
      </c>
      <c r="V16" s="12" t="n">
        <v>228</v>
      </c>
      <c r="W16" s="12" t="n">
        <v>213</v>
      </c>
      <c r="X16" s="12" t="n">
        <v>590</v>
      </c>
      <c r="Y16" s="12" t="n">
        <v>189</v>
      </c>
      <c r="Z16" s="12" t="n">
        <v>448</v>
      </c>
      <c r="AA16" s="12" t="n">
        <v>222</v>
      </c>
      <c r="AB16" s="12" t="n">
        <v>256</v>
      </c>
      <c r="AC16" s="12" t="n">
        <v>379</v>
      </c>
      <c r="AD16" s="12" t="n">
        <v>285</v>
      </c>
      <c r="AE16" s="12" t="n">
        <v>660</v>
      </c>
      <c r="AF16" s="12" t="n">
        <v>785</v>
      </c>
    </row>
    <row r="17">
      <c r="A17" s="20" t="n"/>
      <c r="B17" s="13" t="inlineStr">
        <is>
          <t>20+</t>
        </is>
      </c>
      <c r="C17" s="14" t="n">
        <v>0.37</v>
      </c>
      <c r="D17" s="14" t="n">
        <v>0.52</v>
      </c>
      <c r="E17" s="14" t="n">
        <v>0.28</v>
      </c>
      <c r="F17" s="14" t="n">
        <v>0.34</v>
      </c>
      <c r="G17" s="14" t="n">
        <v>0.78</v>
      </c>
      <c r="H17" s="14" t="n">
        <v>0.36</v>
      </c>
      <c r="I17" s="14" t="n">
        <v>0.35</v>
      </c>
      <c r="J17" s="14" t="n">
        <v>0.3</v>
      </c>
      <c r="K17" s="14" t="n">
        <v>0.43</v>
      </c>
      <c r="L17" s="14" t="n">
        <v>0.46</v>
      </c>
      <c r="M17" s="14" t="n">
        <v>0.3</v>
      </c>
      <c r="N17" s="14" t="n">
        <v>0.35</v>
      </c>
      <c r="O17" s="14" t="n">
        <v>0.42</v>
      </c>
      <c r="P17" s="14" t="n">
        <v>0.18</v>
      </c>
      <c r="Q17" s="14" t="n">
        <v>0.21</v>
      </c>
      <c r="R17" s="14" t="n">
        <v>0.48</v>
      </c>
      <c r="S17" s="14" t="n">
        <v>0.4</v>
      </c>
      <c r="T17" s="14" t="n">
        <v>0.44</v>
      </c>
      <c r="U17" s="14" t="n">
        <v>0.6</v>
      </c>
      <c r="V17" s="14" t="n">
        <v>0.22</v>
      </c>
      <c r="W17" s="14" t="n">
        <v>0.42</v>
      </c>
      <c r="X17" s="14" t="n">
        <v>0.58</v>
      </c>
      <c r="Y17" s="14" t="n">
        <v>0.19</v>
      </c>
      <c r="Z17" s="14" t="n">
        <v>0.44</v>
      </c>
      <c r="AA17" s="14" t="n">
        <v>0.22</v>
      </c>
      <c r="AB17" s="14" t="n">
        <v>0.25</v>
      </c>
      <c r="AC17" s="14" t="n">
        <v>0.38</v>
      </c>
      <c r="AD17" s="14" t="n">
        <v>0.29</v>
      </c>
      <c r="AE17" s="14" t="n">
        <v>0.65</v>
      </c>
      <c r="AF17" s="14" t="n">
        <v>0.76</v>
      </c>
    </row>
    <row r="18">
      <c r="A18" s="20" t="n"/>
      <c r="B18" s="11" t="inlineStr">
        <is>
          <t>Toujours étudiant(e)</t>
        </is>
      </c>
      <c r="C18" s="12" t="n">
        <v>1931</v>
      </c>
      <c r="D18" s="12" t="n">
        <v>109</v>
      </c>
      <c r="E18" s="12" t="n">
        <v>16</v>
      </c>
      <c r="F18" s="12" t="n">
        <v>57</v>
      </c>
      <c r="G18" s="12" t="n">
        <v>52</v>
      </c>
      <c r="H18" s="12" t="n">
        <v>126</v>
      </c>
      <c r="I18" s="12" t="n">
        <v>139</v>
      </c>
      <c r="J18" s="12" t="n">
        <v>13</v>
      </c>
      <c r="K18" s="12" t="n">
        <v>91</v>
      </c>
      <c r="L18" s="12" t="n">
        <v>60</v>
      </c>
      <c r="M18" s="12" t="n">
        <v>71</v>
      </c>
      <c r="N18" s="12" t="n">
        <v>45</v>
      </c>
      <c r="O18" s="12" t="n">
        <v>85</v>
      </c>
      <c r="P18" s="12" t="n">
        <v>35</v>
      </c>
      <c r="Q18" s="12" t="n">
        <v>84</v>
      </c>
      <c r="R18" s="12" t="n">
        <v>14</v>
      </c>
      <c r="S18" s="12" t="n">
        <v>64</v>
      </c>
      <c r="T18" s="12" t="n">
        <v>90</v>
      </c>
      <c r="U18" s="12" t="n">
        <v>47</v>
      </c>
      <c r="V18" s="12" t="n">
        <v>38</v>
      </c>
      <c r="W18" s="12" t="n">
        <v>44</v>
      </c>
      <c r="X18" s="12" t="n">
        <v>101</v>
      </c>
      <c r="Y18" s="12" t="n">
        <v>83</v>
      </c>
      <c r="Z18" s="12" t="n">
        <v>54</v>
      </c>
      <c r="AA18" s="12" t="n">
        <v>91</v>
      </c>
      <c r="AB18" s="12" t="n">
        <v>54</v>
      </c>
      <c r="AC18" s="12" t="n">
        <v>70</v>
      </c>
      <c r="AD18" s="12" t="n">
        <v>73</v>
      </c>
      <c r="AE18" s="12" t="n">
        <v>104</v>
      </c>
      <c r="AF18" s="12" t="n">
        <v>41</v>
      </c>
    </row>
    <row r="19">
      <c r="A19" s="20" t="n"/>
      <c r="B19" s="13" t="inlineStr">
        <is>
          <t>Still Studying</t>
        </is>
      </c>
      <c r="C19" s="14" t="n">
        <v>0.07000000000000001</v>
      </c>
      <c r="D19" s="14" t="n">
        <v>0.11</v>
      </c>
      <c r="E19" s="14" t="n">
        <v>0.02</v>
      </c>
      <c r="F19" s="14" t="n">
        <v>0.06</v>
      </c>
      <c r="G19" s="14" t="n">
        <v>0.05</v>
      </c>
      <c r="H19" s="14" t="n">
        <v>0.1</v>
      </c>
      <c r="I19" s="14" t="n">
        <v>0.09</v>
      </c>
      <c r="J19" s="14" t="n">
        <v>0.04</v>
      </c>
      <c r="K19" s="14" t="n">
        <v>0.09</v>
      </c>
      <c r="L19" s="14" t="n">
        <v>0.06</v>
      </c>
      <c r="M19" s="14" t="n">
        <v>0.07000000000000001</v>
      </c>
      <c r="N19" s="14" t="n">
        <v>0.04</v>
      </c>
      <c r="O19" s="14" t="n">
        <v>0.08</v>
      </c>
      <c r="P19" s="14" t="n">
        <v>0.04</v>
      </c>
      <c r="Q19" s="14" t="n">
        <v>0.08</v>
      </c>
      <c r="R19" s="14" t="n">
        <v>0.03</v>
      </c>
      <c r="S19" s="14" t="n">
        <v>0.06</v>
      </c>
      <c r="T19" s="14" t="n">
        <v>0.09</v>
      </c>
      <c r="U19" s="14" t="n">
        <v>0.09</v>
      </c>
      <c r="V19" s="14" t="n">
        <v>0.04</v>
      </c>
      <c r="W19" s="14" t="n">
        <v>0.09</v>
      </c>
      <c r="X19" s="14" t="n">
        <v>0.1</v>
      </c>
      <c r="Y19" s="14" t="n">
        <v>0.08</v>
      </c>
      <c r="Z19" s="14" t="n">
        <v>0.05</v>
      </c>
      <c r="AA19" s="14" t="n">
        <v>0.09</v>
      </c>
      <c r="AB19" s="14" t="n">
        <v>0.05</v>
      </c>
      <c r="AC19" s="14" t="n">
        <v>0.07000000000000001</v>
      </c>
      <c r="AD19" s="14" t="n">
        <v>0.07000000000000001</v>
      </c>
      <c r="AE19" s="14" t="n">
        <v>0.1</v>
      </c>
      <c r="AF19" s="14" t="n">
        <v>0.04</v>
      </c>
    </row>
    <row r="20">
      <c r="A20" s="20" t="n"/>
      <c r="B20" s="11" t="inlineStr">
        <is>
          <t>Pas fait d'études</t>
        </is>
      </c>
      <c r="C20" s="12" t="n">
        <v>68</v>
      </c>
      <c r="D20" s="12" t="n">
        <v>3</v>
      </c>
      <c r="E20" s="12" t="n">
        <v>1</v>
      </c>
      <c r="F20" s="12" t="n">
        <v>0</v>
      </c>
      <c r="G20" s="12" t="n">
        <v>32</v>
      </c>
      <c r="H20" s="12" t="n">
        <v>0</v>
      </c>
      <c r="I20" s="12" t="n">
        <v>0</v>
      </c>
      <c r="J20" s="12" t="n">
        <v>0</v>
      </c>
      <c r="K20" s="12" t="n">
        <v>1</v>
      </c>
      <c r="L20" s="12" t="n">
        <v>1</v>
      </c>
      <c r="M20" s="12" t="n">
        <v>1</v>
      </c>
      <c r="N20" s="12" t="n">
        <v>10</v>
      </c>
      <c r="O20" s="12" t="n">
        <v>2</v>
      </c>
      <c r="P20" s="12" t="n">
        <v>0</v>
      </c>
      <c r="Q20" s="12" t="n">
        <v>3</v>
      </c>
      <c r="R20" s="12" t="n">
        <v>0</v>
      </c>
      <c r="S20" s="12" t="n">
        <v>3</v>
      </c>
      <c r="T20" s="12" t="n">
        <v>0</v>
      </c>
      <c r="U20" s="12" t="n">
        <v>1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</v>
      </c>
      <c r="AA20" s="12" t="n">
        <v>4</v>
      </c>
      <c r="AB20" s="12" t="n">
        <v>2</v>
      </c>
      <c r="AC20" s="12" t="n">
        <v>2</v>
      </c>
      <c r="AD20" s="12" t="n">
        <v>0</v>
      </c>
      <c r="AE20" s="12" t="n">
        <v>1</v>
      </c>
      <c r="AF20" s="12" t="n">
        <v>0</v>
      </c>
    </row>
    <row r="21">
      <c r="A21" s="20" t="n"/>
      <c r="B21" s="13" t="inlineStr">
        <is>
          <t>No full-time education</t>
        </is>
      </c>
      <c r="C21" s="15" t="inlineStr">
        <is>
          <t>-</t>
        </is>
      </c>
      <c r="D21" s="15" t="inlineStr">
        <is>
          <t>-</t>
        </is>
      </c>
      <c r="E21" s="15" t="inlineStr">
        <is>
          <t>-</t>
        </is>
      </c>
      <c r="F21" s="15" t="inlineStr">
        <is>
          <t>-</t>
        </is>
      </c>
      <c r="G21" s="14" t="n">
        <v>0.03</v>
      </c>
      <c r="H21" s="15" t="inlineStr">
        <is>
          <t>-</t>
        </is>
      </c>
      <c r="I21" s="15" t="inlineStr">
        <is>
          <t>-</t>
        </is>
      </c>
      <c r="J21" s="15" t="inlineStr">
        <is>
          <t>-</t>
        </is>
      </c>
      <c r="K21" s="15" t="inlineStr">
        <is>
          <t>-</t>
        </is>
      </c>
      <c r="L21" s="15" t="inlineStr">
        <is>
          <t>-</t>
        </is>
      </c>
      <c r="M21" s="15" t="inlineStr">
        <is>
          <t>-</t>
        </is>
      </c>
      <c r="N21" s="14" t="n">
        <v>0.01</v>
      </c>
      <c r="O21" s="15" t="inlineStr">
        <is>
          <t>-</t>
        </is>
      </c>
      <c r="P21" s="15" t="inlineStr">
        <is>
          <t>-</t>
        </is>
      </c>
      <c r="Q21" s="15" t="inlineStr">
        <is>
          <t>-</t>
        </is>
      </c>
      <c r="R21" s="15" t="inlineStr">
        <is>
          <t>-</t>
        </is>
      </c>
      <c r="S21" s="15" t="inlineStr">
        <is>
          <t>-</t>
        </is>
      </c>
      <c r="T21" s="15" t="inlineStr">
        <is>
          <t>-</t>
        </is>
      </c>
      <c r="U21" s="15" t="inlineStr">
        <is>
          <t>-</t>
        </is>
      </c>
      <c r="V21" s="15" t="inlineStr">
        <is>
          <t>-</t>
        </is>
      </c>
      <c r="W21" s="15" t="inlineStr">
        <is>
          <t>-</t>
        </is>
      </c>
      <c r="X21" s="15" t="inlineStr">
        <is>
          <t>-</t>
        </is>
      </c>
      <c r="Y21" s="15" t="inlineStr">
        <is>
          <t>-</t>
        </is>
      </c>
      <c r="Z21" s="15" t="inlineStr">
        <is>
          <t>-</t>
        </is>
      </c>
      <c r="AA21" s="15" t="inlineStr">
        <is>
          <t>-</t>
        </is>
      </c>
      <c r="AB21" s="15" t="inlineStr">
        <is>
          <t>-</t>
        </is>
      </c>
      <c r="AC21" s="15" t="inlineStr">
        <is>
          <t>-</t>
        </is>
      </c>
      <c r="AD21" s="15" t="inlineStr">
        <is>
          <t>-</t>
        </is>
      </c>
      <c r="AE21" s="15" t="inlineStr">
        <is>
          <t>-</t>
        </is>
      </c>
      <c r="AF21" s="15" t="inlineStr">
        <is>
          <t>-</t>
        </is>
      </c>
    </row>
    <row r="22">
      <c r="A22" s="20" t="n"/>
      <c r="B22" s="11" t="inlineStr">
        <is>
          <t>Refus (SPONTANÉ)</t>
        </is>
      </c>
      <c r="C22" s="12" t="n">
        <v>13</v>
      </c>
      <c r="D22" s="12" t="n">
        <v>0</v>
      </c>
      <c r="E22" s="12" t="n">
        <v>2</v>
      </c>
      <c r="F22" s="12" t="n">
        <v>0</v>
      </c>
      <c r="G22" s="12" t="n">
        <v>5</v>
      </c>
      <c r="H22" s="12" t="n">
        <v>1</v>
      </c>
      <c r="I22" s="12" t="n">
        <v>1</v>
      </c>
      <c r="J22" s="12" t="n">
        <v>0</v>
      </c>
      <c r="K22" s="12" t="n">
        <v>5</v>
      </c>
      <c r="L22" s="12" t="n">
        <v>1</v>
      </c>
      <c r="M22" s="12" t="n">
        <v>1</v>
      </c>
      <c r="N22" s="12" t="n">
        <v>1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1</v>
      </c>
      <c r="T22" s="12" t="n">
        <v>1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1</v>
      </c>
      <c r="AA22" s="12" t="n">
        <v>1</v>
      </c>
      <c r="AB22" s="12" t="n">
        <v>0</v>
      </c>
      <c r="AC22" s="12" t="n">
        <v>0</v>
      </c>
      <c r="AD22" s="12" t="n">
        <v>1</v>
      </c>
      <c r="AE22" s="12" t="n">
        <v>0</v>
      </c>
      <c r="AF22" s="12" t="n">
        <v>0</v>
      </c>
    </row>
    <row r="23">
      <c r="A23" s="20" t="n"/>
      <c r="B23" s="13" t="inlineStr">
        <is>
          <t>Refusal (SPONTANEOUS)</t>
        </is>
      </c>
      <c r="C23" s="15" t="inlineStr">
        <is>
          <t>-</t>
        </is>
      </c>
      <c r="D23" s="15" t="inlineStr">
        <is>
          <t>-</t>
        </is>
      </c>
      <c r="E23" s="15" t="inlineStr">
        <is>
          <t>-</t>
        </is>
      </c>
      <c r="F23" s="15" t="inlineStr">
        <is>
          <t>-</t>
        </is>
      </c>
      <c r="G23" s="14" t="n">
        <v>0.01</v>
      </c>
      <c r="H23" s="15" t="inlineStr">
        <is>
          <t>-</t>
        </is>
      </c>
      <c r="I23" s="15" t="inlineStr">
        <is>
          <t>-</t>
        </is>
      </c>
      <c r="J23" s="15" t="inlineStr">
        <is>
          <t>-</t>
        </is>
      </c>
      <c r="K23" s="14" t="n">
        <v>0.01</v>
      </c>
      <c r="L23" s="15" t="inlineStr">
        <is>
          <t>-</t>
        </is>
      </c>
      <c r="M23" s="15" t="inlineStr">
        <is>
          <t>-</t>
        </is>
      </c>
      <c r="N23" s="15" t="inlineStr">
        <is>
          <t>-</t>
        </is>
      </c>
      <c r="O23" s="15" t="inlineStr">
        <is>
          <t>-</t>
        </is>
      </c>
      <c r="P23" s="15" t="inlineStr">
        <is>
          <t>-</t>
        </is>
      </c>
      <c r="Q23" s="15" t="inlineStr">
        <is>
          <t>-</t>
        </is>
      </c>
      <c r="R23" s="15" t="inlineStr">
        <is>
          <t>-</t>
        </is>
      </c>
      <c r="S23" s="15" t="inlineStr">
        <is>
          <t>-</t>
        </is>
      </c>
      <c r="T23" s="15" t="inlineStr">
        <is>
          <t>-</t>
        </is>
      </c>
      <c r="U23" s="15" t="inlineStr">
        <is>
          <t>-</t>
        </is>
      </c>
      <c r="V23" s="15" t="inlineStr">
        <is>
          <t>-</t>
        </is>
      </c>
      <c r="W23" s="15" t="inlineStr">
        <is>
          <t>-</t>
        </is>
      </c>
      <c r="X23" s="15" t="inlineStr">
        <is>
          <t>-</t>
        </is>
      </c>
      <c r="Y23" s="15" t="inlineStr">
        <is>
          <t>-</t>
        </is>
      </c>
      <c r="Z23" s="15" t="inlineStr">
        <is>
          <t>-</t>
        </is>
      </c>
      <c r="AA23" s="15" t="inlineStr">
        <is>
          <t>-</t>
        </is>
      </c>
      <c r="AB23" s="15" t="inlineStr">
        <is>
          <t>-</t>
        </is>
      </c>
      <c r="AC23" s="15" t="inlineStr">
        <is>
          <t>-</t>
        </is>
      </c>
      <c r="AD23" s="15" t="inlineStr">
        <is>
          <t>-</t>
        </is>
      </c>
      <c r="AE23" s="15" t="inlineStr">
        <is>
          <t>-</t>
        </is>
      </c>
      <c r="AF23" s="15" t="inlineStr">
        <is>
          <t>-</t>
        </is>
      </c>
    </row>
    <row r="24">
      <c r="A24" s="20" t="n"/>
      <c r="B24" s="11" t="inlineStr">
        <is>
          <t>Ne sait pas</t>
        </is>
      </c>
      <c r="C24" s="12" t="n">
        <v>61</v>
      </c>
      <c r="D24" s="12" t="n">
        <v>8</v>
      </c>
      <c r="E24" s="12" t="n">
        <v>3</v>
      </c>
      <c r="F24" s="12" t="n">
        <v>22</v>
      </c>
      <c r="G24" s="12" t="n">
        <v>3</v>
      </c>
      <c r="H24" s="12" t="n">
        <v>2</v>
      </c>
      <c r="I24" s="12" t="n">
        <v>2</v>
      </c>
      <c r="J24" s="12" t="n">
        <v>0</v>
      </c>
      <c r="K24" s="12" t="n">
        <v>3</v>
      </c>
      <c r="L24" s="12" t="n">
        <v>1</v>
      </c>
      <c r="M24" s="12" t="n">
        <v>0</v>
      </c>
      <c r="N24" s="12" t="n">
        <v>0</v>
      </c>
      <c r="O24" s="12" t="n">
        <v>1</v>
      </c>
      <c r="P24" s="12" t="n">
        <v>3</v>
      </c>
      <c r="Q24" s="12" t="n">
        <v>2</v>
      </c>
      <c r="R24" s="12" t="n">
        <v>0</v>
      </c>
      <c r="S24" s="12" t="n">
        <v>4</v>
      </c>
      <c r="T24" s="12" t="n">
        <v>6</v>
      </c>
      <c r="U24" s="12" t="n">
        <v>3</v>
      </c>
      <c r="V24" s="12" t="n">
        <v>0</v>
      </c>
      <c r="W24" s="12" t="n">
        <v>5</v>
      </c>
      <c r="X24" s="12" t="n">
        <v>11</v>
      </c>
      <c r="Y24" s="12" t="n">
        <v>1</v>
      </c>
      <c r="Z24" s="12" t="n">
        <v>1</v>
      </c>
      <c r="AA24" s="12" t="n">
        <v>6</v>
      </c>
      <c r="AB24" s="12" t="n">
        <v>0</v>
      </c>
      <c r="AC24" s="12" t="n">
        <v>5</v>
      </c>
      <c r="AD24" s="12" t="n">
        <v>1</v>
      </c>
      <c r="AE24" s="12" t="n">
        <v>2</v>
      </c>
      <c r="AF24" s="12" t="n">
        <v>4</v>
      </c>
    </row>
    <row r="25">
      <c r="A25" s="20" t="n"/>
      <c r="B25" s="13" t="inlineStr">
        <is>
          <t>Don't know</t>
        </is>
      </c>
      <c r="C25" s="15" t="inlineStr">
        <is>
          <t>-</t>
        </is>
      </c>
      <c r="D25" s="14" t="n">
        <v>0.01</v>
      </c>
      <c r="E25" s="15" t="inlineStr">
        <is>
          <t>-</t>
        </is>
      </c>
      <c r="F25" s="14" t="n">
        <v>0.02</v>
      </c>
      <c r="G25" s="15" t="inlineStr">
        <is>
          <t>-</t>
        </is>
      </c>
      <c r="H25" s="15" t="inlineStr">
        <is>
          <t>-</t>
        </is>
      </c>
      <c r="I25" s="15" t="inlineStr">
        <is>
          <t>-</t>
        </is>
      </c>
      <c r="J25" s="15" t="inlineStr">
        <is>
          <t>-</t>
        </is>
      </c>
      <c r="K25" s="15" t="inlineStr">
        <is>
          <t>-</t>
        </is>
      </c>
      <c r="L25" s="15" t="inlineStr">
        <is>
          <t>-</t>
        </is>
      </c>
      <c r="M25" s="15" t="inlineStr">
        <is>
          <t>-</t>
        </is>
      </c>
      <c r="N25" s="15" t="inlineStr">
        <is>
          <t>-</t>
        </is>
      </c>
      <c r="O25" s="15" t="inlineStr">
        <is>
          <t>-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15" t="inlineStr">
        <is>
          <t>-</t>
        </is>
      </c>
      <c r="T25" s="15" t="inlineStr">
        <is>
          <t>-</t>
        </is>
      </c>
      <c r="U25" s="14" t="n">
        <v>0.01</v>
      </c>
      <c r="V25" s="15" t="inlineStr">
        <is>
          <t>-</t>
        </is>
      </c>
      <c r="W25" s="14" t="n">
        <v>0.01</v>
      </c>
      <c r="X25" s="14" t="n">
        <v>0.01</v>
      </c>
      <c r="Y25" s="15" t="inlineStr">
        <is>
          <t>-</t>
        </is>
      </c>
      <c r="Z25" s="15" t="inlineStr">
        <is>
          <t>-</t>
        </is>
      </c>
      <c r="AA25" s="14" t="n">
        <v>0.01</v>
      </c>
      <c r="AB25" s="15" t="inlineStr">
        <is>
          <t>-</t>
        </is>
      </c>
      <c r="AC25" s="15" t="inlineStr">
        <is>
          <t>-</t>
        </is>
      </c>
      <c r="AD25" s="15" t="inlineStr">
        <is>
          <t>-</t>
        </is>
      </c>
      <c r="AE25" s="15" t="inlineStr">
        <is>
          <t>-</t>
        </is>
      </c>
      <c r="AF25" s="15" t="inlineStr">
        <is>
          <t>-</t>
        </is>
      </c>
    </row>
    <row r="26">
      <c r="A26" s="20" t="n"/>
      <c r="B26" s="11" t="inlineStr">
        <is>
          <t>Moyenne</t>
        </is>
      </c>
      <c r="C26" s="12" t="n">
        <v>19.72</v>
      </c>
      <c r="D26" s="12" t="n">
        <v>20.72</v>
      </c>
      <c r="E26" s="12" t="n">
        <v>19.68</v>
      </c>
      <c r="F26" s="12" t="n">
        <v>19.81</v>
      </c>
      <c r="G26" s="12" t="n">
        <v>25.78</v>
      </c>
      <c r="H26" s="12" t="n">
        <v>20.11</v>
      </c>
      <c r="I26" s="12" t="n">
        <v>19.88</v>
      </c>
      <c r="J26" s="12" t="n">
        <v>18.99</v>
      </c>
      <c r="K26" s="12" t="n">
        <v>20.32</v>
      </c>
      <c r="L26" s="12" t="n">
        <v>20.55</v>
      </c>
      <c r="M26" s="12" t="n">
        <v>18.24</v>
      </c>
      <c r="N26" s="12" t="n">
        <v>18.43</v>
      </c>
      <c r="O26" s="12" t="n">
        <v>19.59</v>
      </c>
      <c r="P26" s="12" t="n">
        <v>18.89</v>
      </c>
      <c r="Q26" s="12" t="n">
        <v>18.75</v>
      </c>
      <c r="R26" s="12" t="n">
        <v>20.31</v>
      </c>
      <c r="S26" s="12" t="n">
        <v>20.21</v>
      </c>
      <c r="T26" s="12" t="n">
        <v>20.01</v>
      </c>
      <c r="U26" s="12" t="n">
        <v>21.67</v>
      </c>
      <c r="V26" s="12" t="n">
        <v>18.69</v>
      </c>
      <c r="W26" s="12" t="n">
        <v>19.81</v>
      </c>
      <c r="X26" s="12" t="n">
        <v>21.6</v>
      </c>
      <c r="Y26" s="12" t="n">
        <v>18.64</v>
      </c>
      <c r="Z26" s="12" t="n">
        <v>20.14</v>
      </c>
      <c r="AA26" s="12" t="n">
        <v>16.84</v>
      </c>
      <c r="AB26" s="12" t="n">
        <v>19.12</v>
      </c>
      <c r="AC26" s="12" t="n">
        <v>20.2</v>
      </c>
      <c r="AD26" s="12" t="n">
        <v>19.67</v>
      </c>
      <c r="AE26" s="12" t="n">
        <v>24.57</v>
      </c>
      <c r="AF26" s="12" t="n">
        <v>26.12</v>
      </c>
    </row>
    <row r="27">
      <c r="A27" s="23" t="n"/>
      <c r="B27" s="13" t="inlineStr">
        <is>
          <t>Average</t>
        </is>
      </c>
      <c r="C27" s="15" t="inlineStr">
        <is>
          <t>-</t>
        </is>
      </c>
      <c r="D27" s="15" t="inlineStr">
        <is>
          <t>-</t>
        </is>
      </c>
      <c r="E27" s="15" t="inlineStr">
        <is>
          <t>-</t>
        </is>
      </c>
      <c r="F27" s="15" t="inlineStr">
        <is>
          <t>-</t>
        </is>
      </c>
      <c r="G27" s="15" t="inlineStr">
        <is>
          <t>-</t>
        </is>
      </c>
      <c r="H27" s="15" t="inlineStr">
        <is>
          <t>-</t>
        </is>
      </c>
      <c r="I27" s="15" t="inlineStr">
        <is>
          <t>-</t>
        </is>
      </c>
      <c r="J27" s="15" t="inlineStr">
        <is>
          <t>-</t>
        </is>
      </c>
      <c r="K27" s="15" t="inlineStr">
        <is>
          <t>-</t>
        </is>
      </c>
      <c r="L27" s="15" t="inlineStr">
        <is>
          <t>-</t>
        </is>
      </c>
      <c r="M27" s="15" t="inlineStr">
        <is>
          <t>-</t>
        </is>
      </c>
      <c r="N27" s="15" t="inlineStr">
        <is>
          <t>-</t>
        </is>
      </c>
      <c r="O27" s="15" t="inlineStr">
        <is>
          <t>-</t>
        </is>
      </c>
      <c r="P27" s="15" t="inlineStr">
        <is>
          <t>-</t>
        </is>
      </c>
      <c r="Q27" s="15" t="inlineStr">
        <is>
          <t>-</t>
        </is>
      </c>
      <c r="R27" s="15" t="inlineStr">
        <is>
          <t>-</t>
        </is>
      </c>
      <c r="S27" s="15" t="inlineStr">
        <is>
          <t>-</t>
        </is>
      </c>
      <c r="T27" s="15" t="inlineStr">
        <is>
          <t>-</t>
        </is>
      </c>
      <c r="U27" s="15" t="inlineStr">
        <is>
          <t>-</t>
        </is>
      </c>
      <c r="V27" s="15" t="inlineStr">
        <is>
          <t>-</t>
        </is>
      </c>
      <c r="W27" s="15" t="inlineStr">
        <is>
          <t>-</t>
        </is>
      </c>
      <c r="X27" s="15" t="inlineStr">
        <is>
          <t>-</t>
        </is>
      </c>
      <c r="Y27" s="15" t="inlineStr">
        <is>
          <t>-</t>
        </is>
      </c>
      <c r="Z27" s="15" t="inlineStr">
        <is>
          <t>-</t>
        </is>
      </c>
      <c r="AA27" s="15" t="inlineStr">
        <is>
          <t>-</t>
        </is>
      </c>
      <c r="AB27" s="15" t="inlineStr">
        <is>
          <t>-</t>
        </is>
      </c>
      <c r="AC27" s="15" t="inlineStr">
        <is>
          <t>-</t>
        </is>
      </c>
      <c r="AD27" s="15" t="inlineStr">
        <is>
          <t>-</t>
        </is>
      </c>
      <c r="AE27" s="15" t="inlineStr">
        <is>
          <t>-</t>
        </is>
      </c>
      <c r="AF27" s="15" t="inlineStr">
        <is>
          <t>-</t>
        </is>
      </c>
    </row>
  </sheetData>
  <mergeCells count="9">
    <mergeCell ref="B4:F4"/>
    <mergeCell ref="H5:L5"/>
    <mergeCell ref="H3:L3"/>
    <mergeCell ref="C8:AF8"/>
    <mergeCell ref="B3:F3"/>
    <mergeCell ref="B5:F5"/>
    <mergeCell ref="A10:A27"/>
    <mergeCell ref="B10:B11"/>
    <mergeCell ref="H4:L4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F39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12" customHeight="1" s="18">
      <c r="B3" s="21" t="inlineStr">
        <is>
          <t>D8c. Quel est le niveau d'études le plus élevé que vous avez atteint ?</t>
        </is>
      </c>
      <c r="H3" s="21" t="inlineStr">
        <is>
          <t>D8c. What is the highest level of education you completed?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HYPERLINK("#Content!A50","&lt;&lt;Back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Éducation de la petite enfance (inclus pas d'éducation)</t>
        </is>
      </c>
      <c r="C12" s="12" t="n">
        <v>162</v>
      </c>
      <c r="D12" s="12" t="n">
        <v>11</v>
      </c>
      <c r="E12" s="12" t="n">
        <v>3</v>
      </c>
      <c r="F12" s="12" t="n">
        <v>1</v>
      </c>
      <c r="G12" s="12" t="n">
        <v>4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10</v>
      </c>
      <c r="M12" s="12" t="n">
        <v>13</v>
      </c>
      <c r="N12" s="12" t="n">
        <v>35</v>
      </c>
      <c r="O12" s="12" t="n">
        <v>1</v>
      </c>
      <c r="P12" s="12" t="n">
        <v>1</v>
      </c>
      <c r="Q12" s="12" t="n">
        <v>2</v>
      </c>
      <c r="R12" s="12" t="n">
        <v>2</v>
      </c>
      <c r="S12" s="12" t="n">
        <v>2</v>
      </c>
      <c r="T12" s="12" t="n">
        <v>1</v>
      </c>
      <c r="U12" s="12" t="n">
        <v>0</v>
      </c>
      <c r="V12" s="12" t="n">
        <v>4</v>
      </c>
      <c r="W12" s="12" t="n">
        <v>1</v>
      </c>
      <c r="X12" s="12" t="n">
        <v>2</v>
      </c>
      <c r="Y12" s="12" t="n">
        <v>1</v>
      </c>
      <c r="Z12" s="12" t="n">
        <v>1</v>
      </c>
      <c r="AA12" s="12" t="n">
        <v>26</v>
      </c>
      <c r="AB12" s="12" t="n">
        <v>2</v>
      </c>
      <c r="AC12" s="12" t="n">
        <v>1</v>
      </c>
      <c r="AD12" s="12" t="n">
        <v>4</v>
      </c>
      <c r="AE12" s="12" t="n">
        <v>4</v>
      </c>
      <c r="AF12" s="12" t="n">
        <v>0</v>
      </c>
    </row>
    <row r="13">
      <c r="A13" s="20" t="n"/>
      <c r="B13" s="13" t="inlineStr">
        <is>
          <t>Pre-primary education (include no education)</t>
        </is>
      </c>
      <c r="C13" s="14" t="n">
        <v>0.01</v>
      </c>
      <c r="D13" s="14" t="n">
        <v>0.01</v>
      </c>
      <c r="E13" s="15" t="inlineStr">
        <is>
          <t>-</t>
        </is>
      </c>
      <c r="F13" s="15" t="inlineStr">
        <is>
          <t>-</t>
        </is>
      </c>
      <c r="G13" s="15" t="inlineStr">
        <is>
          <t>-</t>
        </is>
      </c>
      <c r="H13" s="15" t="inlineStr">
        <is>
          <t>-</t>
        </is>
      </c>
      <c r="I13" s="15" t="inlineStr">
        <is>
          <t>-</t>
        </is>
      </c>
      <c r="J13" s="15" t="inlineStr">
        <is>
          <t>-</t>
        </is>
      </c>
      <c r="K13" s="15" t="inlineStr">
        <is>
          <t>-</t>
        </is>
      </c>
      <c r="L13" s="14" t="n">
        <v>0.01</v>
      </c>
      <c r="M13" s="14" t="n">
        <v>0.01</v>
      </c>
      <c r="N13" s="14" t="n">
        <v>0.04</v>
      </c>
      <c r="O13" s="15" t="inlineStr">
        <is>
          <t>-</t>
        </is>
      </c>
      <c r="P13" s="15" t="inlineStr">
        <is>
          <t>-</t>
        </is>
      </c>
      <c r="Q13" s="15" t="inlineStr">
        <is>
          <t>-</t>
        </is>
      </c>
      <c r="R13" s="15" t="inlineStr">
        <is>
          <t>-</t>
        </is>
      </c>
      <c r="S13" s="15" t="inlineStr">
        <is>
          <t>-</t>
        </is>
      </c>
      <c r="T13" s="15" t="inlineStr">
        <is>
          <t>-</t>
        </is>
      </c>
      <c r="U13" s="15" t="inlineStr">
        <is>
          <t>-</t>
        </is>
      </c>
      <c r="V13" s="15" t="inlineStr">
        <is>
          <t>-</t>
        </is>
      </c>
      <c r="W13" s="15" t="inlineStr">
        <is>
          <t>-</t>
        </is>
      </c>
      <c r="X13" s="15" t="inlineStr">
        <is>
          <t>-</t>
        </is>
      </c>
      <c r="Y13" s="15" t="inlineStr">
        <is>
          <t>-</t>
        </is>
      </c>
      <c r="Z13" s="15" t="inlineStr">
        <is>
          <t>-</t>
        </is>
      </c>
      <c r="AA13" s="14" t="n">
        <v>0.02</v>
      </c>
      <c r="AB13" s="15" t="inlineStr">
        <is>
          <t>-</t>
        </is>
      </c>
      <c r="AC13" s="15" t="inlineStr">
        <is>
          <t>-</t>
        </is>
      </c>
      <c r="AD13" s="14" t="n">
        <v>0.01</v>
      </c>
      <c r="AE13" s="15" t="inlineStr">
        <is>
          <t>-</t>
        </is>
      </c>
      <c r="AF13" s="15" t="inlineStr">
        <is>
          <t>-</t>
        </is>
      </c>
    </row>
    <row r="14">
      <c r="A14" s="20" t="n"/>
      <c r="B14" s="11" t="inlineStr">
        <is>
          <t>Enseignement primaire</t>
        </is>
      </c>
      <c r="C14" s="12" t="n">
        <v>1087</v>
      </c>
      <c r="D14" s="12" t="n">
        <v>30</v>
      </c>
      <c r="E14" s="12" t="n">
        <v>26</v>
      </c>
      <c r="F14" s="12" t="n">
        <v>3</v>
      </c>
      <c r="G14" s="12" t="n">
        <v>6</v>
      </c>
      <c r="H14" s="12" t="n">
        <v>4</v>
      </c>
      <c r="I14" s="12" t="n">
        <v>11</v>
      </c>
      <c r="J14" s="12" t="n">
        <v>7</v>
      </c>
      <c r="K14" s="12" t="n">
        <v>11</v>
      </c>
      <c r="L14" s="12" t="n">
        <v>34</v>
      </c>
      <c r="M14" s="12" t="n">
        <v>143</v>
      </c>
      <c r="N14" s="12" t="n">
        <v>92</v>
      </c>
      <c r="O14" s="12" t="n">
        <v>58</v>
      </c>
      <c r="P14" s="12" t="n">
        <v>8</v>
      </c>
      <c r="Q14" s="12" t="n">
        <v>40</v>
      </c>
      <c r="R14" s="12" t="n">
        <v>40</v>
      </c>
      <c r="S14" s="12" t="n">
        <v>14</v>
      </c>
      <c r="T14" s="12" t="n">
        <v>22</v>
      </c>
      <c r="U14" s="12" t="n">
        <v>28</v>
      </c>
      <c r="V14" s="12" t="n">
        <v>2</v>
      </c>
      <c r="W14" s="12" t="n">
        <v>49</v>
      </c>
      <c r="X14" s="12" t="n">
        <v>26</v>
      </c>
      <c r="Y14" s="12" t="n">
        <v>1</v>
      </c>
      <c r="Z14" s="12" t="n">
        <v>3</v>
      </c>
      <c r="AA14" s="12" t="n">
        <v>290</v>
      </c>
      <c r="AB14" s="12" t="n">
        <v>25</v>
      </c>
      <c r="AC14" s="12" t="n">
        <v>5</v>
      </c>
      <c r="AD14" s="12" t="n">
        <v>52</v>
      </c>
      <c r="AE14" s="12" t="n">
        <v>30</v>
      </c>
      <c r="AF14" s="12" t="n">
        <v>7</v>
      </c>
    </row>
    <row r="15">
      <c r="A15" s="20" t="n"/>
      <c r="B15" s="13" t="inlineStr">
        <is>
          <t>Primary education</t>
        </is>
      </c>
      <c r="C15" s="14" t="n">
        <v>0.04</v>
      </c>
      <c r="D15" s="14" t="n">
        <v>0.03</v>
      </c>
      <c r="E15" s="14" t="n">
        <v>0.03</v>
      </c>
      <c r="F15" s="14" t="n">
        <v>0.01</v>
      </c>
      <c r="G15" s="14" t="n">
        <v>0.01</v>
      </c>
      <c r="H15" s="14" t="n">
        <v>0.01</v>
      </c>
      <c r="I15" s="14" t="n">
        <v>0.01</v>
      </c>
      <c r="J15" s="14" t="n">
        <v>0.02</v>
      </c>
      <c r="K15" s="14" t="n">
        <v>0.01</v>
      </c>
      <c r="L15" s="14" t="n">
        <v>0.04</v>
      </c>
      <c r="M15" s="14" t="n">
        <v>0.14</v>
      </c>
      <c r="N15" s="14" t="n">
        <v>0.09</v>
      </c>
      <c r="O15" s="14" t="n">
        <v>0.06</v>
      </c>
      <c r="P15" s="14" t="n">
        <v>0.01</v>
      </c>
      <c r="Q15" s="14" t="n">
        <v>0.04</v>
      </c>
      <c r="R15" s="14" t="n">
        <v>0.08</v>
      </c>
      <c r="S15" s="14" t="n">
        <v>0.01</v>
      </c>
      <c r="T15" s="14" t="n">
        <v>0.02</v>
      </c>
      <c r="U15" s="14" t="n">
        <v>0.06</v>
      </c>
      <c r="V15" s="15" t="inlineStr">
        <is>
          <t>-</t>
        </is>
      </c>
      <c r="W15" s="14" t="n">
        <v>0.1</v>
      </c>
      <c r="X15" s="14" t="n">
        <v>0.03</v>
      </c>
      <c r="Y15" s="15" t="inlineStr">
        <is>
          <t>-</t>
        </is>
      </c>
      <c r="Z15" s="15" t="inlineStr">
        <is>
          <t>-</t>
        </is>
      </c>
      <c r="AA15" s="14" t="n">
        <v>0.28</v>
      </c>
      <c r="AB15" s="14" t="n">
        <v>0.02</v>
      </c>
      <c r="AC15" s="15" t="inlineStr">
        <is>
          <t>-</t>
        </is>
      </c>
      <c r="AD15" s="14" t="n">
        <v>0.05</v>
      </c>
      <c r="AE15" s="14" t="n">
        <v>0.03</v>
      </c>
      <c r="AF15" s="14" t="n">
        <v>0.01</v>
      </c>
    </row>
    <row r="16">
      <c r="A16" s="20" t="n"/>
      <c r="B16" s="11" t="inlineStr">
        <is>
          <t>Premier cycle de l’enseignement secondaire</t>
        </is>
      </c>
      <c r="C16" s="12" t="n">
        <v>5769</v>
      </c>
      <c r="D16" s="12" t="n">
        <v>142</v>
      </c>
      <c r="E16" s="12" t="n">
        <v>123</v>
      </c>
      <c r="F16" s="12" t="n">
        <v>96</v>
      </c>
      <c r="G16" s="12" t="n">
        <v>101</v>
      </c>
      <c r="H16" s="12" t="n">
        <v>440</v>
      </c>
      <c r="I16" s="12" t="n">
        <v>533</v>
      </c>
      <c r="J16" s="12" t="n">
        <v>94</v>
      </c>
      <c r="K16" s="12" t="n">
        <v>171</v>
      </c>
      <c r="L16" s="12" t="n">
        <v>135</v>
      </c>
      <c r="M16" s="12" t="n">
        <v>135</v>
      </c>
      <c r="N16" s="12" t="n">
        <v>188</v>
      </c>
      <c r="O16" s="12" t="n">
        <v>311</v>
      </c>
      <c r="P16" s="12" t="n">
        <v>83</v>
      </c>
      <c r="Q16" s="12" t="n">
        <v>240</v>
      </c>
      <c r="R16" s="12" t="n">
        <v>23</v>
      </c>
      <c r="S16" s="12" t="n">
        <v>104</v>
      </c>
      <c r="T16" s="12" t="n">
        <v>153</v>
      </c>
      <c r="U16" s="12" t="n">
        <v>63</v>
      </c>
      <c r="V16" s="12" t="n">
        <v>395</v>
      </c>
      <c r="W16" s="12" t="n">
        <v>71</v>
      </c>
      <c r="X16" s="12" t="n">
        <v>115</v>
      </c>
      <c r="Y16" s="12" t="n">
        <v>67</v>
      </c>
      <c r="Z16" s="12" t="n">
        <v>77</v>
      </c>
      <c r="AA16" s="12" t="n">
        <v>213</v>
      </c>
      <c r="AB16" s="12" t="n">
        <v>134</v>
      </c>
      <c r="AC16" s="12" t="n">
        <v>354</v>
      </c>
      <c r="AD16" s="12" t="n">
        <v>231</v>
      </c>
      <c r="AE16" s="12" t="n">
        <v>164</v>
      </c>
      <c r="AF16" s="12" t="n">
        <v>51</v>
      </c>
    </row>
    <row r="17">
      <c r="A17" s="20" t="n"/>
      <c r="B17" s="13" t="inlineStr">
        <is>
          <t>Lower secondary education</t>
        </is>
      </c>
      <c r="C17" s="14" t="n">
        <v>0.22</v>
      </c>
      <c r="D17" s="14" t="n">
        <v>0.14</v>
      </c>
      <c r="E17" s="14" t="n">
        <v>0.12</v>
      </c>
      <c r="F17" s="14" t="n">
        <v>0.09</v>
      </c>
      <c r="G17" s="14" t="n">
        <v>0.1</v>
      </c>
      <c r="H17" s="14" t="n">
        <v>0.36</v>
      </c>
      <c r="I17" s="14" t="n">
        <v>0.35</v>
      </c>
      <c r="J17" s="14" t="n">
        <v>0.32</v>
      </c>
      <c r="K17" s="14" t="n">
        <v>0.17</v>
      </c>
      <c r="L17" s="14" t="n">
        <v>0.13</v>
      </c>
      <c r="M17" s="14" t="n">
        <v>0.13</v>
      </c>
      <c r="N17" s="14" t="n">
        <v>0.19</v>
      </c>
      <c r="O17" s="14" t="n">
        <v>0.31</v>
      </c>
      <c r="P17" s="14" t="n">
        <v>0.08</v>
      </c>
      <c r="Q17" s="14" t="n">
        <v>0.23</v>
      </c>
      <c r="R17" s="14" t="n">
        <v>0.05</v>
      </c>
      <c r="S17" s="14" t="n">
        <v>0.1</v>
      </c>
      <c r="T17" s="14" t="n">
        <v>0.15</v>
      </c>
      <c r="U17" s="14" t="n">
        <v>0.12</v>
      </c>
      <c r="V17" s="14" t="n">
        <v>0.39</v>
      </c>
      <c r="W17" s="14" t="n">
        <v>0.14</v>
      </c>
      <c r="X17" s="14" t="n">
        <v>0.11</v>
      </c>
      <c r="Y17" s="14" t="n">
        <v>0.07000000000000001</v>
      </c>
      <c r="Z17" s="14" t="n">
        <v>0.08</v>
      </c>
      <c r="AA17" s="14" t="n">
        <v>0.21</v>
      </c>
      <c r="AB17" s="14" t="n">
        <v>0.13</v>
      </c>
      <c r="AC17" s="14" t="n">
        <v>0.35</v>
      </c>
      <c r="AD17" s="14" t="n">
        <v>0.23</v>
      </c>
      <c r="AE17" s="14" t="n">
        <v>0.16</v>
      </c>
      <c r="AF17" s="14" t="n">
        <v>0.05</v>
      </c>
    </row>
    <row r="18">
      <c r="A18" s="20" t="n"/>
      <c r="B18" s="11" t="inlineStr">
        <is>
          <t>Deuxième cycle de l’enseignement secondaire</t>
        </is>
      </c>
      <c r="C18" s="12" t="n">
        <v>9625</v>
      </c>
      <c r="D18" s="12" t="n">
        <v>351</v>
      </c>
      <c r="E18" s="12" t="n">
        <v>588</v>
      </c>
      <c r="F18" s="12" t="n">
        <v>714</v>
      </c>
      <c r="G18" s="12" t="n">
        <v>244</v>
      </c>
      <c r="H18" s="12" t="n">
        <v>371</v>
      </c>
      <c r="I18" s="12" t="n">
        <v>478</v>
      </c>
      <c r="J18" s="12" t="n">
        <v>106</v>
      </c>
      <c r="K18" s="12" t="n">
        <v>349</v>
      </c>
      <c r="L18" s="12" t="n">
        <v>272</v>
      </c>
      <c r="M18" s="12" t="n">
        <v>414</v>
      </c>
      <c r="N18" s="12" t="n">
        <v>130</v>
      </c>
      <c r="O18" s="12" t="n">
        <v>217</v>
      </c>
      <c r="P18" s="12" t="n">
        <v>689</v>
      </c>
      <c r="Q18" s="12" t="n">
        <v>557</v>
      </c>
      <c r="R18" s="12" t="n">
        <v>188</v>
      </c>
      <c r="S18" s="12" t="n">
        <v>433</v>
      </c>
      <c r="T18" s="12" t="n">
        <v>297</v>
      </c>
      <c r="U18" s="12" t="n">
        <v>99</v>
      </c>
      <c r="V18" s="12" t="n">
        <v>371</v>
      </c>
      <c r="W18" s="12" t="n">
        <v>89</v>
      </c>
      <c r="X18" s="12" t="n">
        <v>357</v>
      </c>
      <c r="Y18" s="12" t="n">
        <v>99</v>
      </c>
      <c r="Z18" s="12" t="n">
        <v>674</v>
      </c>
      <c r="AA18" s="12" t="n">
        <v>274</v>
      </c>
      <c r="AB18" s="12" t="n">
        <v>637</v>
      </c>
      <c r="AC18" s="12" t="n">
        <v>307</v>
      </c>
      <c r="AD18" s="12" t="n">
        <v>452</v>
      </c>
      <c r="AE18" s="12" t="n">
        <v>211</v>
      </c>
      <c r="AF18" s="12" t="n">
        <v>282</v>
      </c>
    </row>
    <row r="19">
      <c r="A19" s="20" t="n"/>
      <c r="B19" s="13" t="inlineStr">
        <is>
          <t>Upper secondary education</t>
        </is>
      </c>
      <c r="C19" s="14" t="n">
        <v>0.36</v>
      </c>
      <c r="D19" s="14" t="n">
        <v>0.34</v>
      </c>
      <c r="E19" s="14" t="n">
        <v>0.58</v>
      </c>
      <c r="F19" s="14" t="n">
        <v>0.68</v>
      </c>
      <c r="G19" s="14" t="n">
        <v>0.24</v>
      </c>
      <c r="H19" s="14" t="n">
        <v>0.31</v>
      </c>
      <c r="I19" s="14" t="n">
        <v>0.32</v>
      </c>
      <c r="J19" s="14" t="n">
        <v>0.36</v>
      </c>
      <c r="K19" s="14" t="n">
        <v>0.35</v>
      </c>
      <c r="L19" s="14" t="n">
        <v>0.27</v>
      </c>
      <c r="M19" s="14" t="n">
        <v>0.41</v>
      </c>
      <c r="N19" s="14" t="n">
        <v>0.13</v>
      </c>
      <c r="O19" s="14" t="n">
        <v>0.21</v>
      </c>
      <c r="P19" s="14" t="n">
        <v>0.68</v>
      </c>
      <c r="Q19" s="14" t="n">
        <v>0.54</v>
      </c>
      <c r="R19" s="14" t="n">
        <v>0.37</v>
      </c>
      <c r="S19" s="14" t="n">
        <v>0.43</v>
      </c>
      <c r="T19" s="14" t="n">
        <v>0.29</v>
      </c>
      <c r="U19" s="14" t="n">
        <v>0.19</v>
      </c>
      <c r="V19" s="14" t="n">
        <v>0.36</v>
      </c>
      <c r="W19" s="14" t="n">
        <v>0.18</v>
      </c>
      <c r="X19" s="14" t="n">
        <v>0.35</v>
      </c>
      <c r="Y19" s="14" t="n">
        <v>0.1</v>
      </c>
      <c r="Z19" s="14" t="n">
        <v>0.66</v>
      </c>
      <c r="AA19" s="14" t="n">
        <v>0.27</v>
      </c>
      <c r="AB19" s="14" t="n">
        <v>0.61</v>
      </c>
      <c r="AC19" s="14" t="n">
        <v>0.31</v>
      </c>
      <c r="AD19" s="14" t="n">
        <v>0.45</v>
      </c>
      <c r="AE19" s="14" t="n">
        <v>0.21</v>
      </c>
      <c r="AF19" s="14" t="n">
        <v>0.27</v>
      </c>
    </row>
    <row r="20">
      <c r="A20" s="20" t="n"/>
      <c r="B20" s="11" t="inlineStr">
        <is>
          <t>Enseignement post-secondaire non-supérieur</t>
        </is>
      </c>
      <c r="C20" s="12" t="n">
        <v>1974</v>
      </c>
      <c r="D20" s="12" t="n">
        <v>55</v>
      </c>
      <c r="E20" s="12" t="n">
        <v>0</v>
      </c>
      <c r="F20" s="12" t="n">
        <v>34</v>
      </c>
      <c r="G20" s="12" t="n">
        <v>113</v>
      </c>
      <c r="H20" s="12" t="n">
        <v>64</v>
      </c>
      <c r="I20" s="12" t="n">
        <v>81</v>
      </c>
      <c r="J20" s="12" t="n">
        <v>17</v>
      </c>
      <c r="K20" s="12" t="n">
        <v>109</v>
      </c>
      <c r="L20" s="12" t="n">
        <v>80</v>
      </c>
      <c r="M20" s="12" t="n">
        <v>67</v>
      </c>
      <c r="N20" s="12" t="n">
        <v>290</v>
      </c>
      <c r="O20" s="12" t="n">
        <v>29</v>
      </c>
      <c r="P20" s="12" t="n">
        <v>4</v>
      </c>
      <c r="Q20" s="12" t="n">
        <v>8</v>
      </c>
      <c r="R20" s="12" t="n">
        <v>7</v>
      </c>
      <c r="S20" s="12" t="n">
        <v>119</v>
      </c>
      <c r="T20" s="12" t="n">
        <v>122</v>
      </c>
      <c r="U20" s="12" t="n">
        <v>49</v>
      </c>
      <c r="V20" s="12" t="n">
        <v>36</v>
      </c>
      <c r="W20" s="12" t="n">
        <v>61</v>
      </c>
      <c r="X20" s="12" t="n">
        <v>8</v>
      </c>
      <c r="Y20" s="12" t="n">
        <v>516</v>
      </c>
      <c r="Z20" s="12" t="n">
        <v>29</v>
      </c>
      <c r="AA20" s="12" t="n">
        <v>15</v>
      </c>
      <c r="AB20" s="12" t="n">
        <v>46</v>
      </c>
      <c r="AC20" s="12" t="n">
        <v>29</v>
      </c>
      <c r="AD20" s="12" t="n">
        <v>31</v>
      </c>
      <c r="AE20" s="12" t="n">
        <v>39</v>
      </c>
      <c r="AF20" s="12" t="n">
        <v>110</v>
      </c>
    </row>
    <row r="21">
      <c r="A21" s="20" t="n"/>
      <c r="B21" s="13" t="inlineStr">
        <is>
          <t>Post-secondary non tertiary (including pre-vocational or vocational education)</t>
        </is>
      </c>
      <c r="C21" s="14" t="n">
        <v>0.08</v>
      </c>
      <c r="D21" s="14" t="n">
        <v>0.05</v>
      </c>
      <c r="E21" s="15" t="inlineStr">
        <is>
          <t>-</t>
        </is>
      </c>
      <c r="F21" s="14" t="n">
        <v>0.03</v>
      </c>
      <c r="G21" s="14" t="n">
        <v>0.11</v>
      </c>
      <c r="H21" s="14" t="n">
        <v>0.05</v>
      </c>
      <c r="I21" s="14" t="n">
        <v>0.05</v>
      </c>
      <c r="J21" s="14" t="n">
        <v>0.06</v>
      </c>
      <c r="K21" s="14" t="n">
        <v>0.11</v>
      </c>
      <c r="L21" s="14" t="n">
        <v>0.08</v>
      </c>
      <c r="M21" s="14" t="n">
        <v>0.07000000000000001</v>
      </c>
      <c r="N21" s="14" t="n">
        <v>0.29</v>
      </c>
      <c r="O21" s="14" t="n">
        <v>0.03</v>
      </c>
      <c r="P21" s="14" t="n">
        <v>0.01</v>
      </c>
      <c r="Q21" s="14" t="n">
        <v>0.01</v>
      </c>
      <c r="R21" s="14" t="n">
        <v>0.01</v>
      </c>
      <c r="S21" s="14" t="n">
        <v>0.12</v>
      </c>
      <c r="T21" s="14" t="n">
        <v>0.12</v>
      </c>
      <c r="U21" s="14" t="n">
        <v>0.1</v>
      </c>
      <c r="V21" s="14" t="n">
        <v>0.04</v>
      </c>
      <c r="W21" s="14" t="n">
        <v>0.12</v>
      </c>
      <c r="X21" s="14" t="n">
        <v>0.01</v>
      </c>
      <c r="Y21" s="14" t="n">
        <v>0.51</v>
      </c>
      <c r="Z21" s="14" t="n">
        <v>0.03</v>
      </c>
      <c r="AA21" s="14" t="n">
        <v>0.01</v>
      </c>
      <c r="AB21" s="14" t="n">
        <v>0.04</v>
      </c>
      <c r="AC21" s="14" t="n">
        <v>0.03</v>
      </c>
      <c r="AD21" s="14" t="n">
        <v>0.03</v>
      </c>
      <c r="AE21" s="14" t="n">
        <v>0.04</v>
      </c>
      <c r="AF21" s="14" t="n">
        <v>0.1</v>
      </c>
    </row>
    <row r="22">
      <c r="A22" s="20" t="n"/>
      <c r="B22" s="11" t="inlineStr">
        <is>
          <t>Enseignement supérieur de cycle court</t>
        </is>
      </c>
      <c r="C22" s="12" t="n">
        <v>1797</v>
      </c>
      <c r="D22" s="12" t="n">
        <v>159</v>
      </c>
      <c r="E22" s="12" t="n">
        <v>0</v>
      </c>
      <c r="F22" s="12" t="n">
        <v>8</v>
      </c>
      <c r="G22" s="12" t="n">
        <v>190</v>
      </c>
      <c r="H22" s="12" t="n">
        <v>36</v>
      </c>
      <c r="I22" s="12" t="n">
        <v>52</v>
      </c>
      <c r="J22" s="12" t="n">
        <v>16</v>
      </c>
      <c r="K22" s="12" t="n">
        <v>48</v>
      </c>
      <c r="L22" s="12" t="n">
        <v>104</v>
      </c>
      <c r="M22" s="12" t="n">
        <v>0</v>
      </c>
      <c r="N22" s="12" t="n">
        <v>83</v>
      </c>
      <c r="O22" s="12" t="n">
        <v>194</v>
      </c>
      <c r="P22" s="12" t="n">
        <v>52</v>
      </c>
      <c r="Q22" s="12" t="n">
        <v>9</v>
      </c>
      <c r="R22" s="12" t="n">
        <v>53</v>
      </c>
      <c r="S22" s="12" t="n">
        <v>46</v>
      </c>
      <c r="T22" s="12" t="n">
        <v>0</v>
      </c>
      <c r="U22" s="12" t="n">
        <v>54</v>
      </c>
      <c r="V22" s="12" t="n">
        <v>29</v>
      </c>
      <c r="W22" s="12" t="n">
        <v>60</v>
      </c>
      <c r="X22" s="12" t="n">
        <v>63</v>
      </c>
      <c r="Y22" s="12" t="n">
        <v>206</v>
      </c>
      <c r="Z22" s="12" t="n">
        <v>0</v>
      </c>
      <c r="AA22" s="12" t="n">
        <v>7</v>
      </c>
      <c r="AB22" s="12" t="n">
        <v>5</v>
      </c>
      <c r="AC22" s="12" t="n">
        <v>103</v>
      </c>
      <c r="AD22" s="12" t="n">
        <v>0</v>
      </c>
      <c r="AE22" s="12" t="n">
        <v>142</v>
      </c>
      <c r="AF22" s="12" t="n">
        <v>187</v>
      </c>
    </row>
    <row r="23">
      <c r="A23" s="20" t="n"/>
      <c r="B23" s="13" t="inlineStr">
        <is>
          <t>Short-cycle tertiary</t>
        </is>
      </c>
      <c r="C23" s="14" t="n">
        <v>0.07000000000000001</v>
      </c>
      <c r="D23" s="14" t="n">
        <v>0.16</v>
      </c>
      <c r="E23" s="15" t="inlineStr">
        <is>
          <t>-</t>
        </is>
      </c>
      <c r="F23" s="14" t="n">
        <v>0.01</v>
      </c>
      <c r="G23" s="14" t="n">
        <v>0.19</v>
      </c>
      <c r="H23" s="14" t="n">
        <v>0.03</v>
      </c>
      <c r="I23" s="14" t="n">
        <v>0.04</v>
      </c>
      <c r="J23" s="14" t="n">
        <v>0.05</v>
      </c>
      <c r="K23" s="14" t="n">
        <v>0.05</v>
      </c>
      <c r="L23" s="14" t="n">
        <v>0.1</v>
      </c>
      <c r="M23" s="15" t="inlineStr">
        <is>
          <t>-</t>
        </is>
      </c>
      <c r="N23" s="14" t="n">
        <v>0.08</v>
      </c>
      <c r="O23" s="14" t="n">
        <v>0.19</v>
      </c>
      <c r="P23" s="14" t="n">
        <v>0.05</v>
      </c>
      <c r="Q23" s="14" t="n">
        <v>0.01</v>
      </c>
      <c r="R23" s="14" t="n">
        <v>0.11</v>
      </c>
      <c r="S23" s="14" t="n">
        <v>0.05</v>
      </c>
      <c r="T23" s="15" t="inlineStr">
        <is>
          <t>-</t>
        </is>
      </c>
      <c r="U23" s="14" t="n">
        <v>0.11</v>
      </c>
      <c r="V23" s="14" t="n">
        <v>0.03</v>
      </c>
      <c r="W23" s="14" t="n">
        <v>0.12</v>
      </c>
      <c r="X23" s="14" t="n">
        <v>0.06</v>
      </c>
      <c r="Y23" s="14" t="n">
        <v>0.21</v>
      </c>
      <c r="Z23" s="15" t="inlineStr">
        <is>
          <t>-</t>
        </is>
      </c>
      <c r="AA23" s="14" t="n">
        <v>0.01</v>
      </c>
      <c r="AB23" s="14" t="n">
        <v>0.01</v>
      </c>
      <c r="AC23" s="14" t="n">
        <v>0.1</v>
      </c>
      <c r="AD23" s="15" t="inlineStr">
        <is>
          <t>-</t>
        </is>
      </c>
      <c r="AE23" s="14" t="n">
        <v>0.14</v>
      </c>
      <c r="AF23" s="14" t="n">
        <v>0.18</v>
      </c>
    </row>
    <row r="24">
      <c r="A24" s="20" t="n"/>
      <c r="B24" s="11" t="inlineStr">
        <is>
          <t>Niveau licence ou équivalent</t>
        </is>
      </c>
      <c r="C24" s="12" t="n">
        <v>2989</v>
      </c>
      <c r="D24" s="12" t="n">
        <v>117</v>
      </c>
      <c r="E24" s="12" t="n">
        <v>142</v>
      </c>
      <c r="F24" s="12" t="n">
        <v>66</v>
      </c>
      <c r="G24" s="12" t="n">
        <v>145</v>
      </c>
      <c r="H24" s="12" t="n">
        <v>142</v>
      </c>
      <c r="I24" s="12" t="n">
        <v>168</v>
      </c>
      <c r="J24" s="12" t="n">
        <v>26</v>
      </c>
      <c r="K24" s="12" t="n">
        <v>169</v>
      </c>
      <c r="L24" s="12" t="n">
        <v>231</v>
      </c>
      <c r="M24" s="12" t="n">
        <v>207</v>
      </c>
      <c r="N24" s="12" t="n">
        <v>134</v>
      </c>
      <c r="O24" s="12" t="n">
        <v>101</v>
      </c>
      <c r="P24" s="12" t="n">
        <v>34</v>
      </c>
      <c r="Q24" s="12" t="n">
        <v>48</v>
      </c>
      <c r="R24" s="12" t="n">
        <v>132</v>
      </c>
      <c r="S24" s="12" t="n">
        <v>138</v>
      </c>
      <c r="T24" s="12" t="n">
        <v>335</v>
      </c>
      <c r="U24" s="12" t="n">
        <v>66</v>
      </c>
      <c r="V24" s="12" t="n">
        <v>110</v>
      </c>
      <c r="W24" s="12" t="n">
        <v>89</v>
      </c>
      <c r="X24" s="12" t="n">
        <v>259</v>
      </c>
      <c r="Y24" s="12" t="n">
        <v>43</v>
      </c>
      <c r="Z24" s="12" t="n">
        <v>71</v>
      </c>
      <c r="AA24" s="12" t="n">
        <v>136</v>
      </c>
      <c r="AB24" s="12" t="n">
        <v>157</v>
      </c>
      <c r="AC24" s="12" t="n">
        <v>105</v>
      </c>
      <c r="AD24" s="12" t="n">
        <v>44</v>
      </c>
      <c r="AE24" s="12" t="n">
        <v>225</v>
      </c>
      <c r="AF24" s="12" t="n">
        <v>197</v>
      </c>
    </row>
    <row r="25">
      <c r="A25" s="20" t="n"/>
      <c r="B25" s="13" t="inlineStr">
        <is>
          <t>Bachelor or equivalent</t>
        </is>
      </c>
      <c r="C25" s="14" t="n">
        <v>0.11</v>
      </c>
      <c r="D25" s="14" t="n">
        <v>0.11</v>
      </c>
      <c r="E25" s="14" t="n">
        <v>0.14</v>
      </c>
      <c r="F25" s="14" t="n">
        <v>0.06</v>
      </c>
      <c r="G25" s="14" t="n">
        <v>0.14</v>
      </c>
      <c r="H25" s="14" t="n">
        <v>0.12</v>
      </c>
      <c r="I25" s="14" t="n">
        <v>0.11</v>
      </c>
      <c r="J25" s="14" t="n">
        <v>0.09</v>
      </c>
      <c r="K25" s="14" t="n">
        <v>0.17</v>
      </c>
      <c r="L25" s="14" t="n">
        <v>0.23</v>
      </c>
      <c r="M25" s="14" t="n">
        <v>0.21</v>
      </c>
      <c r="N25" s="14" t="n">
        <v>0.13</v>
      </c>
      <c r="O25" s="14" t="n">
        <v>0.1</v>
      </c>
      <c r="P25" s="14" t="n">
        <v>0.03</v>
      </c>
      <c r="Q25" s="14" t="n">
        <v>0.05</v>
      </c>
      <c r="R25" s="14" t="n">
        <v>0.26</v>
      </c>
      <c r="S25" s="14" t="n">
        <v>0.14</v>
      </c>
      <c r="T25" s="14" t="n">
        <v>0.33</v>
      </c>
      <c r="U25" s="14" t="n">
        <v>0.13</v>
      </c>
      <c r="V25" s="14" t="n">
        <v>0.11</v>
      </c>
      <c r="W25" s="14" t="n">
        <v>0.18</v>
      </c>
      <c r="X25" s="14" t="n">
        <v>0.25</v>
      </c>
      <c r="Y25" s="14" t="n">
        <v>0.04</v>
      </c>
      <c r="Z25" s="14" t="n">
        <v>0.07000000000000001</v>
      </c>
      <c r="AA25" s="14" t="n">
        <v>0.13</v>
      </c>
      <c r="AB25" s="14" t="n">
        <v>0.15</v>
      </c>
      <c r="AC25" s="14" t="n">
        <v>0.1</v>
      </c>
      <c r="AD25" s="14" t="n">
        <v>0.05</v>
      </c>
      <c r="AE25" s="14" t="n">
        <v>0.22</v>
      </c>
      <c r="AF25" s="14" t="n">
        <v>0.19</v>
      </c>
    </row>
    <row r="26">
      <c r="A26" s="20" t="n"/>
      <c r="B26" s="11" t="inlineStr">
        <is>
          <t>Niveau master ou équivalent</t>
        </is>
      </c>
      <c r="C26" s="12" t="n">
        <v>2749</v>
      </c>
      <c r="D26" s="12" t="n">
        <v>150</v>
      </c>
      <c r="E26" s="12" t="n">
        <v>125</v>
      </c>
      <c r="F26" s="12" t="n">
        <v>118</v>
      </c>
      <c r="G26" s="12" t="n">
        <v>189</v>
      </c>
      <c r="H26" s="12" t="n">
        <v>136</v>
      </c>
      <c r="I26" s="12" t="n">
        <v>161</v>
      </c>
      <c r="J26" s="12" t="n">
        <v>24</v>
      </c>
      <c r="K26" s="12" t="n">
        <v>143</v>
      </c>
      <c r="L26" s="12" t="n">
        <v>127</v>
      </c>
      <c r="M26" s="12" t="n">
        <v>24</v>
      </c>
      <c r="N26" s="12" t="n">
        <v>49</v>
      </c>
      <c r="O26" s="12" t="n">
        <v>89</v>
      </c>
      <c r="P26" s="12" t="n">
        <v>120</v>
      </c>
      <c r="Q26" s="12" t="n">
        <v>123</v>
      </c>
      <c r="R26" s="12" t="n">
        <v>52</v>
      </c>
      <c r="S26" s="12" t="n">
        <v>139</v>
      </c>
      <c r="T26" s="12" t="n">
        <v>85</v>
      </c>
      <c r="U26" s="12" t="n">
        <v>124</v>
      </c>
      <c r="V26" s="12" t="n">
        <v>68</v>
      </c>
      <c r="W26" s="12" t="n">
        <v>77</v>
      </c>
      <c r="X26" s="12" t="n">
        <v>176</v>
      </c>
      <c r="Y26" s="12" t="n">
        <v>54</v>
      </c>
      <c r="Z26" s="12" t="n">
        <v>162</v>
      </c>
      <c r="AA26" s="12" t="n">
        <v>67</v>
      </c>
      <c r="AB26" s="12" t="n">
        <v>36</v>
      </c>
      <c r="AC26" s="12" t="n">
        <v>88</v>
      </c>
      <c r="AD26" s="12" t="n">
        <v>164</v>
      </c>
      <c r="AE26" s="12" t="n">
        <v>185</v>
      </c>
      <c r="AF26" s="12" t="n">
        <v>163</v>
      </c>
    </row>
    <row r="27">
      <c r="A27" s="20" t="n"/>
      <c r="B27" s="13" t="inlineStr">
        <is>
          <t>Master or equivalent</t>
        </is>
      </c>
      <c r="C27" s="14" t="n">
        <v>0.1</v>
      </c>
      <c r="D27" s="14" t="n">
        <v>0.15</v>
      </c>
      <c r="E27" s="14" t="n">
        <v>0.12</v>
      </c>
      <c r="F27" s="14" t="n">
        <v>0.11</v>
      </c>
      <c r="G27" s="14" t="n">
        <v>0.19</v>
      </c>
      <c r="H27" s="14" t="n">
        <v>0.11</v>
      </c>
      <c r="I27" s="14" t="n">
        <v>0.11</v>
      </c>
      <c r="J27" s="14" t="n">
        <v>0.08</v>
      </c>
      <c r="K27" s="14" t="n">
        <v>0.14</v>
      </c>
      <c r="L27" s="14" t="n">
        <v>0.13</v>
      </c>
      <c r="M27" s="14" t="n">
        <v>0.02</v>
      </c>
      <c r="N27" s="14" t="n">
        <v>0.05</v>
      </c>
      <c r="O27" s="14" t="n">
        <v>0.09</v>
      </c>
      <c r="P27" s="14" t="n">
        <v>0.12</v>
      </c>
      <c r="Q27" s="14" t="n">
        <v>0.12</v>
      </c>
      <c r="R27" s="14" t="n">
        <v>0.11</v>
      </c>
      <c r="S27" s="14" t="n">
        <v>0.14</v>
      </c>
      <c r="T27" s="14" t="n">
        <v>0.09</v>
      </c>
      <c r="U27" s="14" t="n">
        <v>0.24</v>
      </c>
      <c r="V27" s="14" t="n">
        <v>0.07000000000000001</v>
      </c>
      <c r="W27" s="14" t="n">
        <v>0.15</v>
      </c>
      <c r="X27" s="14" t="n">
        <v>0.17</v>
      </c>
      <c r="Y27" s="14" t="n">
        <v>0.05</v>
      </c>
      <c r="Z27" s="14" t="n">
        <v>0.16</v>
      </c>
      <c r="AA27" s="14" t="n">
        <v>0.07000000000000001</v>
      </c>
      <c r="AB27" s="14" t="n">
        <v>0.04</v>
      </c>
      <c r="AC27" s="14" t="n">
        <v>0.09</v>
      </c>
      <c r="AD27" s="14" t="n">
        <v>0.16</v>
      </c>
      <c r="AE27" s="14" t="n">
        <v>0.18</v>
      </c>
      <c r="AF27" s="14" t="n">
        <v>0.16</v>
      </c>
    </row>
    <row r="28">
      <c r="A28" s="20" t="n"/>
      <c r="B28" s="11" t="inlineStr">
        <is>
          <t>Niveau doctorat ou équivalent</t>
        </is>
      </c>
      <c r="C28" s="12" t="n">
        <v>231</v>
      </c>
      <c r="D28" s="12" t="n">
        <v>4</v>
      </c>
      <c r="E28" s="12" t="n">
        <v>7</v>
      </c>
      <c r="F28" s="12" t="n">
        <v>9</v>
      </c>
      <c r="G28" s="12" t="n">
        <v>15</v>
      </c>
      <c r="H28" s="12" t="n">
        <v>14</v>
      </c>
      <c r="I28" s="12" t="n">
        <v>16</v>
      </c>
      <c r="J28" s="12" t="n">
        <v>2</v>
      </c>
      <c r="K28" s="12" t="n">
        <v>3</v>
      </c>
      <c r="L28" s="12" t="n">
        <v>14</v>
      </c>
      <c r="M28" s="12" t="n">
        <v>5</v>
      </c>
      <c r="N28" s="12" t="n">
        <v>5</v>
      </c>
      <c r="O28" s="12" t="n">
        <v>16</v>
      </c>
      <c r="P28" s="12" t="n">
        <v>16</v>
      </c>
      <c r="Q28" s="12" t="n">
        <v>2</v>
      </c>
      <c r="R28" s="12" t="n">
        <v>6</v>
      </c>
      <c r="S28" s="12" t="n">
        <v>9</v>
      </c>
      <c r="T28" s="12" t="n">
        <v>2</v>
      </c>
      <c r="U28" s="12" t="n">
        <v>21</v>
      </c>
      <c r="V28" s="12" t="n">
        <v>5</v>
      </c>
      <c r="W28" s="12" t="n">
        <v>8</v>
      </c>
      <c r="X28" s="12" t="n">
        <v>11</v>
      </c>
      <c r="Y28" s="12" t="n">
        <v>16</v>
      </c>
      <c r="Z28" s="12" t="n">
        <v>2</v>
      </c>
      <c r="AA28" s="12" t="n">
        <v>3</v>
      </c>
      <c r="AB28" s="12" t="n">
        <v>2</v>
      </c>
      <c r="AC28" s="12" t="n">
        <v>16</v>
      </c>
      <c r="AD28" s="12" t="n">
        <v>22</v>
      </c>
      <c r="AE28" s="12" t="n">
        <v>16</v>
      </c>
      <c r="AF28" s="12" t="n">
        <v>38</v>
      </c>
    </row>
    <row r="29">
      <c r="A29" s="20" t="n"/>
      <c r="B29" s="13" t="inlineStr">
        <is>
          <t>Doctoral or equivalent</t>
        </is>
      </c>
      <c r="C29" s="14" t="n">
        <v>0.01</v>
      </c>
      <c r="D29" s="14" t="n">
        <v>0.01</v>
      </c>
      <c r="E29" s="14" t="n">
        <v>0.01</v>
      </c>
      <c r="F29" s="14" t="n">
        <v>0.01</v>
      </c>
      <c r="G29" s="14" t="n">
        <v>0.02</v>
      </c>
      <c r="H29" s="14" t="n">
        <v>0.01</v>
      </c>
      <c r="I29" s="14" t="n">
        <v>0.01</v>
      </c>
      <c r="J29" s="14" t="n">
        <v>0.01</v>
      </c>
      <c r="K29" s="15" t="inlineStr">
        <is>
          <t>-</t>
        </is>
      </c>
      <c r="L29" s="14" t="n">
        <v>0.01</v>
      </c>
      <c r="M29" s="14" t="n">
        <v>0.01</v>
      </c>
      <c r="N29" s="15" t="inlineStr">
        <is>
          <t>-</t>
        </is>
      </c>
      <c r="O29" s="14" t="n">
        <v>0.01</v>
      </c>
      <c r="P29" s="14" t="n">
        <v>0.02</v>
      </c>
      <c r="Q29" s="15" t="inlineStr">
        <is>
          <t>-</t>
        </is>
      </c>
      <c r="R29" s="14" t="n">
        <v>0.01</v>
      </c>
      <c r="S29" s="14" t="n">
        <v>0.01</v>
      </c>
      <c r="T29" s="15" t="inlineStr">
        <is>
          <t>-</t>
        </is>
      </c>
      <c r="U29" s="14" t="n">
        <v>0.04</v>
      </c>
      <c r="V29" s="15" t="inlineStr">
        <is>
          <t>-</t>
        </is>
      </c>
      <c r="W29" s="14" t="n">
        <v>0.01</v>
      </c>
      <c r="X29" s="14" t="n">
        <v>0.01</v>
      </c>
      <c r="Y29" s="14" t="n">
        <v>0.02</v>
      </c>
      <c r="Z29" s="15" t="inlineStr">
        <is>
          <t>-</t>
        </is>
      </c>
      <c r="AA29" s="15" t="inlineStr">
        <is>
          <t>-</t>
        </is>
      </c>
      <c r="AB29" s="15" t="inlineStr">
        <is>
          <t>-</t>
        </is>
      </c>
      <c r="AC29" s="14" t="n">
        <v>0.02</v>
      </c>
      <c r="AD29" s="14" t="n">
        <v>0.02</v>
      </c>
      <c r="AE29" s="14" t="n">
        <v>0.02</v>
      </c>
      <c r="AF29" s="14" t="n">
        <v>0.04</v>
      </c>
    </row>
    <row r="30">
      <c r="A30" s="20" t="n"/>
      <c r="B30" s="11" t="inlineStr">
        <is>
          <t>Refus (SPONTANÉ)</t>
        </is>
      </c>
      <c r="C30" s="12" t="n">
        <v>17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2</v>
      </c>
      <c r="I30" s="12" t="n">
        <v>4</v>
      </c>
      <c r="J30" s="12" t="n">
        <v>2</v>
      </c>
      <c r="K30" s="12" t="n">
        <v>2</v>
      </c>
      <c r="L30" s="12" t="n">
        <v>0</v>
      </c>
      <c r="M30" s="12" t="n">
        <v>0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1</v>
      </c>
      <c r="V30" s="12" t="n">
        <v>0</v>
      </c>
      <c r="W30" s="12" t="n">
        <v>0</v>
      </c>
      <c r="X30" s="12" t="n">
        <v>3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1</v>
      </c>
      <c r="AE30" s="12" t="n">
        <v>0</v>
      </c>
      <c r="AF30" s="12" t="n">
        <v>3</v>
      </c>
    </row>
    <row r="31">
      <c r="A31" s="20" t="n"/>
      <c r="B31" s="13" t="inlineStr">
        <is>
          <t>Refusal (SPONTANEOUS)</t>
        </is>
      </c>
      <c r="C31" s="15" t="inlineStr">
        <is>
          <t>-</t>
        </is>
      </c>
      <c r="D31" s="15" t="inlineStr">
        <is>
          <t>-</t>
        </is>
      </c>
      <c r="E31" s="15" t="inlineStr">
        <is>
          <t>-</t>
        </is>
      </c>
      <c r="F31" s="15" t="inlineStr">
        <is>
          <t>-</t>
        </is>
      </c>
      <c r="G31" s="15" t="inlineStr">
        <is>
          <t>-</t>
        </is>
      </c>
      <c r="H31" s="15" t="inlineStr">
        <is>
          <t>-</t>
        </is>
      </c>
      <c r="I31" s="15" t="inlineStr">
        <is>
          <t>-</t>
        </is>
      </c>
      <c r="J31" s="14" t="n">
        <v>0.01</v>
      </c>
      <c r="K31" s="15" t="inlineStr">
        <is>
          <t>-</t>
        </is>
      </c>
      <c r="L31" s="15" t="inlineStr">
        <is>
          <t>-</t>
        </is>
      </c>
      <c r="M31" s="15" t="inlineStr">
        <is>
          <t>-</t>
        </is>
      </c>
      <c r="N31" s="15" t="inlineStr">
        <is>
          <t>-</t>
        </is>
      </c>
      <c r="O31" s="15" t="inlineStr">
        <is>
          <t>-</t>
        </is>
      </c>
      <c r="P31" s="15" t="inlineStr">
        <is>
          <t>-</t>
        </is>
      </c>
      <c r="Q31" s="15" t="inlineStr">
        <is>
          <t>-</t>
        </is>
      </c>
      <c r="R31" s="15" t="inlineStr">
        <is>
          <t>-</t>
        </is>
      </c>
      <c r="S31" s="15" t="inlineStr">
        <is>
          <t>-</t>
        </is>
      </c>
      <c r="T31" s="15" t="inlineStr">
        <is>
          <t>-</t>
        </is>
      </c>
      <c r="U31" s="15" t="inlineStr">
        <is>
          <t>-</t>
        </is>
      </c>
      <c r="V31" s="15" t="inlineStr">
        <is>
          <t>-</t>
        </is>
      </c>
      <c r="W31" s="15" t="inlineStr">
        <is>
          <t>-</t>
        </is>
      </c>
      <c r="X31" s="15" t="inlineStr">
        <is>
          <t>-</t>
        </is>
      </c>
      <c r="Y31" s="15" t="inlineStr">
        <is>
          <t>-</t>
        </is>
      </c>
      <c r="Z31" s="15" t="inlineStr">
        <is>
          <t>-</t>
        </is>
      </c>
      <c r="AA31" s="15" t="inlineStr">
        <is>
          <t>-</t>
        </is>
      </c>
      <c r="AB31" s="15" t="inlineStr">
        <is>
          <t>-</t>
        </is>
      </c>
      <c r="AC31" s="15" t="inlineStr">
        <is>
          <t>-</t>
        </is>
      </c>
      <c r="AD31" s="15" t="inlineStr">
        <is>
          <t>-</t>
        </is>
      </c>
      <c r="AE31" s="15" t="inlineStr">
        <is>
          <t>-</t>
        </is>
      </c>
      <c r="AF31" s="15" t="inlineStr">
        <is>
          <t>-</t>
        </is>
      </c>
    </row>
    <row r="32">
      <c r="A32" s="20" t="n"/>
      <c r="B32" s="11" t="inlineStr">
        <is>
          <t>Ne sait pas</t>
        </is>
      </c>
      <c r="C32" s="12" t="n">
        <v>22</v>
      </c>
      <c r="D32" s="12" t="n">
        <v>2</v>
      </c>
      <c r="E32" s="12" t="n">
        <v>0</v>
      </c>
      <c r="F32" s="12" t="n">
        <v>1</v>
      </c>
      <c r="G32" s="12" t="n">
        <v>0</v>
      </c>
      <c r="H32" s="12" t="n">
        <v>4</v>
      </c>
      <c r="I32" s="12" t="n">
        <v>4</v>
      </c>
      <c r="J32" s="12" t="n">
        <v>0</v>
      </c>
      <c r="K32" s="12" t="n">
        <v>0</v>
      </c>
      <c r="L32" s="12" t="n">
        <v>1</v>
      </c>
      <c r="M32" s="12" t="n">
        <v>0</v>
      </c>
      <c r="N32" s="12" t="n">
        <v>1</v>
      </c>
      <c r="O32" s="12" t="n">
        <v>0</v>
      </c>
      <c r="P32" s="12" t="n">
        <v>0</v>
      </c>
      <c r="Q32" s="12" t="n">
        <v>0</v>
      </c>
      <c r="R32" s="12" t="n">
        <v>1</v>
      </c>
      <c r="S32" s="12" t="n">
        <v>0</v>
      </c>
      <c r="T32" s="12" t="n">
        <v>0</v>
      </c>
      <c r="U32" s="12" t="n">
        <v>3</v>
      </c>
      <c r="V32" s="12" t="n">
        <v>0</v>
      </c>
      <c r="W32" s="12" t="n">
        <v>0</v>
      </c>
      <c r="X32" s="12" t="n">
        <v>4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</row>
    <row r="33">
      <c r="A33" s="23" t="n"/>
      <c r="B33" s="13" t="inlineStr">
        <is>
          <t>Don't know</t>
        </is>
      </c>
      <c r="C33" s="15" t="inlineStr">
        <is>
          <t>-</t>
        </is>
      </c>
      <c r="D33" s="15" t="inlineStr">
        <is>
          <t>-</t>
        </is>
      </c>
      <c r="E33" s="15" t="inlineStr">
        <is>
          <t>-</t>
        </is>
      </c>
      <c r="F33" s="15" t="inlineStr">
        <is>
          <t>-</t>
        </is>
      </c>
      <c r="G33" s="15" t="inlineStr">
        <is>
          <t>-</t>
        </is>
      </c>
      <c r="H33" s="15" t="inlineStr">
        <is>
          <t>-</t>
        </is>
      </c>
      <c r="I33" s="15" t="inlineStr">
        <is>
          <t>-</t>
        </is>
      </c>
      <c r="J33" s="15" t="inlineStr">
        <is>
          <t>-</t>
        </is>
      </c>
      <c r="K33" s="15" t="inlineStr">
        <is>
          <t>-</t>
        </is>
      </c>
      <c r="L33" s="15" t="inlineStr">
        <is>
          <t>-</t>
        </is>
      </c>
      <c r="M33" s="15" t="inlineStr">
        <is>
          <t>-</t>
        </is>
      </c>
      <c r="N33" s="15" t="inlineStr">
        <is>
          <t>-</t>
        </is>
      </c>
      <c r="O33" s="15" t="inlineStr">
        <is>
          <t>-</t>
        </is>
      </c>
      <c r="P33" s="15" t="inlineStr">
        <is>
          <t>-</t>
        </is>
      </c>
      <c r="Q33" s="15" t="inlineStr">
        <is>
          <t>-</t>
        </is>
      </c>
      <c r="R33" s="15" t="inlineStr">
        <is>
          <t>-</t>
        </is>
      </c>
      <c r="S33" s="15" t="inlineStr">
        <is>
          <t>-</t>
        </is>
      </c>
      <c r="T33" s="15" t="inlineStr">
        <is>
          <t>-</t>
        </is>
      </c>
      <c r="U33" s="14" t="n">
        <v>0.01</v>
      </c>
      <c r="V33" s="15" t="inlineStr">
        <is>
          <t>-</t>
        </is>
      </c>
      <c r="W33" s="15" t="inlineStr">
        <is>
          <t>-</t>
        </is>
      </c>
      <c r="X33" s="14" t="n">
        <v>0.01</v>
      </c>
      <c r="Y33" s="15" t="inlineStr">
        <is>
          <t>-</t>
        </is>
      </c>
      <c r="Z33" s="15" t="inlineStr">
        <is>
          <t>-</t>
        </is>
      </c>
      <c r="AA33" s="15" t="inlineStr">
        <is>
          <t>-</t>
        </is>
      </c>
      <c r="AB33" s="15" t="inlineStr">
        <is>
          <t>-</t>
        </is>
      </c>
      <c r="AC33" s="15" t="inlineStr">
        <is>
          <t>-</t>
        </is>
      </c>
      <c r="AD33" s="15" t="inlineStr">
        <is>
          <t>-</t>
        </is>
      </c>
      <c r="AE33" s="15" t="inlineStr">
        <is>
          <t>-</t>
        </is>
      </c>
      <c r="AF33" s="15" t="inlineStr">
        <is>
          <t>-</t>
        </is>
      </c>
    </row>
    <row r="34">
      <c r="A34" s="19" t="n"/>
      <c r="B34" s="11" t="inlineStr">
        <is>
          <t>Total 'Faible niveau d'éducation (CITE 0–2)'</t>
        </is>
      </c>
      <c r="C34" s="12" t="n">
        <v>7018</v>
      </c>
      <c r="D34" s="12" t="n">
        <v>183</v>
      </c>
      <c r="E34" s="12" t="n">
        <v>152</v>
      </c>
      <c r="F34" s="12" t="n">
        <v>100</v>
      </c>
      <c r="G34" s="12" t="n">
        <v>111</v>
      </c>
      <c r="H34" s="12" t="n">
        <v>444</v>
      </c>
      <c r="I34" s="12" t="n">
        <v>544</v>
      </c>
      <c r="J34" s="12" t="n">
        <v>101</v>
      </c>
      <c r="K34" s="12" t="n">
        <v>182</v>
      </c>
      <c r="L34" s="12" t="n">
        <v>179</v>
      </c>
      <c r="M34" s="12" t="n">
        <v>291</v>
      </c>
      <c r="N34" s="12" t="n">
        <v>315</v>
      </c>
      <c r="O34" s="12" t="n">
        <v>370</v>
      </c>
      <c r="P34" s="12" t="n">
        <v>92</v>
      </c>
      <c r="Q34" s="12" t="n">
        <v>282</v>
      </c>
      <c r="R34" s="12" t="n">
        <v>65</v>
      </c>
      <c r="S34" s="12" t="n">
        <v>120</v>
      </c>
      <c r="T34" s="12" t="n">
        <v>176</v>
      </c>
      <c r="U34" s="12" t="n">
        <v>91</v>
      </c>
      <c r="V34" s="12" t="n">
        <v>401</v>
      </c>
      <c r="W34" s="12" t="n">
        <v>121</v>
      </c>
      <c r="X34" s="12" t="n">
        <v>143</v>
      </c>
      <c r="Y34" s="12" t="n">
        <v>69</v>
      </c>
      <c r="Z34" s="12" t="n">
        <v>81</v>
      </c>
      <c r="AA34" s="12" t="n">
        <v>529</v>
      </c>
      <c r="AB34" s="12" t="n">
        <v>161</v>
      </c>
      <c r="AC34" s="12" t="n">
        <v>360</v>
      </c>
      <c r="AD34" s="12" t="n">
        <v>287</v>
      </c>
      <c r="AE34" s="12" t="n">
        <v>198</v>
      </c>
      <c r="AF34" s="12" t="n">
        <v>58</v>
      </c>
    </row>
    <row r="35">
      <c r="A35" s="20" t="n"/>
      <c r="B35" s="13" t="inlineStr">
        <is>
          <t>Total 'Low level of education (ISCED 0-2)'</t>
        </is>
      </c>
      <c r="C35" s="14" t="n">
        <v>0.27</v>
      </c>
      <c r="D35" s="14" t="n">
        <v>0.18</v>
      </c>
      <c r="E35" s="14" t="n">
        <v>0.15</v>
      </c>
      <c r="F35" s="14" t="n">
        <v>0.1</v>
      </c>
      <c r="G35" s="14" t="n">
        <v>0.11</v>
      </c>
      <c r="H35" s="14" t="n">
        <v>0.37</v>
      </c>
      <c r="I35" s="14" t="n">
        <v>0.36</v>
      </c>
      <c r="J35" s="14" t="n">
        <v>0.34</v>
      </c>
      <c r="K35" s="14" t="n">
        <v>0.18</v>
      </c>
      <c r="L35" s="14" t="n">
        <v>0.18</v>
      </c>
      <c r="M35" s="14" t="n">
        <v>0.28</v>
      </c>
      <c r="N35" s="14" t="n">
        <v>0.32</v>
      </c>
      <c r="O35" s="14" t="n">
        <v>0.37</v>
      </c>
      <c r="P35" s="14" t="n">
        <v>0.09</v>
      </c>
      <c r="Q35" s="14" t="n">
        <v>0.27</v>
      </c>
      <c r="R35" s="14" t="n">
        <v>0.13</v>
      </c>
      <c r="S35" s="14" t="n">
        <v>0.11</v>
      </c>
      <c r="T35" s="14" t="n">
        <v>0.17</v>
      </c>
      <c r="U35" s="14" t="n">
        <v>0.18</v>
      </c>
      <c r="V35" s="14" t="n">
        <v>0.39</v>
      </c>
      <c r="W35" s="14" t="n">
        <v>0.24</v>
      </c>
      <c r="X35" s="14" t="n">
        <v>0.14</v>
      </c>
      <c r="Y35" s="14" t="n">
        <v>0.07000000000000001</v>
      </c>
      <c r="Z35" s="14" t="n">
        <v>0.08</v>
      </c>
      <c r="AA35" s="14" t="n">
        <v>0.51</v>
      </c>
      <c r="AB35" s="14" t="n">
        <v>0.15</v>
      </c>
      <c r="AC35" s="14" t="n">
        <v>0.35</v>
      </c>
      <c r="AD35" s="14" t="n">
        <v>0.29</v>
      </c>
      <c r="AE35" s="14" t="n">
        <v>0.19</v>
      </c>
      <c r="AF35" s="14" t="n">
        <v>0.06</v>
      </c>
    </row>
    <row r="36">
      <c r="A36" s="20" t="n"/>
      <c r="B36" s="11" t="inlineStr">
        <is>
          <t>Total 'Niveau d'éducation moyen (CITE 3–4)'</t>
        </is>
      </c>
      <c r="C36" s="12" t="n">
        <v>11599</v>
      </c>
      <c r="D36" s="12" t="n">
        <v>406</v>
      </c>
      <c r="E36" s="12" t="n">
        <v>588</v>
      </c>
      <c r="F36" s="12" t="n">
        <v>748</v>
      </c>
      <c r="G36" s="12" t="n">
        <v>357</v>
      </c>
      <c r="H36" s="12" t="n">
        <v>435</v>
      </c>
      <c r="I36" s="12" t="n">
        <v>559</v>
      </c>
      <c r="J36" s="12" t="n">
        <v>123</v>
      </c>
      <c r="K36" s="12" t="n">
        <v>458</v>
      </c>
      <c r="L36" s="12" t="n">
        <v>352</v>
      </c>
      <c r="M36" s="12" t="n">
        <v>481</v>
      </c>
      <c r="N36" s="12" t="n">
        <v>420</v>
      </c>
      <c r="O36" s="12" t="n">
        <v>246</v>
      </c>
      <c r="P36" s="12" t="n">
        <v>693</v>
      </c>
      <c r="Q36" s="12" t="n">
        <v>565</v>
      </c>
      <c r="R36" s="12" t="n">
        <v>195</v>
      </c>
      <c r="S36" s="12" t="n">
        <v>552</v>
      </c>
      <c r="T36" s="12" t="n">
        <v>419</v>
      </c>
      <c r="U36" s="12" t="n">
        <v>148</v>
      </c>
      <c r="V36" s="12" t="n">
        <v>407</v>
      </c>
      <c r="W36" s="12" t="n">
        <v>150</v>
      </c>
      <c r="X36" s="12" t="n">
        <v>365</v>
      </c>
      <c r="Y36" s="12" t="n">
        <v>615</v>
      </c>
      <c r="Z36" s="12" t="n">
        <v>703</v>
      </c>
      <c r="AA36" s="12" t="n">
        <v>289</v>
      </c>
      <c r="AB36" s="12" t="n">
        <v>683</v>
      </c>
      <c r="AC36" s="12" t="n">
        <v>336</v>
      </c>
      <c r="AD36" s="12" t="n">
        <v>483</v>
      </c>
      <c r="AE36" s="12" t="n">
        <v>250</v>
      </c>
      <c r="AF36" s="12" t="n">
        <v>392</v>
      </c>
    </row>
    <row r="37">
      <c r="A37" s="20" t="n"/>
      <c r="B37" s="13" t="inlineStr">
        <is>
          <t>Total 'Medium level of education (ISCED 3-4)'</t>
        </is>
      </c>
      <c r="C37" s="14" t="n">
        <v>0.44</v>
      </c>
      <c r="D37" s="14" t="n">
        <v>0.39</v>
      </c>
      <c r="E37" s="14" t="n">
        <v>0.58</v>
      </c>
      <c r="F37" s="14" t="n">
        <v>0.71</v>
      </c>
      <c r="G37" s="14" t="n">
        <v>0.35</v>
      </c>
      <c r="H37" s="14" t="n">
        <v>0.36</v>
      </c>
      <c r="I37" s="14" t="n">
        <v>0.37</v>
      </c>
      <c r="J37" s="14" t="n">
        <v>0.42</v>
      </c>
      <c r="K37" s="14" t="n">
        <v>0.46</v>
      </c>
      <c r="L37" s="14" t="n">
        <v>0.35</v>
      </c>
      <c r="M37" s="14" t="n">
        <v>0.48</v>
      </c>
      <c r="N37" s="14" t="n">
        <v>0.42</v>
      </c>
      <c r="O37" s="14" t="n">
        <v>0.24</v>
      </c>
      <c r="P37" s="14" t="n">
        <v>0.6900000000000001</v>
      </c>
      <c r="Q37" s="14" t="n">
        <v>0.55</v>
      </c>
      <c r="R37" s="14" t="n">
        <v>0.38</v>
      </c>
      <c r="S37" s="14" t="n">
        <v>0.55</v>
      </c>
      <c r="T37" s="14" t="n">
        <v>0.41</v>
      </c>
      <c r="U37" s="14" t="n">
        <v>0.29</v>
      </c>
      <c r="V37" s="14" t="n">
        <v>0.4</v>
      </c>
      <c r="W37" s="14" t="n">
        <v>0.3</v>
      </c>
      <c r="X37" s="14" t="n">
        <v>0.36</v>
      </c>
      <c r="Y37" s="14" t="n">
        <v>0.61</v>
      </c>
      <c r="Z37" s="14" t="n">
        <v>0.6900000000000001</v>
      </c>
      <c r="AA37" s="14" t="n">
        <v>0.28</v>
      </c>
      <c r="AB37" s="14" t="n">
        <v>0.65</v>
      </c>
      <c r="AC37" s="14" t="n">
        <v>0.34</v>
      </c>
      <c r="AD37" s="14" t="n">
        <v>0.48</v>
      </c>
      <c r="AE37" s="14" t="n">
        <v>0.25</v>
      </c>
      <c r="AF37" s="14" t="n">
        <v>0.37</v>
      </c>
    </row>
    <row r="38">
      <c r="A38" s="20" t="n"/>
      <c r="B38" s="11" t="inlineStr">
        <is>
          <t>Total 'Haut niveau d'éducation (CITE 5–8)'</t>
        </is>
      </c>
      <c r="C38" s="12" t="n">
        <v>7766</v>
      </c>
      <c r="D38" s="12" t="n">
        <v>430</v>
      </c>
      <c r="E38" s="12" t="n">
        <v>274</v>
      </c>
      <c r="F38" s="12" t="n">
        <v>201</v>
      </c>
      <c r="G38" s="12" t="n">
        <v>539</v>
      </c>
      <c r="H38" s="12" t="n">
        <v>328</v>
      </c>
      <c r="I38" s="12" t="n">
        <v>397</v>
      </c>
      <c r="J38" s="12" t="n">
        <v>68</v>
      </c>
      <c r="K38" s="12" t="n">
        <v>363</v>
      </c>
      <c r="L38" s="12" t="n">
        <v>476</v>
      </c>
      <c r="M38" s="12" t="n">
        <v>236</v>
      </c>
      <c r="N38" s="12" t="n">
        <v>271</v>
      </c>
      <c r="O38" s="12" t="n">
        <v>400</v>
      </c>
      <c r="P38" s="12" t="n">
        <v>222</v>
      </c>
      <c r="Q38" s="12" t="n">
        <v>182</v>
      </c>
      <c r="R38" s="12" t="n">
        <v>243</v>
      </c>
      <c r="S38" s="12" t="n">
        <v>332</v>
      </c>
      <c r="T38" s="12" t="n">
        <v>422</v>
      </c>
      <c r="U38" s="12" t="n">
        <v>265</v>
      </c>
      <c r="V38" s="12" t="n">
        <v>212</v>
      </c>
      <c r="W38" s="12" t="n">
        <v>234</v>
      </c>
      <c r="X38" s="12" t="n">
        <v>509</v>
      </c>
      <c r="Y38" s="12" t="n">
        <v>319</v>
      </c>
      <c r="Z38" s="12" t="n">
        <v>235</v>
      </c>
      <c r="AA38" s="12" t="n">
        <v>213</v>
      </c>
      <c r="AB38" s="12" t="n">
        <v>200</v>
      </c>
      <c r="AC38" s="12" t="n">
        <v>312</v>
      </c>
      <c r="AD38" s="12" t="n">
        <v>230</v>
      </c>
      <c r="AE38" s="12" t="n">
        <v>568</v>
      </c>
      <c r="AF38" s="12" t="n">
        <v>585</v>
      </c>
    </row>
    <row r="39">
      <c r="A39" s="23" t="n"/>
      <c r="B39" s="13" t="inlineStr">
        <is>
          <t>Total 'High level of education (ISCED 5-8)'</t>
        </is>
      </c>
      <c r="C39" s="14" t="n">
        <v>0.29</v>
      </c>
      <c r="D39" s="14" t="n">
        <v>0.43</v>
      </c>
      <c r="E39" s="14" t="n">
        <v>0.27</v>
      </c>
      <c r="F39" s="14" t="n">
        <v>0.19</v>
      </c>
      <c r="G39" s="14" t="n">
        <v>0.54</v>
      </c>
      <c r="H39" s="14" t="n">
        <v>0.27</v>
      </c>
      <c r="I39" s="14" t="n">
        <v>0.27</v>
      </c>
      <c r="J39" s="14" t="n">
        <v>0.23</v>
      </c>
      <c r="K39" s="14" t="n">
        <v>0.36</v>
      </c>
      <c r="L39" s="14" t="n">
        <v>0.47</v>
      </c>
      <c r="M39" s="14" t="n">
        <v>0.24</v>
      </c>
      <c r="N39" s="14" t="n">
        <v>0.26</v>
      </c>
      <c r="O39" s="14" t="n">
        <v>0.39</v>
      </c>
      <c r="P39" s="14" t="n">
        <v>0.22</v>
      </c>
      <c r="Q39" s="14" t="n">
        <v>0.18</v>
      </c>
      <c r="R39" s="14" t="n">
        <v>0.49</v>
      </c>
      <c r="S39" s="14" t="n">
        <v>0.34</v>
      </c>
      <c r="T39" s="14" t="n">
        <v>0.42</v>
      </c>
      <c r="U39" s="14" t="n">
        <v>0.52</v>
      </c>
      <c r="V39" s="14" t="n">
        <v>0.21</v>
      </c>
      <c r="W39" s="14" t="n">
        <v>0.46</v>
      </c>
      <c r="X39" s="14" t="n">
        <v>0.49</v>
      </c>
      <c r="Y39" s="14" t="n">
        <v>0.32</v>
      </c>
      <c r="Z39" s="14" t="n">
        <v>0.23</v>
      </c>
      <c r="AA39" s="14" t="n">
        <v>0.21</v>
      </c>
      <c r="AB39" s="14" t="n">
        <v>0.2</v>
      </c>
      <c r="AC39" s="14" t="n">
        <v>0.31</v>
      </c>
      <c r="AD39" s="14" t="n">
        <v>0.23</v>
      </c>
      <c r="AE39" s="14" t="n">
        <v>0.5600000000000001</v>
      </c>
      <c r="AF39" s="14" t="n">
        <v>0.5700000000000001</v>
      </c>
    </row>
  </sheetData>
  <mergeCells count="10">
    <mergeCell ref="B4:F4"/>
    <mergeCell ref="H3:L3"/>
    <mergeCell ref="C8:AF8"/>
    <mergeCell ref="A10:A33"/>
    <mergeCell ref="B3:F3"/>
    <mergeCell ref="B5:F5"/>
    <mergeCell ref="A34:A39"/>
    <mergeCell ref="H5:L5"/>
    <mergeCell ref="B10:B11"/>
    <mergeCell ref="H4:L4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12" customHeight="1" s="18">
      <c r="B3" s="21" t="inlineStr">
        <is>
          <t>D8cR2. Quel est le niveau d'études le plus élevé que vous avez atteint ?</t>
        </is>
      </c>
      <c r="H3" s="21" t="inlineStr">
        <is>
          <t>D8cR2. What is the highest level of education you completed?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HYPERLINK("#Content!A51","&lt;&lt;Back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Faible niveau d’éducation (CITE 0–2)</t>
        </is>
      </c>
      <c r="C12" s="12" t="n">
        <v>7018</v>
      </c>
      <c r="D12" s="12" t="n">
        <v>183</v>
      </c>
      <c r="E12" s="12" t="n">
        <v>151</v>
      </c>
      <c r="F12" s="12" t="n">
        <v>100</v>
      </c>
      <c r="G12" s="12" t="n">
        <v>111</v>
      </c>
      <c r="H12" s="12" t="n">
        <v>444</v>
      </c>
      <c r="I12" s="12" t="n">
        <v>544</v>
      </c>
      <c r="J12" s="12" t="n">
        <v>100</v>
      </c>
      <c r="K12" s="12" t="n">
        <v>182</v>
      </c>
      <c r="L12" s="12" t="n">
        <v>180</v>
      </c>
      <c r="M12" s="12" t="n">
        <v>290</v>
      </c>
      <c r="N12" s="12" t="n">
        <v>315</v>
      </c>
      <c r="O12" s="12" t="n">
        <v>371</v>
      </c>
      <c r="P12" s="12" t="n">
        <v>92</v>
      </c>
      <c r="Q12" s="12" t="n">
        <v>282</v>
      </c>
      <c r="R12" s="12" t="n">
        <v>64</v>
      </c>
      <c r="S12" s="12" t="n">
        <v>120</v>
      </c>
      <c r="T12" s="12" t="n">
        <v>176</v>
      </c>
      <c r="U12" s="12" t="n">
        <v>91</v>
      </c>
      <c r="V12" s="12" t="n">
        <v>400</v>
      </c>
      <c r="W12" s="12" t="n">
        <v>121</v>
      </c>
      <c r="X12" s="12" t="n">
        <v>142</v>
      </c>
      <c r="Y12" s="12" t="n">
        <v>70</v>
      </c>
      <c r="Z12" s="12" t="n">
        <v>81</v>
      </c>
      <c r="AA12" s="12" t="n">
        <v>529</v>
      </c>
      <c r="AB12" s="12" t="n">
        <v>161</v>
      </c>
      <c r="AC12" s="12" t="n">
        <v>360</v>
      </c>
      <c r="AD12" s="12" t="n">
        <v>287</v>
      </c>
      <c r="AE12" s="12" t="n">
        <v>198</v>
      </c>
      <c r="AF12" s="12" t="n">
        <v>58</v>
      </c>
    </row>
    <row r="13">
      <c r="A13" s="20" t="n"/>
      <c r="B13" s="13" t="inlineStr">
        <is>
          <t>Low level of education (ISCED 0-2)</t>
        </is>
      </c>
      <c r="C13" s="14" t="n">
        <v>0.27</v>
      </c>
      <c r="D13" s="14" t="n">
        <v>0.18</v>
      </c>
      <c r="E13" s="14" t="n">
        <v>0.15</v>
      </c>
      <c r="F13" s="14" t="n">
        <v>0.1</v>
      </c>
      <c r="G13" s="14" t="n">
        <v>0.11</v>
      </c>
      <c r="H13" s="14" t="n">
        <v>0.37</v>
      </c>
      <c r="I13" s="14" t="n">
        <v>0.36</v>
      </c>
      <c r="J13" s="14" t="n">
        <v>0.34</v>
      </c>
      <c r="K13" s="14" t="n">
        <v>0.18</v>
      </c>
      <c r="L13" s="14" t="n">
        <v>0.18</v>
      </c>
      <c r="M13" s="14" t="n">
        <v>0.29</v>
      </c>
      <c r="N13" s="14" t="n">
        <v>0.31</v>
      </c>
      <c r="O13" s="14" t="n">
        <v>0.37</v>
      </c>
      <c r="P13" s="14" t="n">
        <v>0.09</v>
      </c>
      <c r="Q13" s="14" t="n">
        <v>0.27</v>
      </c>
      <c r="R13" s="14" t="n">
        <v>0.13</v>
      </c>
      <c r="S13" s="14" t="n">
        <v>0.12</v>
      </c>
      <c r="T13" s="14" t="n">
        <v>0.17</v>
      </c>
      <c r="U13" s="14" t="n">
        <v>0.18</v>
      </c>
      <c r="V13" s="14" t="n">
        <v>0.39</v>
      </c>
      <c r="W13" s="14" t="n">
        <v>0.24</v>
      </c>
      <c r="X13" s="14" t="n">
        <v>0.14</v>
      </c>
      <c r="Y13" s="14" t="n">
        <v>0.07000000000000001</v>
      </c>
      <c r="Z13" s="14" t="n">
        <v>0.08</v>
      </c>
      <c r="AA13" s="14" t="n">
        <v>0.51</v>
      </c>
      <c r="AB13" s="14" t="n">
        <v>0.15</v>
      </c>
      <c r="AC13" s="14" t="n">
        <v>0.36</v>
      </c>
      <c r="AD13" s="14" t="n">
        <v>0.29</v>
      </c>
      <c r="AE13" s="14" t="n">
        <v>0.19</v>
      </c>
      <c r="AF13" s="14" t="n">
        <v>0.06</v>
      </c>
    </row>
    <row r="14">
      <c r="A14" s="20" t="n"/>
      <c r="B14" s="11" t="inlineStr">
        <is>
          <t>Niveau d’éducation moyen (CITE 3–4)</t>
        </is>
      </c>
      <c r="C14" s="12" t="n">
        <v>11599</v>
      </c>
      <c r="D14" s="12" t="n">
        <v>406</v>
      </c>
      <c r="E14" s="12" t="n">
        <v>588</v>
      </c>
      <c r="F14" s="12" t="n">
        <v>748</v>
      </c>
      <c r="G14" s="12" t="n">
        <v>357</v>
      </c>
      <c r="H14" s="12" t="n">
        <v>436</v>
      </c>
      <c r="I14" s="12" t="n">
        <v>559</v>
      </c>
      <c r="J14" s="12" t="n">
        <v>123</v>
      </c>
      <c r="K14" s="12" t="n">
        <v>458</v>
      </c>
      <c r="L14" s="12" t="n">
        <v>353</v>
      </c>
      <c r="M14" s="12" t="n">
        <v>481</v>
      </c>
      <c r="N14" s="12" t="n">
        <v>420</v>
      </c>
      <c r="O14" s="12" t="n">
        <v>246</v>
      </c>
      <c r="P14" s="12" t="n">
        <v>693</v>
      </c>
      <c r="Q14" s="12" t="n">
        <v>565</v>
      </c>
      <c r="R14" s="12" t="n">
        <v>195</v>
      </c>
      <c r="S14" s="12" t="n">
        <v>553</v>
      </c>
      <c r="T14" s="12" t="n">
        <v>419</v>
      </c>
      <c r="U14" s="12" t="n">
        <v>148</v>
      </c>
      <c r="V14" s="12" t="n">
        <v>408</v>
      </c>
      <c r="W14" s="12" t="n">
        <v>150</v>
      </c>
      <c r="X14" s="12" t="n">
        <v>365</v>
      </c>
      <c r="Y14" s="12" t="n">
        <v>615</v>
      </c>
      <c r="Z14" s="12" t="n">
        <v>704</v>
      </c>
      <c r="AA14" s="12" t="n">
        <v>290</v>
      </c>
      <c r="AB14" s="12" t="n">
        <v>684</v>
      </c>
      <c r="AC14" s="12" t="n">
        <v>336</v>
      </c>
      <c r="AD14" s="12" t="n">
        <v>483</v>
      </c>
      <c r="AE14" s="12" t="n">
        <v>250</v>
      </c>
      <c r="AF14" s="12" t="n">
        <v>391</v>
      </c>
    </row>
    <row r="15">
      <c r="A15" s="20" t="n"/>
      <c r="B15" s="13" t="inlineStr">
        <is>
          <t>Medium level of education (ISCED 3-4)</t>
        </is>
      </c>
      <c r="C15" s="14" t="n">
        <v>0.44</v>
      </c>
      <c r="D15" s="14" t="n">
        <v>0.4</v>
      </c>
      <c r="E15" s="14" t="n">
        <v>0.58</v>
      </c>
      <c r="F15" s="14" t="n">
        <v>0.71</v>
      </c>
      <c r="G15" s="14" t="n">
        <v>0.35</v>
      </c>
      <c r="H15" s="14" t="n">
        <v>0.36</v>
      </c>
      <c r="I15" s="14" t="n">
        <v>0.37</v>
      </c>
      <c r="J15" s="14" t="n">
        <v>0.42</v>
      </c>
      <c r="K15" s="14" t="n">
        <v>0.46</v>
      </c>
      <c r="L15" s="14" t="n">
        <v>0.35</v>
      </c>
      <c r="M15" s="14" t="n">
        <v>0.48</v>
      </c>
      <c r="N15" s="14" t="n">
        <v>0.42</v>
      </c>
      <c r="O15" s="14" t="n">
        <v>0.24</v>
      </c>
      <c r="P15" s="14" t="n">
        <v>0.6900000000000001</v>
      </c>
      <c r="Q15" s="14" t="n">
        <v>0.55</v>
      </c>
      <c r="R15" s="14" t="n">
        <v>0.39</v>
      </c>
      <c r="S15" s="14" t="n">
        <v>0.55</v>
      </c>
      <c r="T15" s="14" t="n">
        <v>0.41</v>
      </c>
      <c r="U15" s="14" t="n">
        <v>0.29</v>
      </c>
      <c r="V15" s="14" t="n">
        <v>0.4</v>
      </c>
      <c r="W15" s="14" t="n">
        <v>0.3</v>
      </c>
      <c r="X15" s="14" t="n">
        <v>0.36</v>
      </c>
      <c r="Y15" s="14" t="n">
        <v>0.61</v>
      </c>
      <c r="Z15" s="14" t="n">
        <v>0.6900000000000001</v>
      </c>
      <c r="AA15" s="14" t="n">
        <v>0.28</v>
      </c>
      <c r="AB15" s="14" t="n">
        <v>0.66</v>
      </c>
      <c r="AC15" s="14" t="n">
        <v>0.33</v>
      </c>
      <c r="AD15" s="14" t="n">
        <v>0.48</v>
      </c>
      <c r="AE15" s="14" t="n">
        <v>0.25</v>
      </c>
      <c r="AF15" s="14" t="n">
        <v>0.38</v>
      </c>
    </row>
    <row r="16">
      <c r="A16" s="20" t="n"/>
      <c r="B16" s="11" t="inlineStr">
        <is>
          <t>Haut niveau d’éducation (CITE 5–8)</t>
        </is>
      </c>
      <c r="C16" s="12" t="n">
        <v>7765</v>
      </c>
      <c r="D16" s="12" t="n">
        <v>430</v>
      </c>
      <c r="E16" s="12" t="n">
        <v>274</v>
      </c>
      <c r="F16" s="12" t="n">
        <v>200</v>
      </c>
      <c r="G16" s="12" t="n">
        <v>540</v>
      </c>
      <c r="H16" s="12" t="n">
        <v>329</v>
      </c>
      <c r="I16" s="12" t="n">
        <v>396</v>
      </c>
      <c r="J16" s="12" t="n">
        <v>68</v>
      </c>
      <c r="K16" s="12" t="n">
        <v>364</v>
      </c>
      <c r="L16" s="12" t="n">
        <v>477</v>
      </c>
      <c r="M16" s="12" t="n">
        <v>236</v>
      </c>
      <c r="N16" s="12" t="n">
        <v>270</v>
      </c>
      <c r="O16" s="12" t="n">
        <v>400</v>
      </c>
      <c r="P16" s="12" t="n">
        <v>222</v>
      </c>
      <c r="Q16" s="12" t="n">
        <v>182</v>
      </c>
      <c r="R16" s="12" t="n">
        <v>244</v>
      </c>
      <c r="S16" s="12" t="n">
        <v>332</v>
      </c>
      <c r="T16" s="12" t="n">
        <v>423</v>
      </c>
      <c r="U16" s="12" t="n">
        <v>265</v>
      </c>
      <c r="V16" s="12" t="n">
        <v>212</v>
      </c>
      <c r="W16" s="12" t="n">
        <v>234</v>
      </c>
      <c r="X16" s="12" t="n">
        <v>509</v>
      </c>
      <c r="Y16" s="12" t="n">
        <v>319</v>
      </c>
      <c r="Z16" s="12" t="n">
        <v>235</v>
      </c>
      <c r="AA16" s="12" t="n">
        <v>212</v>
      </c>
      <c r="AB16" s="12" t="n">
        <v>200</v>
      </c>
      <c r="AC16" s="12" t="n">
        <v>311</v>
      </c>
      <c r="AD16" s="12" t="n">
        <v>230</v>
      </c>
      <c r="AE16" s="12" t="n">
        <v>568</v>
      </c>
      <c r="AF16" s="12" t="n">
        <v>585</v>
      </c>
    </row>
    <row r="17">
      <c r="A17" s="20" t="n"/>
      <c r="B17" s="13" t="inlineStr">
        <is>
          <t>High level of education (ISCED 5-8)</t>
        </is>
      </c>
      <c r="C17" s="14" t="n">
        <v>0.29</v>
      </c>
      <c r="D17" s="14" t="n">
        <v>0.42</v>
      </c>
      <c r="E17" s="14" t="n">
        <v>0.27</v>
      </c>
      <c r="F17" s="14" t="n">
        <v>0.19</v>
      </c>
      <c r="G17" s="14" t="n">
        <v>0.54</v>
      </c>
      <c r="H17" s="14" t="n">
        <v>0.27</v>
      </c>
      <c r="I17" s="14" t="n">
        <v>0.27</v>
      </c>
      <c r="J17" s="14" t="n">
        <v>0.23</v>
      </c>
      <c r="K17" s="14" t="n">
        <v>0.36</v>
      </c>
      <c r="L17" s="14" t="n">
        <v>0.47</v>
      </c>
      <c r="M17" s="14" t="n">
        <v>0.23</v>
      </c>
      <c r="N17" s="14" t="n">
        <v>0.27</v>
      </c>
      <c r="O17" s="14" t="n">
        <v>0.39</v>
      </c>
      <c r="P17" s="14" t="n">
        <v>0.22</v>
      </c>
      <c r="Q17" s="14" t="n">
        <v>0.18</v>
      </c>
      <c r="R17" s="14" t="n">
        <v>0.48</v>
      </c>
      <c r="S17" s="14" t="n">
        <v>0.33</v>
      </c>
      <c r="T17" s="14" t="n">
        <v>0.42</v>
      </c>
      <c r="U17" s="14" t="n">
        <v>0.52</v>
      </c>
      <c r="V17" s="14" t="n">
        <v>0.21</v>
      </c>
      <c r="W17" s="14" t="n">
        <v>0.46</v>
      </c>
      <c r="X17" s="14" t="n">
        <v>0.5</v>
      </c>
      <c r="Y17" s="14" t="n">
        <v>0.32</v>
      </c>
      <c r="Z17" s="14" t="n">
        <v>0.23</v>
      </c>
      <c r="AA17" s="14" t="n">
        <v>0.21</v>
      </c>
      <c r="AB17" s="14" t="n">
        <v>0.19</v>
      </c>
      <c r="AC17" s="14" t="n">
        <v>0.31</v>
      </c>
      <c r="AD17" s="14" t="n">
        <v>0.23</v>
      </c>
      <c r="AE17" s="14" t="n">
        <v>0.5600000000000001</v>
      </c>
      <c r="AF17" s="14" t="n">
        <v>0.5600000000000001</v>
      </c>
    </row>
    <row r="18">
      <c r="A18" s="20" t="n"/>
      <c r="B18" s="11" t="inlineStr">
        <is>
          <t>Refus (SPONTANÉ)</t>
        </is>
      </c>
      <c r="C18" s="12" t="n">
        <v>17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2</v>
      </c>
      <c r="I18" s="12" t="n">
        <v>4</v>
      </c>
      <c r="J18" s="12" t="n">
        <v>2</v>
      </c>
      <c r="K18" s="12" t="n">
        <v>2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1</v>
      </c>
      <c r="V18" s="12" t="n">
        <v>0</v>
      </c>
      <c r="W18" s="12" t="n">
        <v>0</v>
      </c>
      <c r="X18" s="12" t="n">
        <v>3</v>
      </c>
      <c r="Y18" s="12" t="n">
        <v>0</v>
      </c>
      <c r="Z18" s="12" t="n">
        <v>0</v>
      </c>
      <c r="AA18" s="12" t="n">
        <v>0</v>
      </c>
      <c r="AB18" s="12" t="n">
        <v>0</v>
      </c>
      <c r="AC18" s="12" t="n">
        <v>0</v>
      </c>
      <c r="AD18" s="12" t="n">
        <v>1</v>
      </c>
      <c r="AE18" s="12" t="n">
        <v>0</v>
      </c>
      <c r="AF18" s="12" t="n">
        <v>3</v>
      </c>
    </row>
    <row r="19">
      <c r="A19" s="20" t="n"/>
      <c r="B19" s="13" t="inlineStr">
        <is>
          <t>Refusal (SPONTANEOUS)</t>
        </is>
      </c>
      <c r="C19" s="15" t="inlineStr">
        <is>
          <t>-</t>
        </is>
      </c>
      <c r="D19" s="15" t="inlineStr">
        <is>
          <t>-</t>
        </is>
      </c>
      <c r="E19" s="15" t="inlineStr">
        <is>
          <t>-</t>
        </is>
      </c>
      <c r="F19" s="15" t="inlineStr">
        <is>
          <t>-</t>
        </is>
      </c>
      <c r="G19" s="15" t="inlineStr">
        <is>
          <t>-</t>
        </is>
      </c>
      <c r="H19" s="15" t="inlineStr">
        <is>
          <t>-</t>
        </is>
      </c>
      <c r="I19" s="15" t="inlineStr">
        <is>
          <t>-</t>
        </is>
      </c>
      <c r="J19" s="14" t="n">
        <v>0.01</v>
      </c>
      <c r="K19" s="15" t="inlineStr">
        <is>
          <t>-</t>
        </is>
      </c>
      <c r="L19" s="15" t="inlineStr">
        <is>
          <t>-</t>
        </is>
      </c>
      <c r="M19" s="15" t="inlineStr">
        <is>
          <t>-</t>
        </is>
      </c>
      <c r="N19" s="15" t="inlineStr">
        <is>
          <t>-</t>
        </is>
      </c>
      <c r="O19" s="15" t="inlineStr">
        <is>
          <t>-</t>
        </is>
      </c>
      <c r="P19" s="15" t="inlineStr">
        <is>
          <t>-</t>
        </is>
      </c>
      <c r="Q19" s="15" t="inlineStr">
        <is>
          <t>-</t>
        </is>
      </c>
      <c r="R19" s="15" t="inlineStr">
        <is>
          <t>-</t>
        </is>
      </c>
      <c r="S19" s="15" t="inlineStr">
        <is>
          <t>-</t>
        </is>
      </c>
      <c r="T19" s="15" t="inlineStr">
        <is>
          <t>-</t>
        </is>
      </c>
      <c r="U19" s="15" t="inlineStr">
        <is>
          <t>-</t>
        </is>
      </c>
      <c r="V19" s="15" t="inlineStr">
        <is>
          <t>-</t>
        </is>
      </c>
      <c r="W19" s="15" t="inlineStr">
        <is>
          <t>-</t>
        </is>
      </c>
      <c r="X19" s="15" t="inlineStr">
        <is>
          <t>-</t>
        </is>
      </c>
      <c r="Y19" s="15" t="inlineStr">
        <is>
          <t>-</t>
        </is>
      </c>
      <c r="Z19" s="15" t="inlineStr">
        <is>
          <t>-</t>
        </is>
      </c>
      <c r="AA19" s="15" t="inlineStr">
        <is>
          <t>-</t>
        </is>
      </c>
      <c r="AB19" s="15" t="inlineStr">
        <is>
          <t>-</t>
        </is>
      </c>
      <c r="AC19" s="15" t="inlineStr">
        <is>
          <t>-</t>
        </is>
      </c>
      <c r="AD19" s="15" t="inlineStr">
        <is>
          <t>-</t>
        </is>
      </c>
      <c r="AE19" s="15" t="inlineStr">
        <is>
          <t>-</t>
        </is>
      </c>
      <c r="AF19" s="15" t="inlineStr">
        <is>
          <t>-</t>
        </is>
      </c>
    </row>
    <row r="20">
      <c r="A20" s="20" t="n"/>
      <c r="B20" s="11" t="inlineStr">
        <is>
          <t>Ne sait pas</t>
        </is>
      </c>
      <c r="C20" s="12" t="n">
        <v>22</v>
      </c>
      <c r="D20" s="12" t="n">
        <v>2</v>
      </c>
      <c r="E20" s="12" t="n">
        <v>0</v>
      </c>
      <c r="F20" s="12" t="n">
        <v>1</v>
      </c>
      <c r="G20" s="12" t="n">
        <v>0</v>
      </c>
      <c r="H20" s="12" t="n">
        <v>4</v>
      </c>
      <c r="I20" s="12" t="n">
        <v>4</v>
      </c>
      <c r="J20" s="12" t="n">
        <v>0</v>
      </c>
      <c r="K20" s="12" t="n">
        <v>0</v>
      </c>
      <c r="L20" s="12" t="n">
        <v>1</v>
      </c>
      <c r="M20" s="12" t="n">
        <v>0</v>
      </c>
      <c r="N20" s="12" t="n">
        <v>1</v>
      </c>
      <c r="O20" s="12" t="n">
        <v>0</v>
      </c>
      <c r="P20" s="12" t="n">
        <v>0</v>
      </c>
      <c r="Q20" s="12" t="n">
        <v>0</v>
      </c>
      <c r="R20" s="12" t="n">
        <v>1</v>
      </c>
      <c r="S20" s="12" t="n">
        <v>0</v>
      </c>
      <c r="T20" s="12" t="n">
        <v>0</v>
      </c>
      <c r="U20" s="12" t="n">
        <v>3</v>
      </c>
      <c r="V20" s="12" t="n">
        <v>0</v>
      </c>
      <c r="W20" s="12" t="n">
        <v>0</v>
      </c>
      <c r="X20" s="12" t="n">
        <v>4</v>
      </c>
      <c r="Y20" s="12" t="n">
        <v>0</v>
      </c>
      <c r="Z20" s="12" t="n">
        <v>0</v>
      </c>
      <c r="AA20" s="12" t="n">
        <v>0</v>
      </c>
      <c r="AB20" s="12" t="n">
        <v>0</v>
      </c>
      <c r="AC20" s="12" t="n">
        <v>0</v>
      </c>
      <c r="AD20" s="12" t="n">
        <v>0</v>
      </c>
      <c r="AE20" s="12" t="n">
        <v>0</v>
      </c>
      <c r="AF20" s="12" t="n">
        <v>0</v>
      </c>
    </row>
    <row r="21">
      <c r="A21" s="23" t="n"/>
      <c r="B21" s="13" t="inlineStr">
        <is>
          <t>Don’t know</t>
        </is>
      </c>
      <c r="C21" s="15" t="inlineStr">
        <is>
          <t>-</t>
        </is>
      </c>
      <c r="D21" s="15" t="inlineStr">
        <is>
          <t>-</t>
        </is>
      </c>
      <c r="E21" s="15" t="inlineStr">
        <is>
          <t>-</t>
        </is>
      </c>
      <c r="F21" s="15" t="inlineStr">
        <is>
          <t>-</t>
        </is>
      </c>
      <c r="G21" s="15" t="inlineStr">
        <is>
          <t>-</t>
        </is>
      </c>
      <c r="H21" s="15" t="inlineStr">
        <is>
          <t>-</t>
        </is>
      </c>
      <c r="I21" s="15" t="inlineStr">
        <is>
          <t>-</t>
        </is>
      </c>
      <c r="J21" s="15" t="inlineStr">
        <is>
          <t>-</t>
        </is>
      </c>
      <c r="K21" s="15" t="inlineStr">
        <is>
          <t>-</t>
        </is>
      </c>
      <c r="L21" s="15" t="inlineStr">
        <is>
          <t>-</t>
        </is>
      </c>
      <c r="M21" s="15" t="inlineStr">
        <is>
          <t>-</t>
        </is>
      </c>
      <c r="N21" s="15" t="inlineStr">
        <is>
          <t>-</t>
        </is>
      </c>
      <c r="O21" s="15" t="inlineStr">
        <is>
          <t>-</t>
        </is>
      </c>
      <c r="P21" s="15" t="inlineStr">
        <is>
          <t>-</t>
        </is>
      </c>
      <c r="Q21" s="15" t="inlineStr">
        <is>
          <t>-</t>
        </is>
      </c>
      <c r="R21" s="15" t="inlineStr">
        <is>
          <t>-</t>
        </is>
      </c>
      <c r="S21" s="15" t="inlineStr">
        <is>
          <t>-</t>
        </is>
      </c>
      <c r="T21" s="15" t="inlineStr">
        <is>
          <t>-</t>
        </is>
      </c>
      <c r="U21" s="14" t="n">
        <v>0.01</v>
      </c>
      <c r="V21" s="15" t="inlineStr">
        <is>
          <t>-</t>
        </is>
      </c>
      <c r="W21" s="15" t="inlineStr">
        <is>
          <t>-</t>
        </is>
      </c>
      <c r="X21" s="15" t="inlineStr">
        <is>
          <t>-</t>
        </is>
      </c>
      <c r="Y21" s="15" t="inlineStr">
        <is>
          <t>-</t>
        </is>
      </c>
      <c r="Z21" s="15" t="inlineStr">
        <is>
          <t>-</t>
        </is>
      </c>
      <c r="AA21" s="15" t="inlineStr">
        <is>
          <t>-</t>
        </is>
      </c>
      <c r="AB21" s="15" t="inlineStr">
        <is>
          <t>-</t>
        </is>
      </c>
      <c r="AC21" s="15" t="inlineStr">
        <is>
          <t>-</t>
        </is>
      </c>
      <c r="AD21" s="15" t="inlineStr">
        <is>
          <t>-</t>
        </is>
      </c>
      <c r="AE21" s="15" t="inlineStr">
        <is>
          <t>-</t>
        </is>
      </c>
      <c r="AF21" s="15" t="inlineStr">
        <is>
          <t>-</t>
        </is>
      </c>
    </row>
  </sheetData>
  <mergeCells count="9">
    <mergeCell ref="B4:F4"/>
    <mergeCell ref="H3:L3"/>
    <mergeCell ref="A10:A21"/>
    <mergeCell ref="C8:AF8"/>
    <mergeCell ref="B3:F3"/>
    <mergeCell ref="B5:F5"/>
    <mergeCell ref="H5:L5"/>
    <mergeCell ref="B10:B11"/>
    <mergeCell ref="H4:L4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F19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12" customHeight="1" s="18">
      <c r="B3" s="21" t="inlineStr">
        <is>
          <t>D10. Comment vous définiriez-vous?</t>
        </is>
      </c>
      <c r="H3" s="21" t="inlineStr">
        <is>
          <t>D10. How would you describe yourself?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HYPERLINK("#Content!A52","&lt;&lt;Back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Homme</t>
        </is>
      </c>
      <c r="C12" s="12" t="n">
        <v>12791</v>
      </c>
      <c r="D12" s="12" t="n">
        <v>500</v>
      </c>
      <c r="E12" s="12" t="n">
        <v>482</v>
      </c>
      <c r="F12" s="12" t="n">
        <v>508</v>
      </c>
      <c r="G12" s="12" t="n">
        <v>497</v>
      </c>
      <c r="H12" s="12" t="n">
        <v>590</v>
      </c>
      <c r="I12" s="12" t="n">
        <v>732</v>
      </c>
      <c r="J12" s="12" t="n">
        <v>143</v>
      </c>
      <c r="K12" s="12" t="n">
        <v>466</v>
      </c>
      <c r="L12" s="12" t="n">
        <v>494</v>
      </c>
      <c r="M12" s="12" t="n">
        <v>490</v>
      </c>
      <c r="N12" s="12" t="n">
        <v>489</v>
      </c>
      <c r="O12" s="12" t="n">
        <v>487</v>
      </c>
      <c r="P12" s="12" t="n">
        <v>484</v>
      </c>
      <c r="Q12" s="12" t="n">
        <v>499</v>
      </c>
      <c r="R12" s="12" t="n">
        <v>246</v>
      </c>
      <c r="S12" s="12" t="n">
        <v>454</v>
      </c>
      <c r="T12" s="12" t="n">
        <v>475</v>
      </c>
      <c r="U12" s="12" t="n">
        <v>254</v>
      </c>
      <c r="V12" s="12" t="n">
        <v>487</v>
      </c>
      <c r="W12" s="12" t="n">
        <v>266</v>
      </c>
      <c r="X12" s="12" t="n">
        <v>503</v>
      </c>
      <c r="Y12" s="12" t="n">
        <v>490</v>
      </c>
      <c r="Z12" s="12" t="n">
        <v>488</v>
      </c>
      <c r="AA12" s="12" t="n">
        <v>487</v>
      </c>
      <c r="AB12" s="12" t="n">
        <v>502</v>
      </c>
      <c r="AC12" s="12" t="n">
        <v>504</v>
      </c>
      <c r="AD12" s="12" t="n">
        <v>485</v>
      </c>
      <c r="AE12" s="12" t="n">
        <v>497</v>
      </c>
      <c r="AF12" s="12" t="n">
        <v>528</v>
      </c>
    </row>
    <row r="13">
      <c r="A13" s="20" t="n"/>
      <c r="B13" s="13" t="inlineStr">
        <is>
          <t>Man</t>
        </is>
      </c>
      <c r="C13" s="14" t="n">
        <v>0.49</v>
      </c>
      <c r="D13" s="14" t="n">
        <v>0.49</v>
      </c>
      <c r="E13" s="14" t="n">
        <v>0.48</v>
      </c>
      <c r="F13" s="14" t="n">
        <v>0.49</v>
      </c>
      <c r="G13" s="14" t="n">
        <v>0.49</v>
      </c>
      <c r="H13" s="14" t="n">
        <v>0.49</v>
      </c>
      <c r="I13" s="14" t="n">
        <v>0.49</v>
      </c>
      <c r="J13" s="14" t="n">
        <v>0.49</v>
      </c>
      <c r="K13" s="14" t="n">
        <v>0.46</v>
      </c>
      <c r="L13" s="14" t="n">
        <v>0.49</v>
      </c>
      <c r="M13" s="14" t="n">
        <v>0.49</v>
      </c>
      <c r="N13" s="14" t="n">
        <v>0.49</v>
      </c>
      <c r="O13" s="14" t="n">
        <v>0.48</v>
      </c>
      <c r="P13" s="14" t="n">
        <v>0.48</v>
      </c>
      <c r="Q13" s="14" t="n">
        <v>0.49</v>
      </c>
      <c r="R13" s="14" t="n">
        <v>0.49</v>
      </c>
      <c r="S13" s="14" t="n">
        <v>0.45</v>
      </c>
      <c r="T13" s="14" t="n">
        <v>0.47</v>
      </c>
      <c r="U13" s="14" t="n">
        <v>0.5</v>
      </c>
      <c r="V13" s="14" t="n">
        <v>0.48</v>
      </c>
      <c r="W13" s="14" t="n">
        <v>0.53</v>
      </c>
      <c r="X13" s="14" t="n">
        <v>0.49</v>
      </c>
      <c r="Y13" s="14" t="n">
        <v>0.49</v>
      </c>
      <c r="Z13" s="14" t="n">
        <v>0.48</v>
      </c>
      <c r="AA13" s="14" t="n">
        <v>0.47</v>
      </c>
      <c r="AB13" s="14" t="n">
        <v>0.48</v>
      </c>
      <c r="AC13" s="14" t="n">
        <v>0.5</v>
      </c>
      <c r="AD13" s="14" t="n">
        <v>0.48</v>
      </c>
      <c r="AE13" s="14" t="n">
        <v>0.49</v>
      </c>
      <c r="AF13" s="14" t="n">
        <v>0.51</v>
      </c>
    </row>
    <row r="14">
      <c r="A14" s="20" t="n"/>
      <c r="B14" s="11" t="inlineStr">
        <is>
          <t>Femme</t>
        </is>
      </c>
      <c r="C14" s="12" t="n">
        <v>13560</v>
      </c>
      <c r="D14" s="12" t="n">
        <v>520</v>
      </c>
      <c r="E14" s="12" t="n">
        <v>532</v>
      </c>
      <c r="F14" s="12" t="n">
        <v>537</v>
      </c>
      <c r="G14" s="12" t="n">
        <v>508</v>
      </c>
      <c r="H14" s="12" t="n">
        <v>613</v>
      </c>
      <c r="I14" s="12" t="n">
        <v>762</v>
      </c>
      <c r="J14" s="12" t="n">
        <v>149</v>
      </c>
      <c r="K14" s="12" t="n">
        <v>533</v>
      </c>
      <c r="L14" s="12" t="n">
        <v>515</v>
      </c>
      <c r="M14" s="12" t="n">
        <v>517</v>
      </c>
      <c r="N14" s="12" t="n">
        <v>517</v>
      </c>
      <c r="O14" s="12" t="n">
        <v>529</v>
      </c>
      <c r="P14" s="12" t="n">
        <v>522</v>
      </c>
      <c r="Q14" s="12" t="n">
        <v>529</v>
      </c>
      <c r="R14" s="12" t="n">
        <v>258</v>
      </c>
      <c r="S14" s="12" t="n">
        <v>546</v>
      </c>
      <c r="T14" s="12" t="n">
        <v>542</v>
      </c>
      <c r="U14" s="12" t="n">
        <v>252</v>
      </c>
      <c r="V14" s="12" t="n">
        <v>533</v>
      </c>
      <c r="W14" s="12" t="n">
        <v>234</v>
      </c>
      <c r="X14" s="12" t="n">
        <v>514</v>
      </c>
      <c r="Y14" s="12" t="n">
        <v>511</v>
      </c>
      <c r="Z14" s="12" t="n">
        <v>532</v>
      </c>
      <c r="AA14" s="12" t="n">
        <v>544</v>
      </c>
      <c r="AB14" s="12" t="n">
        <v>542</v>
      </c>
      <c r="AC14" s="12" t="n">
        <v>502</v>
      </c>
      <c r="AD14" s="12" t="n">
        <v>516</v>
      </c>
      <c r="AE14" s="12" t="n">
        <v>513</v>
      </c>
      <c r="AF14" s="12" t="n">
        <v>499</v>
      </c>
    </row>
    <row r="15">
      <c r="A15" s="20" t="n"/>
      <c r="B15" s="13" t="inlineStr">
        <is>
          <t>Woman</t>
        </is>
      </c>
      <c r="C15" s="14" t="n">
        <v>0.51</v>
      </c>
      <c r="D15" s="14" t="n">
        <v>0.51</v>
      </c>
      <c r="E15" s="14" t="n">
        <v>0.52</v>
      </c>
      <c r="F15" s="14" t="n">
        <v>0.51</v>
      </c>
      <c r="G15" s="14" t="n">
        <v>0.51</v>
      </c>
      <c r="H15" s="14" t="n">
        <v>0.51</v>
      </c>
      <c r="I15" s="14" t="n">
        <v>0.51</v>
      </c>
      <c r="J15" s="14" t="n">
        <v>0.51</v>
      </c>
      <c r="K15" s="14" t="n">
        <v>0.53</v>
      </c>
      <c r="L15" s="14" t="n">
        <v>0.51</v>
      </c>
      <c r="M15" s="14" t="n">
        <v>0.51</v>
      </c>
      <c r="N15" s="14" t="n">
        <v>0.51</v>
      </c>
      <c r="O15" s="14" t="n">
        <v>0.52</v>
      </c>
      <c r="P15" s="14" t="n">
        <v>0.52</v>
      </c>
      <c r="Q15" s="14" t="n">
        <v>0.51</v>
      </c>
      <c r="R15" s="14" t="n">
        <v>0.51</v>
      </c>
      <c r="S15" s="14" t="n">
        <v>0.54</v>
      </c>
      <c r="T15" s="14" t="n">
        <v>0.53</v>
      </c>
      <c r="U15" s="14" t="n">
        <v>0.5</v>
      </c>
      <c r="V15" s="14" t="n">
        <v>0.52</v>
      </c>
      <c r="W15" s="14" t="n">
        <v>0.46</v>
      </c>
      <c r="X15" s="14" t="n">
        <v>0.5</v>
      </c>
      <c r="Y15" s="14" t="n">
        <v>0.51</v>
      </c>
      <c r="Z15" s="14" t="n">
        <v>0.52</v>
      </c>
      <c r="AA15" s="14" t="n">
        <v>0.53</v>
      </c>
      <c r="AB15" s="14" t="n">
        <v>0.52</v>
      </c>
      <c r="AC15" s="14" t="n">
        <v>0.5</v>
      </c>
      <c r="AD15" s="14" t="n">
        <v>0.52</v>
      </c>
      <c r="AE15" s="14" t="n">
        <v>0.51</v>
      </c>
      <c r="AF15" s="14" t="n">
        <v>0.48</v>
      </c>
    </row>
    <row r="16">
      <c r="A16" s="20" t="n"/>
      <c r="B16" s="11" t="inlineStr">
        <is>
          <t>Aucun / non binaire / ne se reconnaît pas dans les catégories proposées</t>
        </is>
      </c>
      <c r="C16" s="12" t="n">
        <v>35</v>
      </c>
      <c r="D16" s="12" t="n">
        <v>0</v>
      </c>
      <c r="E16" s="12" t="n">
        <v>0</v>
      </c>
      <c r="F16" s="12" t="n">
        <v>1</v>
      </c>
      <c r="G16" s="12" t="n">
        <v>1</v>
      </c>
      <c r="H16" s="12" t="n">
        <v>6</v>
      </c>
      <c r="I16" s="12" t="n">
        <v>7</v>
      </c>
      <c r="J16" s="12" t="n">
        <v>1</v>
      </c>
      <c r="K16" s="12" t="n">
        <v>2</v>
      </c>
      <c r="L16" s="12" t="n">
        <v>0</v>
      </c>
      <c r="M16" s="12" t="n">
        <v>0</v>
      </c>
      <c r="N16" s="12" t="n">
        <v>0</v>
      </c>
      <c r="O16" s="12" t="n">
        <v>1</v>
      </c>
      <c r="P16" s="12" t="n">
        <v>0</v>
      </c>
      <c r="Q16" s="12" t="n">
        <v>0</v>
      </c>
      <c r="R16" s="12" t="n">
        <v>0</v>
      </c>
      <c r="S16" s="12" t="n">
        <v>1</v>
      </c>
      <c r="T16" s="12" t="n">
        <v>0</v>
      </c>
      <c r="U16" s="12" t="n">
        <v>2</v>
      </c>
      <c r="V16" s="12" t="n">
        <v>0</v>
      </c>
      <c r="W16" s="12" t="n">
        <v>1</v>
      </c>
      <c r="X16" s="12" t="n">
        <v>0</v>
      </c>
      <c r="Y16" s="12" t="n">
        <v>1</v>
      </c>
      <c r="Z16" s="12" t="n">
        <v>0</v>
      </c>
      <c r="AA16" s="12" t="n">
        <v>0</v>
      </c>
      <c r="AB16" s="12" t="n">
        <v>0</v>
      </c>
      <c r="AC16" s="12" t="n">
        <v>1</v>
      </c>
      <c r="AD16" s="12" t="n">
        <v>0</v>
      </c>
      <c r="AE16" s="12" t="n">
        <v>4</v>
      </c>
      <c r="AF16" s="12" t="n">
        <v>9</v>
      </c>
    </row>
    <row r="17">
      <c r="A17" s="20" t="n"/>
      <c r="B17" s="13" t="inlineStr">
        <is>
          <t>None of the above / Non binary / Do not recognize yourself in above categories</t>
        </is>
      </c>
      <c r="C17" s="15" t="inlineStr">
        <is>
          <t>-</t>
        </is>
      </c>
      <c r="D17" s="15" t="inlineStr">
        <is>
          <t>-</t>
        </is>
      </c>
      <c r="E17" s="15" t="inlineStr">
        <is>
          <t>-</t>
        </is>
      </c>
      <c r="F17" s="15" t="inlineStr">
        <is>
          <t>-</t>
        </is>
      </c>
      <c r="G17" s="15" t="inlineStr">
        <is>
          <t>-</t>
        </is>
      </c>
      <c r="H17" s="15" t="inlineStr">
        <is>
          <t>-</t>
        </is>
      </c>
      <c r="I17" s="15" t="inlineStr">
        <is>
          <t>-</t>
        </is>
      </c>
      <c r="J17" s="15" t="inlineStr">
        <is>
          <t>-</t>
        </is>
      </c>
      <c r="K17" s="15" t="inlineStr">
        <is>
          <t>-</t>
        </is>
      </c>
      <c r="L17" s="15" t="inlineStr">
        <is>
          <t>-</t>
        </is>
      </c>
      <c r="M17" s="15" t="inlineStr">
        <is>
          <t>-</t>
        </is>
      </c>
      <c r="N17" s="15" t="inlineStr">
        <is>
          <t>-</t>
        </is>
      </c>
      <c r="O17" s="15" t="inlineStr">
        <is>
          <t>-</t>
        </is>
      </c>
      <c r="P17" s="15" t="inlineStr">
        <is>
          <t>-</t>
        </is>
      </c>
      <c r="Q17" s="15" t="inlineStr">
        <is>
          <t>-</t>
        </is>
      </c>
      <c r="R17" s="15" t="inlineStr">
        <is>
          <t>-</t>
        </is>
      </c>
      <c r="S17" s="15" t="inlineStr">
        <is>
          <t>-</t>
        </is>
      </c>
      <c r="T17" s="15" t="inlineStr">
        <is>
          <t>-</t>
        </is>
      </c>
      <c r="U17" s="15" t="inlineStr">
        <is>
          <t>-</t>
        </is>
      </c>
      <c r="V17" s="15" t="inlineStr">
        <is>
          <t>-</t>
        </is>
      </c>
      <c r="W17" s="15" t="inlineStr">
        <is>
          <t>-</t>
        </is>
      </c>
      <c r="X17" s="15" t="inlineStr">
        <is>
          <t>-</t>
        </is>
      </c>
      <c r="Y17" s="15" t="inlineStr">
        <is>
          <t>-</t>
        </is>
      </c>
      <c r="Z17" s="15" t="inlineStr">
        <is>
          <t>-</t>
        </is>
      </c>
      <c r="AA17" s="15" t="inlineStr">
        <is>
          <t>-</t>
        </is>
      </c>
      <c r="AB17" s="15" t="inlineStr">
        <is>
          <t>-</t>
        </is>
      </c>
      <c r="AC17" s="15" t="inlineStr">
        <is>
          <t>-</t>
        </is>
      </c>
      <c r="AD17" s="15" t="inlineStr">
        <is>
          <t>-</t>
        </is>
      </c>
      <c r="AE17" s="15" t="inlineStr">
        <is>
          <t>-</t>
        </is>
      </c>
      <c r="AF17" s="14" t="n">
        <v>0.01</v>
      </c>
    </row>
    <row r="18">
      <c r="A18" s="20" t="n"/>
      <c r="B18" s="11" t="inlineStr">
        <is>
          <t>Préfère ne pas répondre</t>
        </is>
      </c>
      <c r="C18" s="12" t="n">
        <v>35</v>
      </c>
      <c r="D18" s="12" t="n">
        <v>1</v>
      </c>
      <c r="E18" s="12" t="n">
        <v>0</v>
      </c>
      <c r="F18" s="12" t="n">
        <v>3</v>
      </c>
      <c r="G18" s="12" t="n">
        <v>1</v>
      </c>
      <c r="H18" s="12" t="n">
        <v>5</v>
      </c>
      <c r="I18" s="12" t="n">
        <v>5</v>
      </c>
      <c r="J18" s="12" t="n">
        <v>0</v>
      </c>
      <c r="K18" s="12" t="n">
        <v>5</v>
      </c>
      <c r="L18" s="12" t="n">
        <v>1</v>
      </c>
      <c r="M18" s="12" t="n">
        <v>0</v>
      </c>
      <c r="N18" s="12" t="n">
        <v>0</v>
      </c>
      <c r="O18" s="12" t="n">
        <v>0</v>
      </c>
      <c r="P18" s="12" t="n">
        <v>1</v>
      </c>
      <c r="Q18" s="12" t="n">
        <v>1</v>
      </c>
      <c r="R18" s="12" t="n">
        <v>0</v>
      </c>
      <c r="S18" s="12" t="n">
        <v>4</v>
      </c>
      <c r="T18" s="12" t="n">
        <v>0</v>
      </c>
      <c r="U18" s="12" t="n">
        <v>0</v>
      </c>
      <c r="V18" s="12" t="n">
        <v>0</v>
      </c>
      <c r="W18" s="12" t="n">
        <v>4</v>
      </c>
      <c r="X18" s="12" t="n">
        <v>6</v>
      </c>
      <c r="Y18" s="12" t="n">
        <v>1</v>
      </c>
      <c r="Z18" s="12" t="n">
        <v>0</v>
      </c>
      <c r="AA18" s="12" t="n">
        <v>0</v>
      </c>
      <c r="AB18" s="12" t="n">
        <v>1</v>
      </c>
      <c r="AC18" s="12" t="n">
        <v>0</v>
      </c>
      <c r="AD18" s="12" t="n">
        <v>0</v>
      </c>
      <c r="AE18" s="12" t="n">
        <v>3</v>
      </c>
      <c r="AF18" s="12" t="n">
        <v>1</v>
      </c>
    </row>
    <row r="19">
      <c r="A19" s="23" t="n"/>
      <c r="B19" s="13" t="inlineStr">
        <is>
          <t>Prefer not to say</t>
        </is>
      </c>
      <c r="C19" s="15" t="inlineStr">
        <is>
          <t>-</t>
        </is>
      </c>
      <c r="D19" s="15" t="inlineStr">
        <is>
          <t>-</t>
        </is>
      </c>
      <c r="E19" s="15" t="inlineStr">
        <is>
          <t>-</t>
        </is>
      </c>
      <c r="F19" s="15" t="inlineStr">
        <is>
          <t>-</t>
        </is>
      </c>
      <c r="G19" s="15" t="inlineStr">
        <is>
          <t>-</t>
        </is>
      </c>
      <c r="H19" s="15" t="inlineStr">
        <is>
          <t>-</t>
        </is>
      </c>
      <c r="I19" s="15" t="inlineStr">
        <is>
          <t>-</t>
        </is>
      </c>
      <c r="J19" s="15" t="inlineStr">
        <is>
          <t>-</t>
        </is>
      </c>
      <c r="K19" s="14" t="n">
        <v>0.01</v>
      </c>
      <c r="L19" s="15" t="inlineStr">
        <is>
          <t>-</t>
        </is>
      </c>
      <c r="M19" s="15" t="inlineStr">
        <is>
          <t>-</t>
        </is>
      </c>
      <c r="N19" s="15" t="inlineStr">
        <is>
          <t>-</t>
        </is>
      </c>
      <c r="O19" s="15" t="inlineStr">
        <is>
          <t>-</t>
        </is>
      </c>
      <c r="P19" s="15" t="inlineStr">
        <is>
          <t>-</t>
        </is>
      </c>
      <c r="Q19" s="15" t="inlineStr">
        <is>
          <t>-</t>
        </is>
      </c>
      <c r="R19" s="15" t="inlineStr">
        <is>
          <t>-</t>
        </is>
      </c>
      <c r="S19" s="14" t="n">
        <v>0.01</v>
      </c>
      <c r="T19" s="15" t="inlineStr">
        <is>
          <t>-</t>
        </is>
      </c>
      <c r="U19" s="15" t="inlineStr">
        <is>
          <t>-</t>
        </is>
      </c>
      <c r="V19" s="15" t="inlineStr">
        <is>
          <t>-</t>
        </is>
      </c>
      <c r="W19" s="14" t="n">
        <v>0.01</v>
      </c>
      <c r="X19" s="14" t="n">
        <v>0.01</v>
      </c>
      <c r="Y19" s="15" t="inlineStr">
        <is>
          <t>-</t>
        </is>
      </c>
      <c r="Z19" s="15" t="inlineStr">
        <is>
          <t>-</t>
        </is>
      </c>
      <c r="AA19" s="15" t="inlineStr">
        <is>
          <t>-</t>
        </is>
      </c>
      <c r="AB19" s="15" t="inlineStr">
        <is>
          <t>-</t>
        </is>
      </c>
      <c r="AC19" s="15" t="inlineStr">
        <is>
          <t>-</t>
        </is>
      </c>
      <c r="AD19" s="15" t="inlineStr">
        <is>
          <t>-</t>
        </is>
      </c>
      <c r="AE19" s="15" t="inlineStr">
        <is>
          <t>-</t>
        </is>
      </c>
      <c r="AF19" s="15" t="inlineStr">
        <is>
          <t>-</t>
        </is>
      </c>
    </row>
  </sheetData>
  <mergeCells count="9">
    <mergeCell ref="B4:F4"/>
    <mergeCell ref="H3:L3"/>
    <mergeCell ref="C8:AF8"/>
    <mergeCell ref="B3:F3"/>
    <mergeCell ref="B5:F5"/>
    <mergeCell ref="A10:A19"/>
    <mergeCell ref="H5:L5"/>
    <mergeCell ref="B10:B11"/>
    <mergeCell ref="H4:L4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F47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12" customHeight="1" s="18">
      <c r="B3" s="21" t="inlineStr">
        <is>
          <t>D15a. Quelle est votre profession actuelle ?</t>
        </is>
      </c>
      <c r="H3" s="21" t="inlineStr">
        <is>
          <t>D15a. What is your current occupation?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HYPERLINK("#Content!A53","&lt;&lt;Back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En charge des achats courants et des tâches ménagères ou sans aucune activité professionnelle</t>
        </is>
      </c>
      <c r="C12" s="12" t="n">
        <v>1052</v>
      </c>
      <c r="D12" s="12" t="n">
        <v>20</v>
      </c>
      <c r="E12" s="12" t="n">
        <v>25</v>
      </c>
      <c r="F12" s="12" t="n">
        <v>19</v>
      </c>
      <c r="G12" s="12" t="n">
        <v>5</v>
      </c>
      <c r="H12" s="12" t="n">
        <v>43</v>
      </c>
      <c r="I12" s="12" t="n">
        <v>45</v>
      </c>
      <c r="J12" s="12" t="n">
        <v>1</v>
      </c>
      <c r="K12" s="12" t="n">
        <v>27</v>
      </c>
      <c r="L12" s="12" t="n">
        <v>84</v>
      </c>
      <c r="M12" s="12" t="n">
        <v>70</v>
      </c>
      <c r="N12" s="12" t="n">
        <v>67</v>
      </c>
      <c r="O12" s="12" t="n">
        <v>33</v>
      </c>
      <c r="P12" s="12" t="n">
        <v>23</v>
      </c>
      <c r="Q12" s="12" t="n">
        <v>63</v>
      </c>
      <c r="R12" s="12" t="n">
        <v>16</v>
      </c>
      <c r="S12" s="12" t="n">
        <v>27</v>
      </c>
      <c r="T12" s="12" t="n">
        <v>26</v>
      </c>
      <c r="U12" s="12" t="n">
        <v>8</v>
      </c>
      <c r="V12" s="12" t="n">
        <v>7</v>
      </c>
      <c r="W12" s="12" t="n">
        <v>57</v>
      </c>
      <c r="X12" s="12" t="n">
        <v>25</v>
      </c>
      <c r="Y12" s="12" t="n">
        <v>38</v>
      </c>
      <c r="Z12" s="12" t="n">
        <v>36</v>
      </c>
      <c r="AA12" s="12" t="n">
        <v>18</v>
      </c>
      <c r="AB12" s="12" t="n">
        <v>81</v>
      </c>
      <c r="AC12" s="12" t="n">
        <v>24</v>
      </c>
      <c r="AD12" s="12" t="n">
        <v>31</v>
      </c>
      <c r="AE12" s="12" t="n">
        <v>3</v>
      </c>
      <c r="AF12" s="12" t="n">
        <v>8</v>
      </c>
    </row>
    <row r="13">
      <c r="A13" s="20" t="n"/>
      <c r="B13" s="13" t="inlineStr">
        <is>
          <t>Responsible for ordinary shopping and looking after the home, or without any current occupation, not working</t>
        </is>
      </c>
      <c r="C13" s="14" t="n">
        <v>0.04</v>
      </c>
      <c r="D13" s="14" t="n">
        <v>0.02</v>
      </c>
      <c r="E13" s="14" t="n">
        <v>0.03</v>
      </c>
      <c r="F13" s="14" t="n">
        <v>0.02</v>
      </c>
      <c r="G13" s="15" t="inlineStr">
        <is>
          <t>-</t>
        </is>
      </c>
      <c r="H13" s="14" t="n">
        <v>0.04</v>
      </c>
      <c r="I13" s="14" t="n">
        <v>0.03</v>
      </c>
      <c r="J13" s="15" t="inlineStr">
        <is>
          <t>-</t>
        </is>
      </c>
      <c r="K13" s="14" t="n">
        <v>0.03</v>
      </c>
      <c r="L13" s="14" t="n">
        <v>0.08</v>
      </c>
      <c r="M13" s="14" t="n">
        <v>0.07000000000000001</v>
      </c>
      <c r="N13" s="14" t="n">
        <v>0.07000000000000001</v>
      </c>
      <c r="O13" s="14" t="n">
        <v>0.03</v>
      </c>
      <c r="P13" s="14" t="n">
        <v>0.02</v>
      </c>
      <c r="Q13" s="14" t="n">
        <v>0.06</v>
      </c>
      <c r="R13" s="14" t="n">
        <v>0.03</v>
      </c>
      <c r="S13" s="14" t="n">
        <v>0.03</v>
      </c>
      <c r="T13" s="14" t="n">
        <v>0.03</v>
      </c>
      <c r="U13" s="14" t="n">
        <v>0.02</v>
      </c>
      <c r="V13" s="14" t="n">
        <v>0.01</v>
      </c>
      <c r="W13" s="14" t="n">
        <v>0.11</v>
      </c>
      <c r="X13" s="14" t="n">
        <v>0.02</v>
      </c>
      <c r="Y13" s="14" t="n">
        <v>0.04</v>
      </c>
      <c r="Z13" s="14" t="n">
        <v>0.04</v>
      </c>
      <c r="AA13" s="14" t="n">
        <v>0.02</v>
      </c>
      <c r="AB13" s="14" t="n">
        <v>0.08</v>
      </c>
      <c r="AC13" s="14" t="n">
        <v>0.02</v>
      </c>
      <c r="AD13" s="14" t="n">
        <v>0.03</v>
      </c>
      <c r="AE13" s="15" t="inlineStr">
        <is>
          <t>-</t>
        </is>
      </c>
      <c r="AF13" s="14" t="n">
        <v>0.01</v>
      </c>
    </row>
    <row r="14">
      <c r="A14" s="20" t="n"/>
      <c r="B14" s="11" t="inlineStr">
        <is>
          <t>Étudiant</t>
        </is>
      </c>
      <c r="C14" s="12" t="n">
        <v>2632</v>
      </c>
      <c r="D14" s="12" t="n">
        <v>132</v>
      </c>
      <c r="E14" s="12" t="n">
        <v>74</v>
      </c>
      <c r="F14" s="12" t="n">
        <v>100</v>
      </c>
      <c r="G14" s="12" t="n">
        <v>100</v>
      </c>
      <c r="H14" s="12" t="n">
        <v>184</v>
      </c>
      <c r="I14" s="12" t="n">
        <v>203</v>
      </c>
      <c r="J14" s="12" t="n">
        <v>19</v>
      </c>
      <c r="K14" s="12" t="n">
        <v>100</v>
      </c>
      <c r="L14" s="12" t="n">
        <v>113</v>
      </c>
      <c r="M14" s="12" t="n">
        <v>88</v>
      </c>
      <c r="N14" s="12" t="n">
        <v>91</v>
      </c>
      <c r="O14" s="12" t="n">
        <v>93</v>
      </c>
      <c r="P14" s="12" t="n">
        <v>66</v>
      </c>
      <c r="Q14" s="12" t="n">
        <v>116</v>
      </c>
      <c r="R14" s="12" t="n">
        <v>35</v>
      </c>
      <c r="S14" s="12" t="n">
        <v>86</v>
      </c>
      <c r="T14" s="12" t="n">
        <v>99</v>
      </c>
      <c r="U14" s="12" t="n">
        <v>56</v>
      </c>
      <c r="V14" s="12" t="n">
        <v>48</v>
      </c>
      <c r="W14" s="12" t="n">
        <v>42</v>
      </c>
      <c r="X14" s="12" t="n">
        <v>124</v>
      </c>
      <c r="Y14" s="12" t="n">
        <v>89</v>
      </c>
      <c r="Z14" s="12" t="n">
        <v>66</v>
      </c>
      <c r="AA14" s="12" t="n">
        <v>89</v>
      </c>
      <c r="AB14" s="12" t="n">
        <v>73</v>
      </c>
      <c r="AC14" s="12" t="n">
        <v>84</v>
      </c>
      <c r="AD14" s="12" t="n">
        <v>91</v>
      </c>
      <c r="AE14" s="12" t="n">
        <v>101</v>
      </c>
      <c r="AF14" s="12" t="n">
        <v>70</v>
      </c>
    </row>
    <row r="15">
      <c r="A15" s="20" t="n"/>
      <c r="B15" s="13" t="inlineStr">
        <is>
          <t>Student</t>
        </is>
      </c>
      <c r="C15" s="14" t="n">
        <v>0.1</v>
      </c>
      <c r="D15" s="14" t="n">
        <v>0.13</v>
      </c>
      <c r="E15" s="14" t="n">
        <v>0.07000000000000001</v>
      </c>
      <c r="F15" s="14" t="n">
        <v>0.1</v>
      </c>
      <c r="G15" s="14" t="n">
        <v>0.1</v>
      </c>
      <c r="H15" s="14" t="n">
        <v>0.15</v>
      </c>
      <c r="I15" s="14" t="n">
        <v>0.13</v>
      </c>
      <c r="J15" s="14" t="n">
        <v>0.06</v>
      </c>
      <c r="K15" s="14" t="n">
        <v>0.1</v>
      </c>
      <c r="L15" s="14" t="n">
        <v>0.11</v>
      </c>
      <c r="M15" s="14" t="n">
        <v>0.09</v>
      </c>
      <c r="N15" s="14" t="n">
        <v>0.09</v>
      </c>
      <c r="O15" s="14" t="n">
        <v>0.09</v>
      </c>
      <c r="P15" s="14" t="n">
        <v>0.07000000000000001</v>
      </c>
      <c r="Q15" s="14" t="n">
        <v>0.11</v>
      </c>
      <c r="R15" s="14" t="n">
        <v>0.07000000000000001</v>
      </c>
      <c r="S15" s="14" t="n">
        <v>0.09</v>
      </c>
      <c r="T15" s="14" t="n">
        <v>0.1</v>
      </c>
      <c r="U15" s="14" t="n">
        <v>0.11</v>
      </c>
      <c r="V15" s="14" t="n">
        <v>0.05</v>
      </c>
      <c r="W15" s="14" t="n">
        <v>0.08</v>
      </c>
      <c r="X15" s="14" t="n">
        <v>0.12</v>
      </c>
      <c r="Y15" s="14" t="n">
        <v>0.09</v>
      </c>
      <c r="Z15" s="14" t="n">
        <v>0.06</v>
      </c>
      <c r="AA15" s="14" t="n">
        <v>0.09</v>
      </c>
      <c r="AB15" s="14" t="n">
        <v>0.07000000000000001</v>
      </c>
      <c r="AC15" s="14" t="n">
        <v>0.08</v>
      </c>
      <c r="AD15" s="14" t="n">
        <v>0.09</v>
      </c>
      <c r="AE15" s="14" t="n">
        <v>0.1</v>
      </c>
      <c r="AF15" s="14" t="n">
        <v>0.07000000000000001</v>
      </c>
    </row>
    <row r="16">
      <c r="A16" s="20" t="n"/>
      <c r="B16" s="11" t="inlineStr">
        <is>
          <t>Au chômage ou temporairement sans emploi</t>
        </is>
      </c>
      <c r="C16" s="12" t="n">
        <v>1119</v>
      </c>
      <c r="D16" s="12" t="n">
        <v>75</v>
      </c>
      <c r="E16" s="12" t="n">
        <v>50</v>
      </c>
      <c r="F16" s="12" t="n">
        <v>40</v>
      </c>
      <c r="G16" s="12" t="n">
        <v>36</v>
      </c>
      <c r="H16" s="12" t="n">
        <v>41</v>
      </c>
      <c r="I16" s="12" t="n">
        <v>55</v>
      </c>
      <c r="J16" s="12" t="n">
        <v>14</v>
      </c>
      <c r="K16" s="12" t="n">
        <v>44</v>
      </c>
      <c r="L16" s="12" t="n">
        <v>36</v>
      </c>
      <c r="M16" s="12" t="n">
        <v>48</v>
      </c>
      <c r="N16" s="12" t="n">
        <v>72</v>
      </c>
      <c r="O16" s="12" t="n">
        <v>71</v>
      </c>
      <c r="P16" s="12" t="n">
        <v>37</v>
      </c>
      <c r="Q16" s="12" t="n">
        <v>19</v>
      </c>
      <c r="R16" s="12" t="n">
        <v>17</v>
      </c>
      <c r="S16" s="12" t="n">
        <v>40</v>
      </c>
      <c r="T16" s="12" t="n">
        <v>78</v>
      </c>
      <c r="U16" s="12" t="n">
        <v>21</v>
      </c>
      <c r="V16" s="12" t="n">
        <v>20</v>
      </c>
      <c r="W16" s="12" t="n">
        <v>10</v>
      </c>
      <c r="X16" s="12" t="n">
        <v>34</v>
      </c>
      <c r="Y16" s="12" t="n">
        <v>32</v>
      </c>
      <c r="Z16" s="12" t="n">
        <v>21</v>
      </c>
      <c r="AA16" s="12" t="n">
        <v>44</v>
      </c>
      <c r="AB16" s="12" t="n">
        <v>10</v>
      </c>
      <c r="AC16" s="12" t="n">
        <v>34</v>
      </c>
      <c r="AD16" s="12" t="n">
        <v>46</v>
      </c>
      <c r="AE16" s="12" t="n">
        <v>55</v>
      </c>
      <c r="AF16" s="12" t="n">
        <v>48</v>
      </c>
    </row>
    <row r="17">
      <c r="A17" s="20" t="n"/>
      <c r="B17" s="13" t="inlineStr">
        <is>
          <t>Unemployed or temporarily not working</t>
        </is>
      </c>
      <c r="C17" s="14" t="n">
        <v>0.04</v>
      </c>
      <c r="D17" s="14" t="n">
        <v>0.07000000000000001</v>
      </c>
      <c r="E17" s="14" t="n">
        <v>0.05</v>
      </c>
      <c r="F17" s="14" t="n">
        <v>0.04</v>
      </c>
      <c r="G17" s="14" t="n">
        <v>0.04</v>
      </c>
      <c r="H17" s="14" t="n">
        <v>0.03</v>
      </c>
      <c r="I17" s="14" t="n">
        <v>0.04</v>
      </c>
      <c r="J17" s="14" t="n">
        <v>0.05</v>
      </c>
      <c r="K17" s="14" t="n">
        <v>0.04</v>
      </c>
      <c r="L17" s="14" t="n">
        <v>0.04</v>
      </c>
      <c r="M17" s="14" t="n">
        <v>0.05</v>
      </c>
      <c r="N17" s="14" t="n">
        <v>0.07000000000000001</v>
      </c>
      <c r="O17" s="14" t="n">
        <v>0.07000000000000001</v>
      </c>
      <c r="P17" s="14" t="n">
        <v>0.04</v>
      </c>
      <c r="Q17" s="14" t="n">
        <v>0.02</v>
      </c>
      <c r="R17" s="14" t="n">
        <v>0.03</v>
      </c>
      <c r="S17" s="14" t="n">
        <v>0.04</v>
      </c>
      <c r="T17" s="14" t="n">
        <v>0.08</v>
      </c>
      <c r="U17" s="14" t="n">
        <v>0.04</v>
      </c>
      <c r="V17" s="14" t="n">
        <v>0.02</v>
      </c>
      <c r="W17" s="14" t="n">
        <v>0.02</v>
      </c>
      <c r="X17" s="14" t="n">
        <v>0.03</v>
      </c>
      <c r="Y17" s="14" t="n">
        <v>0.03</v>
      </c>
      <c r="Z17" s="14" t="n">
        <v>0.02</v>
      </c>
      <c r="AA17" s="14" t="n">
        <v>0.04</v>
      </c>
      <c r="AB17" s="14" t="n">
        <v>0.01</v>
      </c>
      <c r="AC17" s="14" t="n">
        <v>0.03</v>
      </c>
      <c r="AD17" s="14" t="n">
        <v>0.05</v>
      </c>
      <c r="AE17" s="14" t="n">
        <v>0.05</v>
      </c>
      <c r="AF17" s="14" t="n">
        <v>0.05</v>
      </c>
    </row>
    <row r="18">
      <c r="A18" s="20" t="n"/>
      <c r="B18" s="11" t="inlineStr">
        <is>
          <t>À la retraite ou en congé de maladie prolongé</t>
        </is>
      </c>
      <c r="C18" s="12" t="n">
        <v>6889</v>
      </c>
      <c r="D18" s="12" t="n">
        <v>301</v>
      </c>
      <c r="E18" s="12" t="n">
        <v>275</v>
      </c>
      <c r="F18" s="12" t="n">
        <v>260</v>
      </c>
      <c r="G18" s="12" t="n">
        <v>270</v>
      </c>
      <c r="H18" s="12" t="n">
        <v>311</v>
      </c>
      <c r="I18" s="12" t="n">
        <v>404</v>
      </c>
      <c r="J18" s="12" t="n">
        <v>93</v>
      </c>
      <c r="K18" s="12" t="n">
        <v>238</v>
      </c>
      <c r="L18" s="12" t="n">
        <v>166</v>
      </c>
      <c r="M18" s="12" t="n">
        <v>232</v>
      </c>
      <c r="N18" s="12" t="n">
        <v>219</v>
      </c>
      <c r="O18" s="12" t="n">
        <v>304</v>
      </c>
      <c r="P18" s="12" t="n">
        <v>290</v>
      </c>
      <c r="Q18" s="12" t="n">
        <v>253</v>
      </c>
      <c r="R18" s="12" t="n">
        <v>109</v>
      </c>
      <c r="S18" s="12" t="n">
        <v>264</v>
      </c>
      <c r="T18" s="12" t="n">
        <v>264</v>
      </c>
      <c r="U18" s="12" t="n">
        <v>121</v>
      </c>
      <c r="V18" s="12" t="n">
        <v>247</v>
      </c>
      <c r="W18" s="12" t="n">
        <v>68</v>
      </c>
      <c r="X18" s="12" t="n">
        <v>265</v>
      </c>
      <c r="Y18" s="12" t="n">
        <v>245</v>
      </c>
      <c r="Z18" s="12" t="n">
        <v>275</v>
      </c>
      <c r="AA18" s="12" t="n">
        <v>275</v>
      </c>
      <c r="AB18" s="12" t="n">
        <v>275</v>
      </c>
      <c r="AC18" s="12" t="n">
        <v>312</v>
      </c>
      <c r="AD18" s="12" t="n">
        <v>249</v>
      </c>
      <c r="AE18" s="12" t="n">
        <v>289</v>
      </c>
      <c r="AF18" s="12" t="n">
        <v>287</v>
      </c>
    </row>
    <row r="19">
      <c r="A19" s="20" t="n"/>
      <c r="B19" s="13" t="inlineStr">
        <is>
          <t>Retired or unable to work through illness</t>
        </is>
      </c>
      <c r="C19" s="14" t="n">
        <v>0.26</v>
      </c>
      <c r="D19" s="14" t="n">
        <v>0.29</v>
      </c>
      <c r="E19" s="14" t="n">
        <v>0.27</v>
      </c>
      <c r="F19" s="14" t="n">
        <v>0.25</v>
      </c>
      <c r="G19" s="14" t="n">
        <v>0.27</v>
      </c>
      <c r="H19" s="14" t="n">
        <v>0.26</v>
      </c>
      <c r="I19" s="14" t="n">
        <v>0.27</v>
      </c>
      <c r="J19" s="14" t="n">
        <v>0.32</v>
      </c>
      <c r="K19" s="14" t="n">
        <v>0.24</v>
      </c>
      <c r="L19" s="14" t="n">
        <v>0.16</v>
      </c>
      <c r="M19" s="14" t="n">
        <v>0.23</v>
      </c>
      <c r="N19" s="14" t="n">
        <v>0.22</v>
      </c>
      <c r="O19" s="14" t="n">
        <v>0.3</v>
      </c>
      <c r="P19" s="14" t="n">
        <v>0.29</v>
      </c>
      <c r="Q19" s="14" t="n">
        <v>0.25</v>
      </c>
      <c r="R19" s="14" t="n">
        <v>0.22</v>
      </c>
      <c r="S19" s="14" t="n">
        <v>0.26</v>
      </c>
      <c r="T19" s="14" t="n">
        <v>0.26</v>
      </c>
      <c r="U19" s="14" t="n">
        <v>0.24</v>
      </c>
      <c r="V19" s="14" t="n">
        <v>0.24</v>
      </c>
      <c r="W19" s="14" t="n">
        <v>0.13</v>
      </c>
      <c r="X19" s="14" t="n">
        <v>0.26</v>
      </c>
      <c r="Y19" s="14" t="n">
        <v>0.24</v>
      </c>
      <c r="Z19" s="14" t="n">
        <v>0.27</v>
      </c>
      <c r="AA19" s="14" t="n">
        <v>0.27</v>
      </c>
      <c r="AB19" s="14" t="n">
        <v>0.26</v>
      </c>
      <c r="AC19" s="14" t="n">
        <v>0.31</v>
      </c>
      <c r="AD19" s="14" t="n">
        <v>0.25</v>
      </c>
      <c r="AE19" s="14" t="n">
        <v>0.28</v>
      </c>
      <c r="AF19" s="14" t="n">
        <v>0.28</v>
      </c>
    </row>
    <row r="20">
      <c r="A20" s="20" t="n"/>
      <c r="B20" s="11" t="inlineStr">
        <is>
          <t>Agriculteur indépendant</t>
        </is>
      </c>
      <c r="C20" s="12" t="n">
        <v>157</v>
      </c>
      <c r="D20" s="12" t="n">
        <v>2</v>
      </c>
      <c r="E20" s="12" t="n">
        <v>12</v>
      </c>
      <c r="F20" s="12" t="n">
        <v>5</v>
      </c>
      <c r="G20" s="12" t="n">
        <v>3</v>
      </c>
      <c r="H20" s="12" t="n">
        <v>1</v>
      </c>
      <c r="I20" s="12" t="n">
        <v>2</v>
      </c>
      <c r="J20" s="12" t="n">
        <v>1</v>
      </c>
      <c r="K20" s="12" t="n">
        <v>4</v>
      </c>
      <c r="L20" s="12" t="n">
        <v>8</v>
      </c>
      <c r="M20" s="12" t="n">
        <v>32</v>
      </c>
      <c r="N20" s="12" t="n">
        <v>6</v>
      </c>
      <c r="O20" s="12" t="n">
        <v>1</v>
      </c>
      <c r="P20" s="12" t="n">
        <v>7</v>
      </c>
      <c r="Q20" s="12" t="n">
        <v>7</v>
      </c>
      <c r="R20" s="12" t="n">
        <v>3</v>
      </c>
      <c r="S20" s="12" t="n">
        <v>8</v>
      </c>
      <c r="T20" s="12" t="n">
        <v>12</v>
      </c>
      <c r="U20" s="12" t="n">
        <v>0</v>
      </c>
      <c r="V20" s="12" t="n">
        <v>1</v>
      </c>
      <c r="W20" s="12" t="n">
        <v>1</v>
      </c>
      <c r="X20" s="12" t="n">
        <v>0</v>
      </c>
      <c r="Y20" s="12" t="n">
        <v>4</v>
      </c>
      <c r="Z20" s="12" t="n">
        <v>20</v>
      </c>
      <c r="AA20" s="12" t="n">
        <v>9</v>
      </c>
      <c r="AB20" s="12" t="n">
        <v>2</v>
      </c>
      <c r="AC20" s="12" t="n">
        <v>18</v>
      </c>
      <c r="AD20" s="12" t="n">
        <v>6</v>
      </c>
      <c r="AE20" s="12" t="n">
        <v>12</v>
      </c>
      <c r="AF20" s="12" t="n">
        <v>11</v>
      </c>
    </row>
    <row r="21">
      <c r="A21" s="20" t="n"/>
      <c r="B21" s="13" t="inlineStr">
        <is>
          <t>Self-employed farmer</t>
        </is>
      </c>
      <c r="C21" s="14" t="n">
        <v>0.01</v>
      </c>
      <c r="D21" s="15" t="inlineStr">
        <is>
          <t>-</t>
        </is>
      </c>
      <c r="E21" s="14" t="n">
        <v>0.01</v>
      </c>
      <c r="F21" s="15" t="inlineStr">
        <is>
          <t>-</t>
        </is>
      </c>
      <c r="G21" s="15" t="inlineStr">
        <is>
          <t>-</t>
        </is>
      </c>
      <c r="H21" s="15" t="inlineStr">
        <is>
          <t>-</t>
        </is>
      </c>
      <c r="I21" s="15" t="inlineStr">
        <is>
          <t>-</t>
        </is>
      </c>
      <c r="J21" s="15" t="inlineStr">
        <is>
          <t>-</t>
        </is>
      </c>
      <c r="K21" s="15" t="inlineStr">
        <is>
          <t>-</t>
        </is>
      </c>
      <c r="L21" s="14" t="n">
        <v>0.01</v>
      </c>
      <c r="M21" s="14" t="n">
        <v>0.03</v>
      </c>
      <c r="N21" s="14" t="n">
        <v>0.01</v>
      </c>
      <c r="O21" s="15" t="inlineStr">
        <is>
          <t>-</t>
        </is>
      </c>
      <c r="P21" s="14" t="n">
        <v>0.01</v>
      </c>
      <c r="Q21" s="14" t="n">
        <v>0.01</v>
      </c>
      <c r="R21" s="14" t="n">
        <v>0.01</v>
      </c>
      <c r="S21" s="14" t="n">
        <v>0.01</v>
      </c>
      <c r="T21" s="14" t="n">
        <v>0.01</v>
      </c>
      <c r="U21" s="15" t="inlineStr">
        <is>
          <t>-</t>
        </is>
      </c>
      <c r="V21" s="15" t="inlineStr">
        <is>
          <t>-</t>
        </is>
      </c>
      <c r="W21" s="15" t="inlineStr">
        <is>
          <t>-</t>
        </is>
      </c>
      <c r="X21" s="15" t="inlineStr">
        <is>
          <t>-</t>
        </is>
      </c>
      <c r="Y21" s="15" t="inlineStr">
        <is>
          <t>-</t>
        </is>
      </c>
      <c r="Z21" s="14" t="n">
        <v>0.02</v>
      </c>
      <c r="AA21" s="14" t="n">
        <v>0.01</v>
      </c>
      <c r="AB21" s="15" t="inlineStr">
        <is>
          <t>-</t>
        </is>
      </c>
      <c r="AC21" s="14" t="n">
        <v>0.02</v>
      </c>
      <c r="AD21" s="14" t="n">
        <v>0.01</v>
      </c>
      <c r="AE21" s="14" t="n">
        <v>0.01</v>
      </c>
      <c r="AF21" s="14" t="n">
        <v>0.01</v>
      </c>
    </row>
    <row r="22">
      <c r="A22" s="20" t="n"/>
      <c r="B22" s="11" t="inlineStr">
        <is>
          <t>Pêcheur indépendant</t>
        </is>
      </c>
      <c r="C22" s="12" t="n">
        <v>20</v>
      </c>
      <c r="D22" s="12" t="n">
        <v>0</v>
      </c>
      <c r="E22" s="12" t="n">
        <v>0</v>
      </c>
      <c r="F22" s="12" t="n">
        <v>1</v>
      </c>
      <c r="G22" s="12" t="n">
        <v>0</v>
      </c>
      <c r="H22" s="12" t="n">
        <v>1</v>
      </c>
      <c r="I22" s="12" t="n">
        <v>1</v>
      </c>
      <c r="J22" s="12" t="n">
        <v>0</v>
      </c>
      <c r="K22" s="12" t="n">
        <v>3</v>
      </c>
      <c r="L22" s="12" t="n">
        <v>1</v>
      </c>
      <c r="M22" s="12" t="n">
        <v>3</v>
      </c>
      <c r="N22" s="12" t="n">
        <v>0</v>
      </c>
      <c r="O22" s="12" t="n">
        <v>0</v>
      </c>
      <c r="P22" s="12" t="n">
        <v>1</v>
      </c>
      <c r="Q22" s="12" t="n">
        <v>2</v>
      </c>
      <c r="R22" s="12" t="n">
        <v>1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3</v>
      </c>
      <c r="AB22" s="12" t="n">
        <v>2</v>
      </c>
      <c r="AC22" s="12" t="n">
        <v>1</v>
      </c>
      <c r="AD22" s="12" t="n">
        <v>0</v>
      </c>
      <c r="AE22" s="12" t="n">
        <v>0</v>
      </c>
      <c r="AF22" s="12" t="n">
        <v>0</v>
      </c>
    </row>
    <row r="23">
      <c r="A23" s="20" t="n"/>
      <c r="B23" s="13" t="inlineStr">
        <is>
          <t>Self-employed fisherman</t>
        </is>
      </c>
      <c r="C23" s="15" t="inlineStr">
        <is>
          <t>-</t>
        </is>
      </c>
      <c r="D23" s="15" t="inlineStr">
        <is>
          <t>-</t>
        </is>
      </c>
      <c r="E23" s="15" t="inlineStr">
        <is>
          <t>-</t>
        </is>
      </c>
      <c r="F23" s="15" t="inlineStr">
        <is>
          <t>-</t>
        </is>
      </c>
      <c r="G23" s="15" t="inlineStr">
        <is>
          <t>-</t>
        </is>
      </c>
      <c r="H23" s="15" t="inlineStr">
        <is>
          <t>-</t>
        </is>
      </c>
      <c r="I23" s="15" t="inlineStr">
        <is>
          <t>-</t>
        </is>
      </c>
      <c r="J23" s="15" t="inlineStr">
        <is>
          <t>-</t>
        </is>
      </c>
      <c r="K23" s="15" t="inlineStr">
        <is>
          <t>-</t>
        </is>
      </c>
      <c r="L23" s="15" t="inlineStr">
        <is>
          <t>-</t>
        </is>
      </c>
      <c r="M23" s="15" t="inlineStr">
        <is>
          <t>-</t>
        </is>
      </c>
      <c r="N23" s="15" t="inlineStr">
        <is>
          <t>-</t>
        </is>
      </c>
      <c r="O23" s="15" t="inlineStr">
        <is>
          <t>-</t>
        </is>
      </c>
      <c r="P23" s="15" t="inlineStr">
        <is>
          <t>-</t>
        </is>
      </c>
      <c r="Q23" s="15" t="inlineStr">
        <is>
          <t>-</t>
        </is>
      </c>
      <c r="R23" s="15" t="inlineStr">
        <is>
          <t>-</t>
        </is>
      </c>
      <c r="S23" s="15" t="inlineStr">
        <is>
          <t>-</t>
        </is>
      </c>
      <c r="T23" s="15" t="inlineStr">
        <is>
          <t>-</t>
        </is>
      </c>
      <c r="U23" s="15" t="inlineStr">
        <is>
          <t>-</t>
        </is>
      </c>
      <c r="V23" s="15" t="inlineStr">
        <is>
          <t>-</t>
        </is>
      </c>
      <c r="W23" s="15" t="inlineStr">
        <is>
          <t>-</t>
        </is>
      </c>
      <c r="X23" s="15" t="inlineStr">
        <is>
          <t>-</t>
        </is>
      </c>
      <c r="Y23" s="15" t="inlineStr">
        <is>
          <t>-</t>
        </is>
      </c>
      <c r="Z23" s="15" t="inlineStr">
        <is>
          <t>-</t>
        </is>
      </c>
      <c r="AA23" s="15" t="inlineStr">
        <is>
          <t>-</t>
        </is>
      </c>
      <c r="AB23" s="15" t="inlineStr">
        <is>
          <t>-</t>
        </is>
      </c>
      <c r="AC23" s="15" t="inlineStr">
        <is>
          <t>-</t>
        </is>
      </c>
      <c r="AD23" s="15" t="inlineStr">
        <is>
          <t>-</t>
        </is>
      </c>
      <c r="AE23" s="15" t="inlineStr">
        <is>
          <t>-</t>
        </is>
      </c>
      <c r="AF23" s="15" t="inlineStr">
        <is>
          <t>-</t>
        </is>
      </c>
    </row>
    <row r="24">
      <c r="A24" s="20" t="n"/>
      <c r="B24" s="11" t="inlineStr">
        <is>
          <t>Travailleur indépendant libéral (avocat, médecin, expert comptable, architecte, etc.)</t>
        </is>
      </c>
      <c r="C24" s="12" t="n">
        <v>559</v>
      </c>
      <c r="D24" s="12" t="n">
        <v>8</v>
      </c>
      <c r="E24" s="12" t="n">
        <v>13</v>
      </c>
      <c r="F24" s="12" t="n">
        <v>23</v>
      </c>
      <c r="G24" s="12" t="n">
        <v>21</v>
      </c>
      <c r="H24" s="12" t="n">
        <v>11</v>
      </c>
      <c r="I24" s="12" t="n">
        <v>18</v>
      </c>
      <c r="J24" s="12" t="n">
        <v>7</v>
      </c>
      <c r="K24" s="12" t="n">
        <v>18</v>
      </c>
      <c r="L24" s="12" t="n">
        <v>18</v>
      </c>
      <c r="M24" s="12" t="n">
        <v>13</v>
      </c>
      <c r="N24" s="12" t="n">
        <v>16</v>
      </c>
      <c r="O24" s="12" t="n">
        <v>22</v>
      </c>
      <c r="P24" s="12" t="n">
        <v>14</v>
      </c>
      <c r="Q24" s="12" t="n">
        <v>44</v>
      </c>
      <c r="R24" s="12" t="n">
        <v>9</v>
      </c>
      <c r="S24" s="12" t="n">
        <v>25</v>
      </c>
      <c r="T24" s="12" t="n">
        <v>20</v>
      </c>
      <c r="U24" s="12" t="n">
        <v>16</v>
      </c>
      <c r="V24" s="12" t="n">
        <v>11</v>
      </c>
      <c r="W24" s="12" t="n">
        <v>20</v>
      </c>
      <c r="X24" s="12" t="n">
        <v>26</v>
      </c>
      <c r="Y24" s="12" t="n">
        <v>26</v>
      </c>
      <c r="Z24" s="12" t="n">
        <v>23</v>
      </c>
      <c r="AA24" s="12" t="n">
        <v>21</v>
      </c>
      <c r="AB24" s="12" t="n">
        <v>5</v>
      </c>
      <c r="AC24" s="12" t="n">
        <v>32</v>
      </c>
      <c r="AD24" s="12" t="n">
        <v>33</v>
      </c>
      <c r="AE24" s="12" t="n">
        <v>26</v>
      </c>
      <c r="AF24" s="12" t="n">
        <v>34</v>
      </c>
    </row>
    <row r="25">
      <c r="A25" s="20" t="n"/>
      <c r="B25" s="13" t="inlineStr">
        <is>
          <t>Self-employed professional (lawyer, medical practitioner, accountant, architect, etc.)</t>
        </is>
      </c>
      <c r="C25" s="14" t="n">
        <v>0.02</v>
      </c>
      <c r="D25" s="14" t="n">
        <v>0.01</v>
      </c>
      <c r="E25" s="14" t="n">
        <v>0.01</v>
      </c>
      <c r="F25" s="14" t="n">
        <v>0.02</v>
      </c>
      <c r="G25" s="14" t="n">
        <v>0.02</v>
      </c>
      <c r="H25" s="14" t="n">
        <v>0.01</v>
      </c>
      <c r="I25" s="14" t="n">
        <v>0.01</v>
      </c>
      <c r="J25" s="14" t="n">
        <v>0.02</v>
      </c>
      <c r="K25" s="14" t="n">
        <v>0.02</v>
      </c>
      <c r="L25" s="14" t="n">
        <v>0.02</v>
      </c>
      <c r="M25" s="14" t="n">
        <v>0.01</v>
      </c>
      <c r="N25" s="14" t="n">
        <v>0.02</v>
      </c>
      <c r="O25" s="14" t="n">
        <v>0.02</v>
      </c>
      <c r="P25" s="14" t="n">
        <v>0.01</v>
      </c>
      <c r="Q25" s="14" t="n">
        <v>0.04</v>
      </c>
      <c r="R25" s="14" t="n">
        <v>0.02</v>
      </c>
      <c r="S25" s="14" t="n">
        <v>0.03</v>
      </c>
      <c r="T25" s="14" t="n">
        <v>0.02</v>
      </c>
      <c r="U25" s="14" t="n">
        <v>0.03</v>
      </c>
      <c r="V25" s="14" t="n">
        <v>0.01</v>
      </c>
      <c r="W25" s="14" t="n">
        <v>0.04</v>
      </c>
      <c r="X25" s="14" t="n">
        <v>0.03</v>
      </c>
      <c r="Y25" s="14" t="n">
        <v>0.03</v>
      </c>
      <c r="Z25" s="14" t="n">
        <v>0.02</v>
      </c>
      <c r="AA25" s="14" t="n">
        <v>0.02</v>
      </c>
      <c r="AB25" s="14" t="n">
        <v>0.01</v>
      </c>
      <c r="AC25" s="14" t="n">
        <v>0.03</v>
      </c>
      <c r="AD25" s="14" t="n">
        <v>0.03</v>
      </c>
      <c r="AE25" s="14" t="n">
        <v>0.03</v>
      </c>
      <c r="AF25" s="14" t="n">
        <v>0.03</v>
      </c>
    </row>
    <row r="26">
      <c r="A26" s="20" t="n"/>
      <c r="B26" s="11" t="inlineStr">
        <is>
          <t>Commerçant ou propriétaire d’un magasin, artisan ou autre travailleur indépendant</t>
        </is>
      </c>
      <c r="C26" s="12" t="n">
        <v>696</v>
      </c>
      <c r="D26" s="12" t="n">
        <v>56</v>
      </c>
      <c r="E26" s="12" t="n">
        <v>34</v>
      </c>
      <c r="F26" s="12" t="n">
        <v>47</v>
      </c>
      <c r="G26" s="12" t="n">
        <v>8</v>
      </c>
      <c r="H26" s="12" t="n">
        <v>14</v>
      </c>
      <c r="I26" s="12" t="n">
        <v>16</v>
      </c>
      <c r="J26" s="12" t="n">
        <v>2</v>
      </c>
      <c r="K26" s="12" t="n">
        <v>22</v>
      </c>
      <c r="L26" s="12" t="n">
        <v>15</v>
      </c>
      <c r="M26" s="12" t="n">
        <v>69</v>
      </c>
      <c r="N26" s="12" t="n">
        <v>15</v>
      </c>
      <c r="O26" s="12" t="n">
        <v>25</v>
      </c>
      <c r="P26" s="12" t="n">
        <v>46</v>
      </c>
      <c r="Q26" s="12" t="n">
        <v>56</v>
      </c>
      <c r="R26" s="12" t="n">
        <v>27</v>
      </c>
      <c r="S26" s="12" t="n">
        <v>31</v>
      </c>
      <c r="T26" s="12" t="n">
        <v>37</v>
      </c>
      <c r="U26" s="12" t="n">
        <v>12</v>
      </c>
      <c r="V26" s="12" t="n">
        <v>30</v>
      </c>
      <c r="W26" s="12" t="n">
        <v>18</v>
      </c>
      <c r="X26" s="12" t="n">
        <v>17</v>
      </c>
      <c r="Y26" s="12" t="n">
        <v>15</v>
      </c>
      <c r="Z26" s="12" t="n">
        <v>20</v>
      </c>
      <c r="AA26" s="12" t="n">
        <v>53</v>
      </c>
      <c r="AB26" s="12" t="n">
        <v>14</v>
      </c>
      <c r="AC26" s="12" t="n">
        <v>25</v>
      </c>
      <c r="AD26" s="12" t="n">
        <v>40</v>
      </c>
      <c r="AE26" s="12" t="n">
        <v>9</v>
      </c>
      <c r="AF26" s="12" t="n">
        <v>7</v>
      </c>
    </row>
    <row r="27">
      <c r="A27" s="20" t="n"/>
      <c r="B27" s="13" t="inlineStr">
        <is>
          <t>Owner of a shop, craftsmen, other self-employed person</t>
        </is>
      </c>
      <c r="C27" s="14" t="n">
        <v>0.03</v>
      </c>
      <c r="D27" s="14" t="n">
        <v>0.06</v>
      </c>
      <c r="E27" s="14" t="n">
        <v>0.03</v>
      </c>
      <c r="F27" s="14" t="n">
        <v>0.04</v>
      </c>
      <c r="G27" s="14" t="n">
        <v>0.01</v>
      </c>
      <c r="H27" s="14" t="n">
        <v>0.01</v>
      </c>
      <c r="I27" s="14" t="n">
        <v>0.01</v>
      </c>
      <c r="J27" s="14" t="n">
        <v>0.01</v>
      </c>
      <c r="K27" s="14" t="n">
        <v>0.02</v>
      </c>
      <c r="L27" s="14" t="n">
        <v>0.02</v>
      </c>
      <c r="M27" s="14" t="n">
        <v>0.07000000000000001</v>
      </c>
      <c r="N27" s="14" t="n">
        <v>0.01</v>
      </c>
      <c r="O27" s="14" t="n">
        <v>0.03</v>
      </c>
      <c r="P27" s="14" t="n">
        <v>0.04</v>
      </c>
      <c r="Q27" s="14" t="n">
        <v>0.05</v>
      </c>
      <c r="R27" s="14" t="n">
        <v>0.05</v>
      </c>
      <c r="S27" s="14" t="n">
        <v>0.03</v>
      </c>
      <c r="T27" s="14" t="n">
        <v>0.04</v>
      </c>
      <c r="U27" s="14" t="n">
        <v>0.02</v>
      </c>
      <c r="V27" s="14" t="n">
        <v>0.03</v>
      </c>
      <c r="W27" s="14" t="n">
        <v>0.03</v>
      </c>
      <c r="X27" s="14" t="n">
        <v>0.02</v>
      </c>
      <c r="Y27" s="14" t="n">
        <v>0.02</v>
      </c>
      <c r="Z27" s="14" t="n">
        <v>0.02</v>
      </c>
      <c r="AA27" s="14" t="n">
        <v>0.05</v>
      </c>
      <c r="AB27" s="14" t="n">
        <v>0.01</v>
      </c>
      <c r="AC27" s="14" t="n">
        <v>0.03</v>
      </c>
      <c r="AD27" s="14" t="n">
        <v>0.04</v>
      </c>
      <c r="AE27" s="14" t="n">
        <v>0.01</v>
      </c>
      <c r="AF27" s="14" t="n">
        <v>0.01</v>
      </c>
    </row>
    <row r="28">
      <c r="A28" s="20" t="n"/>
      <c r="B28" s="11" t="inlineStr">
        <is>
          <t>Industriel, propriétaire (en tout ou en partie) d’une entreprise</t>
        </is>
      </c>
      <c r="C28" s="12" t="n">
        <v>397</v>
      </c>
      <c r="D28" s="12" t="n">
        <v>8</v>
      </c>
      <c r="E28" s="12" t="n">
        <v>25</v>
      </c>
      <c r="F28" s="12" t="n">
        <v>41</v>
      </c>
      <c r="G28" s="12" t="n">
        <v>15</v>
      </c>
      <c r="H28" s="12" t="n">
        <v>36</v>
      </c>
      <c r="I28" s="12" t="n">
        <v>41</v>
      </c>
      <c r="J28" s="12" t="n">
        <v>5</v>
      </c>
      <c r="K28" s="12" t="n">
        <v>58</v>
      </c>
      <c r="L28" s="12" t="n">
        <v>15</v>
      </c>
      <c r="M28" s="12" t="n">
        <v>16</v>
      </c>
      <c r="N28" s="12" t="n">
        <v>16</v>
      </c>
      <c r="O28" s="12" t="n">
        <v>1</v>
      </c>
      <c r="P28" s="12" t="n">
        <v>15</v>
      </c>
      <c r="Q28" s="12" t="n">
        <v>5</v>
      </c>
      <c r="R28" s="12" t="n">
        <v>10</v>
      </c>
      <c r="S28" s="12" t="n">
        <v>14</v>
      </c>
      <c r="T28" s="12" t="n">
        <v>6</v>
      </c>
      <c r="U28" s="12" t="n">
        <v>3</v>
      </c>
      <c r="V28" s="12" t="n">
        <v>30</v>
      </c>
      <c r="W28" s="12" t="n">
        <v>15</v>
      </c>
      <c r="X28" s="12" t="n">
        <v>35</v>
      </c>
      <c r="Y28" s="12" t="n">
        <v>15</v>
      </c>
      <c r="Z28" s="12" t="n">
        <v>6</v>
      </c>
      <c r="AA28" s="12" t="n">
        <v>23</v>
      </c>
      <c r="AB28" s="12" t="n">
        <v>8</v>
      </c>
      <c r="AC28" s="12" t="n">
        <v>20</v>
      </c>
      <c r="AD28" s="12" t="n">
        <v>20</v>
      </c>
      <c r="AE28" s="12" t="n">
        <v>39</v>
      </c>
      <c r="AF28" s="12" t="n">
        <v>15</v>
      </c>
    </row>
    <row r="29">
      <c r="A29" s="20" t="n"/>
      <c r="B29" s="13" t="inlineStr">
        <is>
          <t>Business proprietors, owner (full or partner) of a company</t>
        </is>
      </c>
      <c r="C29" s="14" t="n">
        <v>0.02</v>
      </c>
      <c r="D29" s="14" t="n">
        <v>0.01</v>
      </c>
      <c r="E29" s="14" t="n">
        <v>0.03</v>
      </c>
      <c r="F29" s="14" t="n">
        <v>0.04</v>
      </c>
      <c r="G29" s="14" t="n">
        <v>0.02</v>
      </c>
      <c r="H29" s="14" t="n">
        <v>0.03</v>
      </c>
      <c r="I29" s="14" t="n">
        <v>0.03</v>
      </c>
      <c r="J29" s="14" t="n">
        <v>0.02</v>
      </c>
      <c r="K29" s="14" t="n">
        <v>0.06</v>
      </c>
      <c r="L29" s="14" t="n">
        <v>0.01</v>
      </c>
      <c r="M29" s="14" t="n">
        <v>0.02</v>
      </c>
      <c r="N29" s="14" t="n">
        <v>0.02</v>
      </c>
      <c r="O29" s="15" t="inlineStr">
        <is>
          <t>-</t>
        </is>
      </c>
      <c r="P29" s="14" t="n">
        <v>0.01</v>
      </c>
      <c r="Q29" s="15" t="inlineStr">
        <is>
          <t>-</t>
        </is>
      </c>
      <c r="R29" s="14" t="n">
        <v>0.02</v>
      </c>
      <c r="S29" s="14" t="n">
        <v>0.01</v>
      </c>
      <c r="T29" s="14" t="n">
        <v>0.01</v>
      </c>
      <c r="U29" s="14" t="n">
        <v>0.01</v>
      </c>
      <c r="V29" s="14" t="n">
        <v>0.03</v>
      </c>
      <c r="W29" s="14" t="n">
        <v>0.03</v>
      </c>
      <c r="X29" s="14" t="n">
        <v>0.03</v>
      </c>
      <c r="Y29" s="14" t="n">
        <v>0.02</v>
      </c>
      <c r="Z29" s="14" t="n">
        <v>0.01</v>
      </c>
      <c r="AA29" s="14" t="n">
        <v>0.02</v>
      </c>
      <c r="AB29" s="14" t="n">
        <v>0.01</v>
      </c>
      <c r="AC29" s="14" t="n">
        <v>0.02</v>
      </c>
      <c r="AD29" s="14" t="n">
        <v>0.02</v>
      </c>
      <c r="AE29" s="14" t="n">
        <v>0.04</v>
      </c>
      <c r="AF29" s="14" t="n">
        <v>0.01</v>
      </c>
    </row>
    <row r="30">
      <c r="A30" s="20" t="n"/>
      <c r="B30" s="11" t="inlineStr">
        <is>
          <t>Profession libérale salariée (docteur, avocat, comptable, architecte, etc.)</t>
        </is>
      </c>
      <c r="C30" s="12" t="n">
        <v>585</v>
      </c>
      <c r="D30" s="12" t="n">
        <v>6</v>
      </c>
      <c r="E30" s="12" t="n">
        <v>13</v>
      </c>
      <c r="F30" s="12" t="n">
        <v>32</v>
      </c>
      <c r="G30" s="12" t="n">
        <v>13</v>
      </c>
      <c r="H30" s="12" t="n">
        <v>9</v>
      </c>
      <c r="I30" s="12" t="n">
        <v>16</v>
      </c>
      <c r="J30" s="12" t="n">
        <v>8</v>
      </c>
      <c r="K30" s="12" t="n">
        <v>69</v>
      </c>
      <c r="L30" s="12" t="n">
        <v>55</v>
      </c>
      <c r="M30" s="12" t="n">
        <v>20</v>
      </c>
      <c r="N30" s="12" t="n">
        <v>35</v>
      </c>
      <c r="O30" s="12" t="n">
        <v>11</v>
      </c>
      <c r="P30" s="12" t="n">
        <v>27</v>
      </c>
      <c r="Q30" s="12" t="n">
        <v>11</v>
      </c>
      <c r="R30" s="12" t="n">
        <v>10</v>
      </c>
      <c r="S30" s="12" t="n">
        <v>53</v>
      </c>
      <c r="T30" s="12" t="n">
        <v>56</v>
      </c>
      <c r="U30" s="12" t="n">
        <v>6</v>
      </c>
      <c r="V30" s="12" t="n">
        <v>35</v>
      </c>
      <c r="W30" s="12" t="n">
        <v>37</v>
      </c>
      <c r="X30" s="12" t="n">
        <v>12</v>
      </c>
      <c r="Y30" s="12" t="n">
        <v>18</v>
      </c>
      <c r="Z30" s="12" t="n">
        <v>35</v>
      </c>
      <c r="AA30" s="12" t="n">
        <v>27</v>
      </c>
      <c r="AB30" s="12" t="n">
        <v>57</v>
      </c>
      <c r="AC30" s="12" t="n">
        <v>37</v>
      </c>
      <c r="AD30" s="12" t="n">
        <v>24</v>
      </c>
      <c r="AE30" s="12" t="n">
        <v>38</v>
      </c>
      <c r="AF30" s="12" t="n">
        <v>70</v>
      </c>
    </row>
    <row r="31">
      <c r="A31" s="20" t="n"/>
      <c r="B31" s="13" t="inlineStr">
        <is>
          <t>Employed professional (employed doctor, lawyer, accountant, architect)</t>
        </is>
      </c>
      <c r="C31" s="14" t="n">
        <v>0.02</v>
      </c>
      <c r="D31" s="14" t="n">
        <v>0.01</v>
      </c>
      <c r="E31" s="14" t="n">
        <v>0.01</v>
      </c>
      <c r="F31" s="14" t="n">
        <v>0.03</v>
      </c>
      <c r="G31" s="14" t="n">
        <v>0.01</v>
      </c>
      <c r="H31" s="14" t="n">
        <v>0.01</v>
      </c>
      <c r="I31" s="14" t="n">
        <v>0.01</v>
      </c>
      <c r="J31" s="14" t="n">
        <v>0.03</v>
      </c>
      <c r="K31" s="14" t="n">
        <v>0.07000000000000001</v>
      </c>
      <c r="L31" s="14" t="n">
        <v>0.05</v>
      </c>
      <c r="M31" s="14" t="n">
        <v>0.02</v>
      </c>
      <c r="N31" s="14" t="n">
        <v>0.03</v>
      </c>
      <c r="O31" s="14" t="n">
        <v>0.01</v>
      </c>
      <c r="P31" s="14" t="n">
        <v>0.03</v>
      </c>
      <c r="Q31" s="14" t="n">
        <v>0.01</v>
      </c>
      <c r="R31" s="14" t="n">
        <v>0.02</v>
      </c>
      <c r="S31" s="14" t="n">
        <v>0.05</v>
      </c>
      <c r="T31" s="14" t="n">
        <v>0.05</v>
      </c>
      <c r="U31" s="14" t="n">
        <v>0.01</v>
      </c>
      <c r="V31" s="14" t="n">
        <v>0.03</v>
      </c>
      <c r="W31" s="14" t="n">
        <v>0.07000000000000001</v>
      </c>
      <c r="X31" s="14" t="n">
        <v>0.01</v>
      </c>
      <c r="Y31" s="14" t="n">
        <v>0.02</v>
      </c>
      <c r="Z31" s="14" t="n">
        <v>0.03</v>
      </c>
      <c r="AA31" s="14" t="n">
        <v>0.03</v>
      </c>
      <c r="AB31" s="14" t="n">
        <v>0.06</v>
      </c>
      <c r="AC31" s="14" t="n">
        <v>0.04</v>
      </c>
      <c r="AD31" s="14" t="n">
        <v>0.02</v>
      </c>
      <c r="AE31" s="14" t="n">
        <v>0.04</v>
      </c>
      <c r="AF31" s="14" t="n">
        <v>0.07000000000000001</v>
      </c>
    </row>
    <row r="32">
      <c r="A32" s="20" t="n"/>
      <c r="B32" s="11" t="inlineStr">
        <is>
          <t>Directeur, cadre dirigeant ou cadre supérieur salarié (directeur général, directeur exécutif, etc.)</t>
        </is>
      </c>
      <c r="C32" s="12" t="n">
        <v>392</v>
      </c>
      <c r="D32" s="12" t="n">
        <v>13</v>
      </c>
      <c r="E32" s="12" t="n">
        <v>12</v>
      </c>
      <c r="F32" s="12" t="n">
        <v>7</v>
      </c>
      <c r="G32" s="12" t="n">
        <v>20</v>
      </c>
      <c r="H32" s="12" t="n">
        <v>26</v>
      </c>
      <c r="I32" s="12" t="n">
        <v>27</v>
      </c>
      <c r="J32" s="12" t="n">
        <v>1</v>
      </c>
      <c r="K32" s="12" t="n">
        <v>7</v>
      </c>
      <c r="L32" s="12" t="n">
        <v>42</v>
      </c>
      <c r="M32" s="12" t="n">
        <v>5</v>
      </c>
      <c r="N32" s="12" t="n">
        <v>4</v>
      </c>
      <c r="O32" s="12" t="n">
        <v>13</v>
      </c>
      <c r="P32" s="12" t="n">
        <v>13</v>
      </c>
      <c r="Q32" s="12" t="n">
        <v>40</v>
      </c>
      <c r="R32" s="12" t="n">
        <v>15</v>
      </c>
      <c r="S32" s="12" t="n">
        <v>12</v>
      </c>
      <c r="T32" s="12" t="n">
        <v>15</v>
      </c>
      <c r="U32" s="12" t="n">
        <v>11</v>
      </c>
      <c r="V32" s="12" t="n">
        <v>6</v>
      </c>
      <c r="W32" s="12" t="n">
        <v>25</v>
      </c>
      <c r="X32" s="12" t="n">
        <v>13</v>
      </c>
      <c r="Y32" s="12" t="n">
        <v>24</v>
      </c>
      <c r="Z32" s="12" t="n">
        <v>2</v>
      </c>
      <c r="AA32" s="12" t="n">
        <v>6</v>
      </c>
      <c r="AB32" s="12" t="n">
        <v>1</v>
      </c>
      <c r="AC32" s="12" t="n">
        <v>15</v>
      </c>
      <c r="AD32" s="12" t="n">
        <v>7</v>
      </c>
      <c r="AE32" s="12" t="n">
        <v>14</v>
      </c>
      <c r="AF32" s="12" t="n">
        <v>7</v>
      </c>
    </row>
    <row r="33">
      <c r="A33" s="20" t="n"/>
      <c r="B33" s="13" t="inlineStr">
        <is>
          <t>Employed position, general management, director or top management (managing directors, director general, other director)</t>
        </is>
      </c>
      <c r="C33" s="14" t="n">
        <v>0.01</v>
      </c>
      <c r="D33" s="14" t="n">
        <v>0.01</v>
      </c>
      <c r="E33" s="14" t="n">
        <v>0.01</v>
      </c>
      <c r="F33" s="14" t="n">
        <v>0.01</v>
      </c>
      <c r="G33" s="14" t="n">
        <v>0.02</v>
      </c>
      <c r="H33" s="14" t="n">
        <v>0.02</v>
      </c>
      <c r="I33" s="14" t="n">
        <v>0.02</v>
      </c>
      <c r="J33" s="15" t="inlineStr">
        <is>
          <t>-</t>
        </is>
      </c>
      <c r="K33" s="14" t="n">
        <v>0.01</v>
      </c>
      <c r="L33" s="14" t="n">
        <v>0.04</v>
      </c>
      <c r="M33" s="15" t="inlineStr">
        <is>
          <t>-</t>
        </is>
      </c>
      <c r="N33" s="15" t="inlineStr">
        <is>
          <t>-</t>
        </is>
      </c>
      <c r="O33" s="14" t="n">
        <v>0.01</v>
      </c>
      <c r="P33" s="14" t="n">
        <v>0.01</v>
      </c>
      <c r="Q33" s="14" t="n">
        <v>0.04</v>
      </c>
      <c r="R33" s="14" t="n">
        <v>0.03</v>
      </c>
      <c r="S33" s="14" t="n">
        <v>0.01</v>
      </c>
      <c r="T33" s="14" t="n">
        <v>0.01</v>
      </c>
      <c r="U33" s="14" t="n">
        <v>0.02</v>
      </c>
      <c r="V33" s="14" t="n">
        <v>0.01</v>
      </c>
      <c r="W33" s="14" t="n">
        <v>0.05</v>
      </c>
      <c r="X33" s="14" t="n">
        <v>0.01</v>
      </c>
      <c r="Y33" s="14" t="n">
        <v>0.02</v>
      </c>
      <c r="Z33" s="15" t="inlineStr">
        <is>
          <t>-</t>
        </is>
      </c>
      <c r="AA33" s="15" t="inlineStr">
        <is>
          <t>-</t>
        </is>
      </c>
      <c r="AB33" s="15" t="inlineStr">
        <is>
          <t>-</t>
        </is>
      </c>
      <c r="AC33" s="14" t="n">
        <v>0.01</v>
      </c>
      <c r="AD33" s="14" t="n">
        <v>0.01</v>
      </c>
      <c r="AE33" s="14" t="n">
        <v>0.01</v>
      </c>
      <c r="AF33" s="14" t="n">
        <v>0.01</v>
      </c>
    </row>
    <row r="34">
      <c r="A34" s="20" t="n"/>
      <c r="B34" s="11" t="inlineStr">
        <is>
          <t>Cadre moyen salarié (chef de service, cadre junior, enseignant, technicien)</t>
        </is>
      </c>
      <c r="C34" s="12" t="n">
        <v>2218</v>
      </c>
      <c r="D34" s="12" t="n">
        <v>62</v>
      </c>
      <c r="E34" s="12" t="n">
        <v>48</v>
      </c>
      <c r="F34" s="12" t="n">
        <v>56</v>
      </c>
      <c r="G34" s="12" t="n">
        <v>117</v>
      </c>
      <c r="H34" s="12" t="n">
        <v>164</v>
      </c>
      <c r="I34" s="12" t="n">
        <v>186</v>
      </c>
      <c r="J34" s="12" t="n">
        <v>23</v>
      </c>
      <c r="K34" s="12" t="n">
        <v>74</v>
      </c>
      <c r="L34" s="12" t="n">
        <v>92</v>
      </c>
      <c r="M34" s="12" t="n">
        <v>38</v>
      </c>
      <c r="N34" s="12" t="n">
        <v>45</v>
      </c>
      <c r="O34" s="12" t="n">
        <v>109</v>
      </c>
      <c r="P34" s="12" t="n">
        <v>46</v>
      </c>
      <c r="Q34" s="12" t="n">
        <v>71</v>
      </c>
      <c r="R34" s="12" t="n">
        <v>44</v>
      </c>
      <c r="S34" s="12" t="n">
        <v>96</v>
      </c>
      <c r="T34" s="12" t="n">
        <v>53</v>
      </c>
      <c r="U34" s="12" t="n">
        <v>61</v>
      </c>
      <c r="V34" s="12" t="n">
        <v>41</v>
      </c>
      <c r="W34" s="12" t="n">
        <v>63</v>
      </c>
      <c r="X34" s="12" t="n">
        <v>141</v>
      </c>
      <c r="Y34" s="12" t="n">
        <v>104</v>
      </c>
      <c r="Z34" s="12" t="n">
        <v>67</v>
      </c>
      <c r="AA34" s="12" t="n">
        <v>83</v>
      </c>
      <c r="AB34" s="12" t="n">
        <v>14</v>
      </c>
      <c r="AC34" s="12" t="n">
        <v>85</v>
      </c>
      <c r="AD34" s="12" t="n">
        <v>89</v>
      </c>
      <c r="AE34" s="12" t="n">
        <v>122</v>
      </c>
      <c r="AF34" s="12" t="n">
        <v>117</v>
      </c>
    </row>
    <row r="35">
      <c r="A35" s="20" t="n"/>
      <c r="B35" s="13" t="inlineStr">
        <is>
          <t>Employed position, middle management, other management (department head, junior manager, teacher, technician)</t>
        </is>
      </c>
      <c r="C35" s="14" t="n">
        <v>0.08</v>
      </c>
      <c r="D35" s="14" t="n">
        <v>0.06</v>
      </c>
      <c r="E35" s="14" t="n">
        <v>0.05</v>
      </c>
      <c r="F35" s="14" t="n">
        <v>0.05</v>
      </c>
      <c r="G35" s="14" t="n">
        <v>0.12</v>
      </c>
      <c r="H35" s="14" t="n">
        <v>0.13</v>
      </c>
      <c r="I35" s="14" t="n">
        <v>0.12</v>
      </c>
      <c r="J35" s="14" t="n">
        <v>0.08</v>
      </c>
      <c r="K35" s="14" t="n">
        <v>0.07000000000000001</v>
      </c>
      <c r="L35" s="14" t="n">
        <v>0.09</v>
      </c>
      <c r="M35" s="14" t="n">
        <v>0.04</v>
      </c>
      <c r="N35" s="14" t="n">
        <v>0.04</v>
      </c>
      <c r="O35" s="14" t="n">
        <v>0.11</v>
      </c>
      <c r="P35" s="14" t="n">
        <v>0.05</v>
      </c>
      <c r="Q35" s="14" t="n">
        <v>0.07000000000000001</v>
      </c>
      <c r="R35" s="14" t="n">
        <v>0.09</v>
      </c>
      <c r="S35" s="14" t="n">
        <v>0.1</v>
      </c>
      <c r="T35" s="14" t="n">
        <v>0.05</v>
      </c>
      <c r="U35" s="14" t="n">
        <v>0.12</v>
      </c>
      <c r="V35" s="14" t="n">
        <v>0.04</v>
      </c>
      <c r="W35" s="14" t="n">
        <v>0.13</v>
      </c>
      <c r="X35" s="14" t="n">
        <v>0.14</v>
      </c>
      <c r="Y35" s="14" t="n">
        <v>0.1</v>
      </c>
      <c r="Z35" s="14" t="n">
        <v>0.07000000000000001</v>
      </c>
      <c r="AA35" s="14" t="n">
        <v>0.08</v>
      </c>
      <c r="AB35" s="14" t="n">
        <v>0.01</v>
      </c>
      <c r="AC35" s="14" t="n">
        <v>0.09</v>
      </c>
      <c r="AD35" s="14" t="n">
        <v>0.09</v>
      </c>
      <c r="AE35" s="14" t="n">
        <v>0.12</v>
      </c>
      <c r="AF35" s="14" t="n">
        <v>0.11</v>
      </c>
    </row>
    <row r="36">
      <c r="A36" s="20" t="n"/>
      <c r="B36" s="11" t="inlineStr">
        <is>
          <t>Employé travaillant la plupart du temps dans un bureau</t>
        </is>
      </c>
      <c r="C36" s="12" t="n">
        <v>2730</v>
      </c>
      <c r="D36" s="12" t="n">
        <v>139</v>
      </c>
      <c r="E36" s="12" t="n">
        <v>110</v>
      </c>
      <c r="F36" s="12" t="n">
        <v>205</v>
      </c>
      <c r="G36" s="12" t="n">
        <v>166</v>
      </c>
      <c r="H36" s="12" t="n">
        <v>129</v>
      </c>
      <c r="I36" s="12" t="n">
        <v>143</v>
      </c>
      <c r="J36" s="12" t="n">
        <v>14</v>
      </c>
      <c r="K36" s="12" t="n">
        <v>74</v>
      </c>
      <c r="L36" s="12" t="n">
        <v>101</v>
      </c>
      <c r="M36" s="12" t="n">
        <v>109</v>
      </c>
      <c r="N36" s="12" t="n">
        <v>78</v>
      </c>
      <c r="O36" s="12" t="n">
        <v>75</v>
      </c>
      <c r="P36" s="12" t="n">
        <v>111</v>
      </c>
      <c r="Q36" s="12" t="n">
        <v>129</v>
      </c>
      <c r="R36" s="12" t="n">
        <v>84</v>
      </c>
      <c r="S36" s="12" t="n">
        <v>72</v>
      </c>
      <c r="T36" s="12" t="n">
        <v>56</v>
      </c>
      <c r="U36" s="12" t="n">
        <v>66</v>
      </c>
      <c r="V36" s="12" t="n">
        <v>177</v>
      </c>
      <c r="W36" s="12" t="n">
        <v>69</v>
      </c>
      <c r="X36" s="12" t="n">
        <v>169</v>
      </c>
      <c r="Y36" s="12" t="n">
        <v>104</v>
      </c>
      <c r="Z36" s="12" t="n">
        <v>100</v>
      </c>
      <c r="AA36" s="12" t="n">
        <v>61</v>
      </c>
      <c r="AB36" s="12" t="n">
        <v>104</v>
      </c>
      <c r="AC36" s="12" t="n">
        <v>90</v>
      </c>
      <c r="AD36" s="12" t="n">
        <v>84</v>
      </c>
      <c r="AE36" s="12" t="n">
        <v>62</v>
      </c>
      <c r="AF36" s="12" t="n">
        <v>134</v>
      </c>
    </row>
    <row r="37">
      <c r="A37" s="20" t="n"/>
      <c r="B37" s="13" t="inlineStr">
        <is>
          <t>Employed position, working mainly at a desk</t>
        </is>
      </c>
      <c r="C37" s="14" t="n">
        <v>0.1</v>
      </c>
      <c r="D37" s="14" t="n">
        <v>0.14</v>
      </c>
      <c r="E37" s="14" t="n">
        <v>0.11</v>
      </c>
      <c r="F37" s="14" t="n">
        <v>0.2</v>
      </c>
      <c r="G37" s="14" t="n">
        <v>0.16</v>
      </c>
      <c r="H37" s="14" t="n">
        <v>0.11</v>
      </c>
      <c r="I37" s="14" t="n">
        <v>0.1</v>
      </c>
      <c r="J37" s="14" t="n">
        <v>0.05</v>
      </c>
      <c r="K37" s="14" t="n">
        <v>0.07000000000000001</v>
      </c>
      <c r="L37" s="14" t="n">
        <v>0.1</v>
      </c>
      <c r="M37" s="14" t="n">
        <v>0.11</v>
      </c>
      <c r="N37" s="14" t="n">
        <v>0.08</v>
      </c>
      <c r="O37" s="14" t="n">
        <v>0.07000000000000001</v>
      </c>
      <c r="P37" s="14" t="n">
        <v>0.11</v>
      </c>
      <c r="Q37" s="14" t="n">
        <v>0.13</v>
      </c>
      <c r="R37" s="14" t="n">
        <v>0.17</v>
      </c>
      <c r="S37" s="14" t="n">
        <v>0.07000000000000001</v>
      </c>
      <c r="T37" s="14" t="n">
        <v>0.05</v>
      </c>
      <c r="U37" s="14" t="n">
        <v>0.13</v>
      </c>
      <c r="V37" s="14" t="n">
        <v>0.17</v>
      </c>
      <c r="W37" s="14" t="n">
        <v>0.14</v>
      </c>
      <c r="X37" s="14" t="n">
        <v>0.17</v>
      </c>
      <c r="Y37" s="14" t="n">
        <v>0.1</v>
      </c>
      <c r="Z37" s="14" t="n">
        <v>0.1</v>
      </c>
      <c r="AA37" s="14" t="n">
        <v>0.06</v>
      </c>
      <c r="AB37" s="14" t="n">
        <v>0.1</v>
      </c>
      <c r="AC37" s="14" t="n">
        <v>0.09</v>
      </c>
      <c r="AD37" s="14" t="n">
        <v>0.08</v>
      </c>
      <c r="AE37" s="14" t="n">
        <v>0.06</v>
      </c>
      <c r="AF37" s="14" t="n">
        <v>0.13</v>
      </c>
    </row>
    <row r="38">
      <c r="A38" s="20" t="n"/>
      <c r="B38" s="11" t="inlineStr">
        <is>
          <t>Employé ne travaillant pas dans un bureau, mais voyageant (vendeur, chauffeur, représentant, etc.)</t>
        </is>
      </c>
      <c r="C38" s="12" t="n">
        <v>1054</v>
      </c>
      <c r="D38" s="12" t="n">
        <v>34</v>
      </c>
      <c r="E38" s="12" t="n">
        <v>58</v>
      </c>
      <c r="F38" s="12" t="n">
        <v>41</v>
      </c>
      <c r="G38" s="12" t="n">
        <v>21</v>
      </c>
      <c r="H38" s="12" t="n">
        <v>17</v>
      </c>
      <c r="I38" s="12" t="n">
        <v>24</v>
      </c>
      <c r="J38" s="12" t="n">
        <v>8</v>
      </c>
      <c r="K38" s="12" t="n">
        <v>56</v>
      </c>
      <c r="L38" s="12" t="n">
        <v>33</v>
      </c>
      <c r="M38" s="12" t="n">
        <v>68</v>
      </c>
      <c r="N38" s="12" t="n">
        <v>45</v>
      </c>
      <c r="O38" s="12" t="n">
        <v>47</v>
      </c>
      <c r="P38" s="12" t="n">
        <v>46</v>
      </c>
      <c r="Q38" s="12" t="n">
        <v>23</v>
      </c>
      <c r="R38" s="12" t="n">
        <v>34</v>
      </c>
      <c r="S38" s="12" t="n">
        <v>39</v>
      </c>
      <c r="T38" s="12" t="n">
        <v>54</v>
      </c>
      <c r="U38" s="12" t="n">
        <v>15</v>
      </c>
      <c r="V38" s="12" t="n">
        <v>83</v>
      </c>
      <c r="W38" s="12" t="n">
        <v>29</v>
      </c>
      <c r="X38" s="12" t="n">
        <v>24</v>
      </c>
      <c r="Y38" s="12" t="n">
        <v>26</v>
      </c>
      <c r="Z38" s="12" t="n">
        <v>101</v>
      </c>
      <c r="AA38" s="12" t="n">
        <v>42</v>
      </c>
      <c r="AB38" s="12" t="n">
        <v>39</v>
      </c>
      <c r="AC38" s="12" t="n">
        <v>43</v>
      </c>
      <c r="AD38" s="12" t="n">
        <v>59</v>
      </c>
      <c r="AE38" s="12" t="n">
        <v>21</v>
      </c>
      <c r="AF38" s="12" t="n">
        <v>46</v>
      </c>
    </row>
    <row r="39">
      <c r="A39" s="20" t="n"/>
      <c r="B39" s="13" t="inlineStr">
        <is>
          <t>Employed position, not at a desk but travelling (salesmen, driver, etc.)</t>
        </is>
      </c>
      <c r="C39" s="14" t="n">
        <v>0.04</v>
      </c>
      <c r="D39" s="14" t="n">
        <v>0.03</v>
      </c>
      <c r="E39" s="14" t="n">
        <v>0.06</v>
      </c>
      <c r="F39" s="14" t="n">
        <v>0.04</v>
      </c>
      <c r="G39" s="14" t="n">
        <v>0.02</v>
      </c>
      <c r="H39" s="14" t="n">
        <v>0.01</v>
      </c>
      <c r="I39" s="14" t="n">
        <v>0.02</v>
      </c>
      <c r="J39" s="14" t="n">
        <v>0.03</v>
      </c>
      <c r="K39" s="14" t="n">
        <v>0.05</v>
      </c>
      <c r="L39" s="14" t="n">
        <v>0.03</v>
      </c>
      <c r="M39" s="14" t="n">
        <v>0.07000000000000001</v>
      </c>
      <c r="N39" s="14" t="n">
        <v>0.04</v>
      </c>
      <c r="O39" s="14" t="n">
        <v>0.05</v>
      </c>
      <c r="P39" s="14" t="n">
        <v>0.05</v>
      </c>
      <c r="Q39" s="14" t="n">
        <v>0.02</v>
      </c>
      <c r="R39" s="14" t="n">
        <v>0.07000000000000001</v>
      </c>
      <c r="S39" s="14" t="n">
        <v>0.04</v>
      </c>
      <c r="T39" s="14" t="n">
        <v>0.05</v>
      </c>
      <c r="U39" s="14" t="n">
        <v>0.03</v>
      </c>
      <c r="V39" s="14" t="n">
        <v>0.08</v>
      </c>
      <c r="W39" s="14" t="n">
        <v>0.06</v>
      </c>
      <c r="X39" s="14" t="n">
        <v>0.02</v>
      </c>
      <c r="Y39" s="14" t="n">
        <v>0.03</v>
      </c>
      <c r="Z39" s="14" t="n">
        <v>0.1</v>
      </c>
      <c r="AA39" s="14" t="n">
        <v>0.04</v>
      </c>
      <c r="AB39" s="14" t="n">
        <v>0.04</v>
      </c>
      <c r="AC39" s="14" t="n">
        <v>0.04</v>
      </c>
      <c r="AD39" s="14" t="n">
        <v>0.06</v>
      </c>
      <c r="AE39" s="14" t="n">
        <v>0.02</v>
      </c>
      <c r="AF39" s="14" t="n">
        <v>0.04</v>
      </c>
    </row>
    <row r="40">
      <c r="A40" s="20" t="n"/>
      <c r="B40" s="11" t="inlineStr">
        <is>
          <t>Employé ne travaillant pas dans un bureau, mais occupant un emploi dans les services (hôpital, restaurant, police, pompier, etc.)</t>
        </is>
      </c>
      <c r="C40" s="12" t="n">
        <v>1779</v>
      </c>
      <c r="D40" s="12" t="n">
        <v>85</v>
      </c>
      <c r="E40" s="12" t="n">
        <v>81</v>
      </c>
      <c r="F40" s="12" t="n">
        <v>57</v>
      </c>
      <c r="G40" s="12" t="n">
        <v>95</v>
      </c>
      <c r="H40" s="12" t="n">
        <v>59</v>
      </c>
      <c r="I40" s="12" t="n">
        <v>84</v>
      </c>
      <c r="J40" s="12" t="n">
        <v>26</v>
      </c>
      <c r="K40" s="12" t="n">
        <v>78</v>
      </c>
      <c r="L40" s="12" t="n">
        <v>70</v>
      </c>
      <c r="M40" s="12" t="n">
        <v>63</v>
      </c>
      <c r="N40" s="12" t="n">
        <v>68</v>
      </c>
      <c r="O40" s="12" t="n">
        <v>86</v>
      </c>
      <c r="P40" s="12" t="n">
        <v>86</v>
      </c>
      <c r="Q40" s="12" t="n">
        <v>49</v>
      </c>
      <c r="R40" s="12" t="n">
        <v>46</v>
      </c>
      <c r="S40" s="12" t="n">
        <v>84</v>
      </c>
      <c r="T40" s="12" t="n">
        <v>91</v>
      </c>
      <c r="U40" s="12" t="n">
        <v>60</v>
      </c>
      <c r="V40" s="12" t="n">
        <v>34</v>
      </c>
      <c r="W40" s="12" t="n">
        <v>28</v>
      </c>
      <c r="X40" s="12" t="n">
        <v>69</v>
      </c>
      <c r="Y40" s="12" t="n">
        <v>82</v>
      </c>
      <c r="Z40" s="12" t="n">
        <v>60</v>
      </c>
      <c r="AA40" s="12" t="n">
        <v>89</v>
      </c>
      <c r="AB40" s="12" t="n">
        <v>88</v>
      </c>
      <c r="AC40" s="12" t="n">
        <v>68</v>
      </c>
      <c r="AD40" s="12" t="n">
        <v>95</v>
      </c>
      <c r="AE40" s="12" t="n">
        <v>126</v>
      </c>
      <c r="AF40" s="12" t="n">
        <v>72</v>
      </c>
    </row>
    <row r="41">
      <c r="A41" s="20" t="n"/>
      <c r="B41" s="13" t="inlineStr">
        <is>
          <t>Employed position, not at a desk, but in a service job (hospital, restaurant, police, fireman, etc.)</t>
        </is>
      </c>
      <c r="C41" s="14" t="n">
        <v>0.07000000000000001</v>
      </c>
      <c r="D41" s="14" t="n">
        <v>0.08</v>
      </c>
      <c r="E41" s="14" t="n">
        <v>0.08</v>
      </c>
      <c r="F41" s="14" t="n">
        <v>0.05</v>
      </c>
      <c r="G41" s="14" t="n">
        <v>0.09</v>
      </c>
      <c r="H41" s="14" t="n">
        <v>0.05</v>
      </c>
      <c r="I41" s="14" t="n">
        <v>0.06</v>
      </c>
      <c r="J41" s="14" t="n">
        <v>0.09</v>
      </c>
      <c r="K41" s="14" t="n">
        <v>0.08</v>
      </c>
      <c r="L41" s="14" t="n">
        <v>0.07000000000000001</v>
      </c>
      <c r="M41" s="14" t="n">
        <v>0.06</v>
      </c>
      <c r="N41" s="14" t="n">
        <v>0.07000000000000001</v>
      </c>
      <c r="O41" s="14" t="n">
        <v>0.08</v>
      </c>
      <c r="P41" s="14" t="n">
        <v>0.08</v>
      </c>
      <c r="Q41" s="14" t="n">
        <v>0.05</v>
      </c>
      <c r="R41" s="14" t="n">
        <v>0.09</v>
      </c>
      <c r="S41" s="14" t="n">
        <v>0.08</v>
      </c>
      <c r="T41" s="14" t="n">
        <v>0.09</v>
      </c>
      <c r="U41" s="14" t="n">
        <v>0.12</v>
      </c>
      <c r="V41" s="14" t="n">
        <v>0.03</v>
      </c>
      <c r="W41" s="14" t="n">
        <v>0.06</v>
      </c>
      <c r="X41" s="14" t="n">
        <v>0.07000000000000001</v>
      </c>
      <c r="Y41" s="14" t="n">
        <v>0.08</v>
      </c>
      <c r="Z41" s="14" t="n">
        <v>0.06</v>
      </c>
      <c r="AA41" s="14" t="n">
        <v>0.09</v>
      </c>
      <c r="AB41" s="14" t="n">
        <v>0.08</v>
      </c>
      <c r="AC41" s="14" t="n">
        <v>0.07000000000000001</v>
      </c>
      <c r="AD41" s="14" t="n">
        <v>0.09</v>
      </c>
      <c r="AE41" s="14" t="n">
        <v>0.13</v>
      </c>
      <c r="AF41" s="14" t="n">
        <v>0.07000000000000001</v>
      </c>
    </row>
    <row r="42">
      <c r="A42" s="20" t="n"/>
      <c r="B42" s="11" t="inlineStr">
        <is>
          <t>Contremaître, agent de maîtrise salarié</t>
        </is>
      </c>
      <c r="C42" s="12" t="n">
        <v>416</v>
      </c>
      <c r="D42" s="12" t="n">
        <v>9</v>
      </c>
      <c r="E42" s="12" t="n">
        <v>22</v>
      </c>
      <c r="F42" s="12" t="n">
        <v>24</v>
      </c>
      <c r="G42" s="12" t="n">
        <v>6</v>
      </c>
      <c r="H42" s="12" t="n">
        <v>26</v>
      </c>
      <c r="I42" s="12" t="n">
        <v>33</v>
      </c>
      <c r="J42" s="12" t="n">
        <v>7</v>
      </c>
      <c r="K42" s="12" t="n">
        <v>19</v>
      </c>
      <c r="L42" s="12" t="n">
        <v>16</v>
      </c>
      <c r="M42" s="12" t="n">
        <v>5</v>
      </c>
      <c r="N42" s="12" t="n">
        <v>7</v>
      </c>
      <c r="O42" s="12" t="n">
        <v>15</v>
      </c>
      <c r="P42" s="12" t="n">
        <v>40</v>
      </c>
      <c r="Q42" s="12" t="n">
        <v>16</v>
      </c>
      <c r="R42" s="12" t="n">
        <v>10</v>
      </c>
      <c r="S42" s="12" t="n">
        <v>14</v>
      </c>
      <c r="T42" s="12" t="n">
        <v>12</v>
      </c>
      <c r="U42" s="12" t="n">
        <v>3</v>
      </c>
      <c r="V42" s="12" t="n">
        <v>16</v>
      </c>
      <c r="W42" s="12" t="n">
        <v>3</v>
      </c>
      <c r="X42" s="12" t="n">
        <v>16</v>
      </c>
      <c r="Y42" s="12" t="n">
        <v>28</v>
      </c>
      <c r="Z42" s="12" t="n">
        <v>10</v>
      </c>
      <c r="AA42" s="12" t="n">
        <v>10</v>
      </c>
      <c r="AB42" s="12" t="n">
        <v>32</v>
      </c>
      <c r="AC42" s="12" t="n">
        <v>13</v>
      </c>
      <c r="AD42" s="12" t="n">
        <v>15</v>
      </c>
      <c r="AE42" s="12" t="n">
        <v>15</v>
      </c>
      <c r="AF42" s="12" t="n">
        <v>12</v>
      </c>
    </row>
    <row r="43">
      <c r="A43" s="20" t="n"/>
      <c r="B43" s="13" t="inlineStr">
        <is>
          <t>Employed position, supervisor</t>
        </is>
      </c>
      <c r="C43" s="14" t="n">
        <v>0.02</v>
      </c>
      <c r="D43" s="14" t="n">
        <v>0.01</v>
      </c>
      <c r="E43" s="14" t="n">
        <v>0.02</v>
      </c>
      <c r="F43" s="14" t="n">
        <v>0.02</v>
      </c>
      <c r="G43" s="14" t="n">
        <v>0.01</v>
      </c>
      <c r="H43" s="14" t="n">
        <v>0.02</v>
      </c>
      <c r="I43" s="14" t="n">
        <v>0.02</v>
      </c>
      <c r="J43" s="14" t="n">
        <v>0.02</v>
      </c>
      <c r="K43" s="14" t="n">
        <v>0.02</v>
      </c>
      <c r="L43" s="14" t="n">
        <v>0.02</v>
      </c>
      <c r="M43" s="15" t="inlineStr">
        <is>
          <t>-</t>
        </is>
      </c>
      <c r="N43" s="14" t="n">
        <v>0.01</v>
      </c>
      <c r="O43" s="14" t="n">
        <v>0.02</v>
      </c>
      <c r="P43" s="14" t="n">
        <v>0.04</v>
      </c>
      <c r="Q43" s="14" t="n">
        <v>0.02</v>
      </c>
      <c r="R43" s="14" t="n">
        <v>0.02</v>
      </c>
      <c r="S43" s="14" t="n">
        <v>0.01</v>
      </c>
      <c r="T43" s="14" t="n">
        <v>0.01</v>
      </c>
      <c r="U43" s="14" t="n">
        <v>0.01</v>
      </c>
      <c r="V43" s="14" t="n">
        <v>0.02</v>
      </c>
      <c r="W43" s="14" t="n">
        <v>0.01</v>
      </c>
      <c r="X43" s="14" t="n">
        <v>0.02</v>
      </c>
      <c r="Y43" s="14" t="n">
        <v>0.03</v>
      </c>
      <c r="Z43" s="14" t="n">
        <v>0.01</v>
      </c>
      <c r="AA43" s="14" t="n">
        <v>0.01</v>
      </c>
      <c r="AB43" s="14" t="n">
        <v>0.03</v>
      </c>
      <c r="AC43" s="14" t="n">
        <v>0.01</v>
      </c>
      <c r="AD43" s="14" t="n">
        <v>0.02</v>
      </c>
      <c r="AE43" s="14" t="n">
        <v>0.02</v>
      </c>
      <c r="AF43" s="14" t="n">
        <v>0.01</v>
      </c>
    </row>
    <row r="44">
      <c r="A44" s="20" t="n"/>
      <c r="B44" s="11" t="inlineStr">
        <is>
          <t>Ouvrier qualifié salarié</t>
        </is>
      </c>
      <c r="C44" s="12" t="n">
        <v>2993</v>
      </c>
      <c r="D44" s="12" t="n">
        <v>51</v>
      </c>
      <c r="E44" s="12" t="n">
        <v>114</v>
      </c>
      <c r="F44" s="12" t="n">
        <v>72</v>
      </c>
      <c r="G44" s="12" t="n">
        <v>72</v>
      </c>
      <c r="H44" s="12" t="n">
        <v>112</v>
      </c>
      <c r="I44" s="12" t="n">
        <v>157</v>
      </c>
      <c r="J44" s="12" t="n">
        <v>45</v>
      </c>
      <c r="K44" s="12" t="n">
        <v>91</v>
      </c>
      <c r="L44" s="12" t="n">
        <v>111</v>
      </c>
      <c r="M44" s="12" t="n">
        <v>67</v>
      </c>
      <c r="N44" s="12" t="n">
        <v>184</v>
      </c>
      <c r="O44" s="12" t="n">
        <v>103</v>
      </c>
      <c r="P44" s="12" t="n">
        <v>116</v>
      </c>
      <c r="Q44" s="12" t="n">
        <v>75</v>
      </c>
      <c r="R44" s="12" t="n">
        <v>27</v>
      </c>
      <c r="S44" s="12" t="n">
        <v>102</v>
      </c>
      <c r="T44" s="12" t="n">
        <v>118</v>
      </c>
      <c r="U44" s="12" t="n">
        <v>31</v>
      </c>
      <c r="V44" s="12" t="n">
        <v>195</v>
      </c>
      <c r="W44" s="12" t="n">
        <v>10</v>
      </c>
      <c r="X44" s="12" t="n">
        <v>41</v>
      </c>
      <c r="Y44" s="12" t="n">
        <v>131</v>
      </c>
      <c r="Z44" s="12" t="n">
        <v>173</v>
      </c>
      <c r="AA44" s="12" t="n">
        <v>141</v>
      </c>
      <c r="AB44" s="12" t="n">
        <v>216</v>
      </c>
      <c r="AC44" s="12" t="n">
        <v>59</v>
      </c>
      <c r="AD44" s="12" t="n">
        <v>100</v>
      </c>
      <c r="AE44" s="12" t="n">
        <v>75</v>
      </c>
      <c r="AF44" s="12" t="n">
        <v>63</v>
      </c>
    </row>
    <row r="45">
      <c r="A45" s="20" t="n"/>
      <c r="B45" s="13" t="inlineStr">
        <is>
          <t>Employed position, skilled manual worker</t>
        </is>
      </c>
      <c r="C45" s="14" t="n">
        <v>0.11</v>
      </c>
      <c r="D45" s="14" t="n">
        <v>0.05</v>
      </c>
      <c r="E45" s="14" t="n">
        <v>0.11</v>
      </c>
      <c r="F45" s="14" t="n">
        <v>0.07000000000000001</v>
      </c>
      <c r="G45" s="14" t="n">
        <v>0.07000000000000001</v>
      </c>
      <c r="H45" s="14" t="n">
        <v>0.09</v>
      </c>
      <c r="I45" s="14" t="n">
        <v>0.1</v>
      </c>
      <c r="J45" s="14" t="n">
        <v>0.15</v>
      </c>
      <c r="K45" s="14" t="n">
        <v>0.09</v>
      </c>
      <c r="L45" s="14" t="n">
        <v>0.11</v>
      </c>
      <c r="M45" s="14" t="n">
        <v>0.07000000000000001</v>
      </c>
      <c r="N45" s="14" t="n">
        <v>0.18</v>
      </c>
      <c r="O45" s="14" t="n">
        <v>0.1</v>
      </c>
      <c r="P45" s="14" t="n">
        <v>0.12</v>
      </c>
      <c r="Q45" s="14" t="n">
        <v>0.07000000000000001</v>
      </c>
      <c r="R45" s="14" t="n">
        <v>0.05</v>
      </c>
      <c r="S45" s="14" t="n">
        <v>0.1</v>
      </c>
      <c r="T45" s="14" t="n">
        <v>0.12</v>
      </c>
      <c r="U45" s="14" t="n">
        <v>0.06</v>
      </c>
      <c r="V45" s="14" t="n">
        <v>0.19</v>
      </c>
      <c r="W45" s="14" t="n">
        <v>0.02</v>
      </c>
      <c r="X45" s="14" t="n">
        <v>0.04</v>
      </c>
      <c r="Y45" s="14" t="n">
        <v>0.13</v>
      </c>
      <c r="Z45" s="14" t="n">
        <v>0.17</v>
      </c>
      <c r="AA45" s="14" t="n">
        <v>0.14</v>
      </c>
      <c r="AB45" s="14" t="n">
        <v>0.21</v>
      </c>
      <c r="AC45" s="14" t="n">
        <v>0.06</v>
      </c>
      <c r="AD45" s="14" t="n">
        <v>0.1</v>
      </c>
      <c r="AE45" s="14" t="n">
        <v>0.07000000000000001</v>
      </c>
      <c r="AF45" s="14" t="n">
        <v>0.06</v>
      </c>
    </row>
    <row r="46">
      <c r="A46" s="20" t="n"/>
      <c r="B46" s="11" t="inlineStr">
        <is>
          <t>Autre ouvrier (non qualifié) salarié, personnel de maison</t>
        </is>
      </c>
      <c r="C46" s="12" t="n">
        <v>734</v>
      </c>
      <c r="D46" s="12" t="n">
        <v>20</v>
      </c>
      <c r="E46" s="12" t="n">
        <v>47</v>
      </c>
      <c r="F46" s="12" t="n">
        <v>19</v>
      </c>
      <c r="G46" s="12" t="n">
        <v>40</v>
      </c>
      <c r="H46" s="12" t="n">
        <v>30</v>
      </c>
      <c r="I46" s="12" t="n">
        <v>50</v>
      </c>
      <c r="J46" s="12" t="n">
        <v>20</v>
      </c>
      <c r="K46" s="12" t="n">
        <v>27</v>
      </c>
      <c r="L46" s="12" t="n">
        <v>35</v>
      </c>
      <c r="M46" s="12" t="n">
        <v>60</v>
      </c>
      <c r="N46" s="12" t="n">
        <v>40</v>
      </c>
      <c r="O46" s="12" t="n">
        <v>7</v>
      </c>
      <c r="P46" s="12" t="n">
        <v>23</v>
      </c>
      <c r="Q46" s="12" t="n">
        <v>50</v>
      </c>
      <c r="R46" s="12" t="n">
        <v>7</v>
      </c>
      <c r="S46" s="12" t="n">
        <v>38</v>
      </c>
      <c r="T46" s="12" t="n">
        <v>20</v>
      </c>
      <c r="U46" s="12" t="n">
        <v>16</v>
      </c>
      <c r="V46" s="12" t="n">
        <v>39</v>
      </c>
      <c r="W46" s="12" t="n">
        <v>9</v>
      </c>
      <c r="X46" s="12" t="n">
        <v>11</v>
      </c>
      <c r="Y46" s="12" t="n">
        <v>22</v>
      </c>
      <c r="Z46" s="12" t="n">
        <v>5</v>
      </c>
      <c r="AA46" s="12" t="n">
        <v>36</v>
      </c>
      <c r="AB46" s="12" t="n">
        <v>24</v>
      </c>
      <c r="AC46" s="12" t="n">
        <v>47</v>
      </c>
      <c r="AD46" s="12" t="n">
        <v>13</v>
      </c>
      <c r="AE46" s="12" t="n">
        <v>11</v>
      </c>
      <c r="AF46" s="12" t="n">
        <v>36</v>
      </c>
    </row>
    <row r="47">
      <c r="A47" s="23" t="n"/>
      <c r="B47" s="13" t="inlineStr">
        <is>
          <t>Other employed (unskilled) manual worker, servant</t>
        </is>
      </c>
      <c r="C47" s="14" t="n">
        <v>0.03</v>
      </c>
      <c r="D47" s="14" t="n">
        <v>0.02</v>
      </c>
      <c r="E47" s="14" t="n">
        <v>0.05</v>
      </c>
      <c r="F47" s="14" t="n">
        <v>0.02</v>
      </c>
      <c r="G47" s="14" t="n">
        <v>0.04</v>
      </c>
      <c r="H47" s="14" t="n">
        <v>0.03</v>
      </c>
      <c r="I47" s="14" t="n">
        <v>0.03</v>
      </c>
      <c r="J47" s="14" t="n">
        <v>0.07000000000000001</v>
      </c>
      <c r="K47" s="14" t="n">
        <v>0.03</v>
      </c>
      <c r="L47" s="14" t="n">
        <v>0.04</v>
      </c>
      <c r="M47" s="14" t="n">
        <v>0.06</v>
      </c>
      <c r="N47" s="14" t="n">
        <v>0.04</v>
      </c>
      <c r="O47" s="14" t="n">
        <v>0.01</v>
      </c>
      <c r="P47" s="14" t="n">
        <v>0.02</v>
      </c>
      <c r="Q47" s="14" t="n">
        <v>0.05</v>
      </c>
      <c r="R47" s="14" t="n">
        <v>0.01</v>
      </c>
      <c r="S47" s="14" t="n">
        <v>0.04</v>
      </c>
      <c r="T47" s="14" t="n">
        <v>0.02</v>
      </c>
      <c r="U47" s="14" t="n">
        <v>0.03</v>
      </c>
      <c r="V47" s="14" t="n">
        <v>0.04</v>
      </c>
      <c r="W47" s="14" t="n">
        <v>0.02</v>
      </c>
      <c r="X47" s="14" t="n">
        <v>0.01</v>
      </c>
      <c r="Y47" s="14" t="n">
        <v>0.02</v>
      </c>
      <c r="Z47" s="15" t="inlineStr">
        <is>
          <t>-</t>
        </is>
      </c>
      <c r="AA47" s="14" t="n">
        <v>0.03</v>
      </c>
      <c r="AB47" s="14" t="n">
        <v>0.02</v>
      </c>
      <c r="AC47" s="14" t="n">
        <v>0.05</v>
      </c>
      <c r="AD47" s="14" t="n">
        <v>0.01</v>
      </c>
      <c r="AE47" s="14" t="n">
        <v>0.01</v>
      </c>
      <c r="AF47" s="14" t="n">
        <v>0.03</v>
      </c>
    </row>
  </sheetData>
  <mergeCells count="9">
    <mergeCell ref="B4:F4"/>
    <mergeCell ref="A10:A47"/>
    <mergeCell ref="H3:L3"/>
    <mergeCell ref="C8:AF8"/>
    <mergeCell ref="B3:F3"/>
    <mergeCell ref="B5:F5"/>
    <mergeCell ref="H5:L5"/>
    <mergeCell ref="B10:B11"/>
    <mergeCell ref="H4:L4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12" customHeight="1" s="18">
      <c r="B3" s="21" t="inlineStr">
        <is>
          <t>D15a2. Catégorie socioprofessionnelle</t>
        </is>
      </c>
      <c r="H3" s="21" t="inlineStr">
        <is>
          <t>D15a2. Socio-professional category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HYPERLINK("#Content!A54","&lt;&lt;Back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Indépendants</t>
        </is>
      </c>
      <c r="C12" s="12" t="n">
        <v>1829</v>
      </c>
      <c r="D12" s="12" t="n">
        <v>74</v>
      </c>
      <c r="E12" s="12" t="n">
        <v>85</v>
      </c>
      <c r="F12" s="12" t="n">
        <v>117</v>
      </c>
      <c r="G12" s="12" t="n">
        <v>47</v>
      </c>
      <c r="H12" s="12" t="n">
        <v>64</v>
      </c>
      <c r="I12" s="12" t="n">
        <v>79</v>
      </c>
      <c r="J12" s="12" t="n">
        <v>15</v>
      </c>
      <c r="K12" s="12" t="n">
        <v>104</v>
      </c>
      <c r="L12" s="12" t="n">
        <v>56</v>
      </c>
      <c r="M12" s="12" t="n">
        <v>134</v>
      </c>
      <c r="N12" s="12" t="n">
        <v>53</v>
      </c>
      <c r="O12" s="12" t="n">
        <v>49</v>
      </c>
      <c r="P12" s="12" t="n">
        <v>83</v>
      </c>
      <c r="Q12" s="12" t="n">
        <v>115</v>
      </c>
      <c r="R12" s="12" t="n">
        <v>50</v>
      </c>
      <c r="S12" s="12" t="n">
        <v>78</v>
      </c>
      <c r="T12" s="12" t="n">
        <v>75</v>
      </c>
      <c r="U12" s="12" t="n">
        <v>31</v>
      </c>
      <c r="V12" s="12" t="n">
        <v>71</v>
      </c>
      <c r="W12" s="12" t="n">
        <v>54</v>
      </c>
      <c r="X12" s="12" t="n">
        <v>78</v>
      </c>
      <c r="Y12" s="12" t="n">
        <v>61</v>
      </c>
      <c r="Z12" s="12" t="n">
        <v>69</v>
      </c>
      <c r="AA12" s="12" t="n">
        <v>108</v>
      </c>
      <c r="AB12" s="12" t="n">
        <v>31</v>
      </c>
      <c r="AC12" s="12" t="n">
        <v>96</v>
      </c>
      <c r="AD12" s="12" t="n">
        <v>100</v>
      </c>
      <c r="AE12" s="12" t="n">
        <v>86</v>
      </c>
      <c r="AF12" s="12" t="n">
        <v>67</v>
      </c>
    </row>
    <row r="13">
      <c r="A13" s="20" t="n"/>
      <c r="B13" s="13" t="inlineStr">
        <is>
          <t>Self-employed</t>
        </is>
      </c>
      <c r="C13" s="14" t="n">
        <v>0.07000000000000001</v>
      </c>
      <c r="D13" s="14" t="n">
        <v>0.07000000000000001</v>
      </c>
      <c r="E13" s="14" t="n">
        <v>0.08</v>
      </c>
      <c r="F13" s="14" t="n">
        <v>0.11</v>
      </c>
      <c r="G13" s="14" t="n">
        <v>0.04</v>
      </c>
      <c r="H13" s="14" t="n">
        <v>0.05</v>
      </c>
      <c r="I13" s="14" t="n">
        <v>0.05</v>
      </c>
      <c r="J13" s="14" t="n">
        <v>0.05</v>
      </c>
      <c r="K13" s="14" t="n">
        <v>0.1</v>
      </c>
      <c r="L13" s="14" t="n">
        <v>0.06</v>
      </c>
      <c r="M13" s="14" t="n">
        <v>0.13</v>
      </c>
      <c r="N13" s="14" t="n">
        <v>0.05</v>
      </c>
      <c r="O13" s="14" t="n">
        <v>0.05</v>
      </c>
      <c r="P13" s="14" t="n">
        <v>0.08</v>
      </c>
      <c r="Q13" s="14" t="n">
        <v>0.11</v>
      </c>
      <c r="R13" s="14" t="n">
        <v>0.1</v>
      </c>
      <c r="S13" s="14" t="n">
        <v>0.08</v>
      </c>
      <c r="T13" s="14" t="n">
        <v>0.07000000000000001</v>
      </c>
      <c r="U13" s="14" t="n">
        <v>0.06</v>
      </c>
      <c r="V13" s="14" t="n">
        <v>0.07000000000000001</v>
      </c>
      <c r="W13" s="14" t="n">
        <v>0.11</v>
      </c>
      <c r="X13" s="14" t="n">
        <v>0.08</v>
      </c>
      <c r="Y13" s="14" t="n">
        <v>0.06</v>
      </c>
      <c r="Z13" s="14" t="n">
        <v>0.07000000000000001</v>
      </c>
      <c r="AA13" s="14" t="n">
        <v>0.11</v>
      </c>
      <c r="AB13" s="14" t="n">
        <v>0.03</v>
      </c>
      <c r="AC13" s="14" t="n">
        <v>0.1</v>
      </c>
      <c r="AD13" s="14" t="n">
        <v>0.1</v>
      </c>
      <c r="AE13" s="14" t="n">
        <v>0.08</v>
      </c>
      <c r="AF13" s="14" t="n">
        <v>0.06</v>
      </c>
    </row>
    <row r="14">
      <c r="A14" s="20" t="n"/>
      <c r="B14" s="11" t="inlineStr">
        <is>
          <t>Salariés</t>
        </is>
      </c>
      <c r="C14" s="12" t="n">
        <v>12900</v>
      </c>
      <c r="D14" s="12" t="n">
        <v>419</v>
      </c>
      <c r="E14" s="12" t="n">
        <v>506</v>
      </c>
      <c r="F14" s="12" t="n">
        <v>512</v>
      </c>
      <c r="G14" s="12" t="n">
        <v>550</v>
      </c>
      <c r="H14" s="12" t="n">
        <v>570</v>
      </c>
      <c r="I14" s="12" t="n">
        <v>721</v>
      </c>
      <c r="J14" s="12" t="n">
        <v>151</v>
      </c>
      <c r="K14" s="12" t="n">
        <v>494</v>
      </c>
      <c r="L14" s="12" t="n">
        <v>555</v>
      </c>
      <c r="M14" s="12" t="n">
        <v>435</v>
      </c>
      <c r="N14" s="12" t="n">
        <v>505</v>
      </c>
      <c r="O14" s="12" t="n">
        <v>466</v>
      </c>
      <c r="P14" s="12" t="n">
        <v>509</v>
      </c>
      <c r="Q14" s="12" t="n">
        <v>464</v>
      </c>
      <c r="R14" s="12" t="n">
        <v>276</v>
      </c>
      <c r="S14" s="12" t="n">
        <v>510</v>
      </c>
      <c r="T14" s="12" t="n">
        <v>476</v>
      </c>
      <c r="U14" s="12" t="n">
        <v>271</v>
      </c>
      <c r="V14" s="12" t="n">
        <v>627</v>
      </c>
      <c r="W14" s="12" t="n">
        <v>274</v>
      </c>
      <c r="X14" s="12" t="n">
        <v>497</v>
      </c>
      <c r="Y14" s="12" t="n">
        <v>538</v>
      </c>
      <c r="Z14" s="12" t="n">
        <v>553</v>
      </c>
      <c r="AA14" s="12" t="n">
        <v>496</v>
      </c>
      <c r="AB14" s="12" t="n">
        <v>575</v>
      </c>
      <c r="AC14" s="12" t="n">
        <v>457</v>
      </c>
      <c r="AD14" s="12" t="n">
        <v>485</v>
      </c>
      <c r="AE14" s="12" t="n">
        <v>483</v>
      </c>
      <c r="AF14" s="12" t="n">
        <v>556</v>
      </c>
    </row>
    <row r="15">
      <c r="A15" s="20" t="n"/>
      <c r="B15" s="13" t="inlineStr">
        <is>
          <t>Employed</t>
        </is>
      </c>
      <c r="C15" s="14" t="n">
        <v>0.49</v>
      </c>
      <c r="D15" s="14" t="n">
        <v>0.41</v>
      </c>
      <c r="E15" s="14" t="n">
        <v>0.5</v>
      </c>
      <c r="F15" s="14" t="n">
        <v>0.49</v>
      </c>
      <c r="G15" s="14" t="n">
        <v>0.55</v>
      </c>
      <c r="H15" s="14" t="n">
        <v>0.47</v>
      </c>
      <c r="I15" s="14" t="n">
        <v>0.48</v>
      </c>
      <c r="J15" s="14" t="n">
        <v>0.52</v>
      </c>
      <c r="K15" s="14" t="n">
        <v>0.49</v>
      </c>
      <c r="L15" s="14" t="n">
        <v>0.55</v>
      </c>
      <c r="M15" s="14" t="n">
        <v>0.43</v>
      </c>
      <c r="N15" s="14" t="n">
        <v>0.5</v>
      </c>
      <c r="O15" s="14" t="n">
        <v>0.46</v>
      </c>
      <c r="P15" s="14" t="n">
        <v>0.51</v>
      </c>
      <c r="Q15" s="14" t="n">
        <v>0.45</v>
      </c>
      <c r="R15" s="14" t="n">
        <v>0.55</v>
      </c>
      <c r="S15" s="14" t="n">
        <v>0.51</v>
      </c>
      <c r="T15" s="14" t="n">
        <v>0.47</v>
      </c>
      <c r="U15" s="14" t="n">
        <v>0.53</v>
      </c>
      <c r="V15" s="14" t="n">
        <v>0.61</v>
      </c>
      <c r="W15" s="14" t="n">
        <v>0.54</v>
      </c>
      <c r="X15" s="14" t="n">
        <v>0.48</v>
      </c>
      <c r="Y15" s="14" t="n">
        <v>0.54</v>
      </c>
      <c r="Z15" s="14" t="n">
        <v>0.54</v>
      </c>
      <c r="AA15" s="14" t="n">
        <v>0.48</v>
      </c>
      <c r="AB15" s="14" t="n">
        <v>0.55</v>
      </c>
      <c r="AC15" s="14" t="n">
        <v>0.45</v>
      </c>
      <c r="AD15" s="14" t="n">
        <v>0.48</v>
      </c>
      <c r="AE15" s="14" t="n">
        <v>0.48</v>
      </c>
      <c r="AF15" s="14" t="n">
        <v>0.54</v>
      </c>
    </row>
    <row r="16">
      <c r="A16" s="20" t="n"/>
      <c r="B16" s="11" t="inlineStr">
        <is>
          <t>Non actifs</t>
        </is>
      </c>
      <c r="C16" s="12" t="n">
        <v>11692</v>
      </c>
      <c r="D16" s="12" t="n">
        <v>528</v>
      </c>
      <c r="E16" s="12" t="n">
        <v>424</v>
      </c>
      <c r="F16" s="12" t="n">
        <v>420</v>
      </c>
      <c r="G16" s="12" t="n">
        <v>410</v>
      </c>
      <c r="H16" s="12" t="n">
        <v>579</v>
      </c>
      <c r="I16" s="12" t="n">
        <v>707</v>
      </c>
      <c r="J16" s="12" t="n">
        <v>127</v>
      </c>
      <c r="K16" s="12" t="n">
        <v>408</v>
      </c>
      <c r="L16" s="12" t="n">
        <v>399</v>
      </c>
      <c r="M16" s="12" t="n">
        <v>437</v>
      </c>
      <c r="N16" s="12" t="n">
        <v>449</v>
      </c>
      <c r="O16" s="12" t="n">
        <v>501</v>
      </c>
      <c r="P16" s="12" t="n">
        <v>415</v>
      </c>
      <c r="Q16" s="12" t="n">
        <v>450</v>
      </c>
      <c r="R16" s="12" t="n">
        <v>178</v>
      </c>
      <c r="S16" s="12" t="n">
        <v>417</v>
      </c>
      <c r="T16" s="12" t="n">
        <v>467</v>
      </c>
      <c r="U16" s="12" t="n">
        <v>206</v>
      </c>
      <c r="V16" s="12" t="n">
        <v>322</v>
      </c>
      <c r="W16" s="12" t="n">
        <v>177</v>
      </c>
      <c r="X16" s="12" t="n">
        <v>448</v>
      </c>
      <c r="Y16" s="12" t="n">
        <v>404</v>
      </c>
      <c r="Z16" s="12" t="n">
        <v>398</v>
      </c>
      <c r="AA16" s="12" t="n">
        <v>427</v>
      </c>
      <c r="AB16" s="12" t="n">
        <v>438</v>
      </c>
      <c r="AC16" s="12" t="n">
        <v>454</v>
      </c>
      <c r="AD16" s="12" t="n">
        <v>417</v>
      </c>
      <c r="AE16" s="12" t="n">
        <v>448</v>
      </c>
      <c r="AF16" s="12" t="n">
        <v>414</v>
      </c>
    </row>
    <row r="17">
      <c r="A17" s="23" t="n"/>
      <c r="B17" s="13" t="inlineStr">
        <is>
          <t>Not working</t>
        </is>
      </c>
      <c r="C17" s="14" t="n">
        <v>0.44</v>
      </c>
      <c r="D17" s="14" t="n">
        <v>0.52</v>
      </c>
      <c r="E17" s="14" t="n">
        <v>0.42</v>
      </c>
      <c r="F17" s="14" t="n">
        <v>0.4</v>
      </c>
      <c r="G17" s="14" t="n">
        <v>0.41</v>
      </c>
      <c r="H17" s="14" t="n">
        <v>0.48</v>
      </c>
      <c r="I17" s="14" t="n">
        <v>0.47</v>
      </c>
      <c r="J17" s="14" t="n">
        <v>0.43</v>
      </c>
      <c r="K17" s="14" t="n">
        <v>0.41</v>
      </c>
      <c r="L17" s="14" t="n">
        <v>0.39</v>
      </c>
      <c r="M17" s="14" t="n">
        <v>0.44</v>
      </c>
      <c r="N17" s="14" t="n">
        <v>0.45</v>
      </c>
      <c r="O17" s="14" t="n">
        <v>0.49</v>
      </c>
      <c r="P17" s="14" t="n">
        <v>0.41</v>
      </c>
      <c r="Q17" s="14" t="n">
        <v>0.44</v>
      </c>
      <c r="R17" s="14" t="n">
        <v>0.35</v>
      </c>
      <c r="S17" s="14" t="n">
        <v>0.41</v>
      </c>
      <c r="T17" s="14" t="n">
        <v>0.46</v>
      </c>
      <c r="U17" s="14" t="n">
        <v>0.41</v>
      </c>
      <c r="V17" s="14" t="n">
        <v>0.32</v>
      </c>
      <c r="W17" s="14" t="n">
        <v>0.35</v>
      </c>
      <c r="X17" s="14" t="n">
        <v>0.44</v>
      </c>
      <c r="Y17" s="14" t="n">
        <v>0.4</v>
      </c>
      <c r="Z17" s="14" t="n">
        <v>0.39</v>
      </c>
      <c r="AA17" s="14" t="n">
        <v>0.41</v>
      </c>
      <c r="AB17" s="14" t="n">
        <v>0.42</v>
      </c>
      <c r="AC17" s="14" t="n">
        <v>0.45</v>
      </c>
      <c r="AD17" s="14" t="n">
        <v>0.42</v>
      </c>
      <c r="AE17" s="14" t="n">
        <v>0.44</v>
      </c>
      <c r="AF17" s="14" t="n">
        <v>0.4</v>
      </c>
    </row>
  </sheetData>
  <mergeCells count="9">
    <mergeCell ref="B4:F4"/>
    <mergeCell ref="H3:L3"/>
    <mergeCell ref="C8:AF8"/>
    <mergeCell ref="B3:F3"/>
    <mergeCell ref="B5:F5"/>
    <mergeCell ref="H5:L5"/>
    <mergeCell ref="B10:B11"/>
    <mergeCell ref="A10:A17"/>
    <mergeCell ref="H4:L4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12" customHeight="1" s="18">
      <c r="B3" s="21" t="inlineStr">
        <is>
          <t>C14. Catégorie socioprofessionnelle</t>
        </is>
      </c>
      <c r="H3" s="21" t="inlineStr">
        <is>
          <t>C14. Socio-professional category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HYPERLINK("#Content!A55","&lt;&lt;Back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Indépendants</t>
        </is>
      </c>
      <c r="C12" s="12" t="n">
        <v>1829</v>
      </c>
      <c r="D12" s="12" t="n">
        <v>74</v>
      </c>
      <c r="E12" s="12" t="n">
        <v>85</v>
      </c>
      <c r="F12" s="12" t="n">
        <v>117</v>
      </c>
      <c r="G12" s="12" t="n">
        <v>47</v>
      </c>
      <c r="H12" s="12" t="n">
        <v>64</v>
      </c>
      <c r="I12" s="12" t="n">
        <v>79</v>
      </c>
      <c r="J12" s="12" t="n">
        <v>15</v>
      </c>
      <c r="K12" s="12" t="n">
        <v>104</v>
      </c>
      <c r="L12" s="12" t="n">
        <v>56</v>
      </c>
      <c r="M12" s="12" t="n">
        <v>134</v>
      </c>
      <c r="N12" s="12" t="n">
        <v>53</v>
      </c>
      <c r="O12" s="12" t="n">
        <v>49</v>
      </c>
      <c r="P12" s="12" t="n">
        <v>83</v>
      </c>
      <c r="Q12" s="12" t="n">
        <v>115</v>
      </c>
      <c r="R12" s="12" t="n">
        <v>50</v>
      </c>
      <c r="S12" s="12" t="n">
        <v>78</v>
      </c>
      <c r="T12" s="12" t="n">
        <v>75</v>
      </c>
      <c r="U12" s="12" t="n">
        <v>31</v>
      </c>
      <c r="V12" s="12" t="n">
        <v>71</v>
      </c>
      <c r="W12" s="12" t="n">
        <v>54</v>
      </c>
      <c r="X12" s="12" t="n">
        <v>78</v>
      </c>
      <c r="Y12" s="12" t="n">
        <v>61</v>
      </c>
      <c r="Z12" s="12" t="n">
        <v>69</v>
      </c>
      <c r="AA12" s="12" t="n">
        <v>108</v>
      </c>
      <c r="AB12" s="12" t="n">
        <v>31</v>
      </c>
      <c r="AC12" s="12" t="n">
        <v>96</v>
      </c>
      <c r="AD12" s="12" t="n">
        <v>100</v>
      </c>
      <c r="AE12" s="12" t="n">
        <v>86</v>
      </c>
      <c r="AF12" s="12" t="n">
        <v>67</v>
      </c>
    </row>
    <row r="13">
      <c r="A13" s="20" t="n"/>
      <c r="B13" s="13" t="inlineStr">
        <is>
          <t>Self-employed</t>
        </is>
      </c>
      <c r="C13" s="14" t="n">
        <v>0.07000000000000001</v>
      </c>
      <c r="D13" s="14" t="n">
        <v>0.07000000000000001</v>
      </c>
      <c r="E13" s="14" t="n">
        <v>0.08</v>
      </c>
      <c r="F13" s="14" t="n">
        <v>0.11</v>
      </c>
      <c r="G13" s="14" t="n">
        <v>0.05</v>
      </c>
      <c r="H13" s="14" t="n">
        <v>0.05</v>
      </c>
      <c r="I13" s="14" t="n">
        <v>0.05</v>
      </c>
      <c r="J13" s="14" t="n">
        <v>0.05</v>
      </c>
      <c r="K13" s="14" t="n">
        <v>0.1</v>
      </c>
      <c r="L13" s="14" t="n">
        <v>0.06</v>
      </c>
      <c r="M13" s="14" t="n">
        <v>0.13</v>
      </c>
      <c r="N13" s="14" t="n">
        <v>0.05</v>
      </c>
      <c r="O13" s="14" t="n">
        <v>0.05</v>
      </c>
      <c r="P13" s="14" t="n">
        <v>0.08</v>
      </c>
      <c r="Q13" s="14" t="n">
        <v>0.11</v>
      </c>
      <c r="R13" s="14" t="n">
        <v>0.1</v>
      </c>
      <c r="S13" s="14" t="n">
        <v>0.08</v>
      </c>
      <c r="T13" s="14" t="n">
        <v>0.07000000000000001</v>
      </c>
      <c r="U13" s="14" t="n">
        <v>0.06</v>
      </c>
      <c r="V13" s="14" t="n">
        <v>0.07000000000000001</v>
      </c>
      <c r="W13" s="14" t="n">
        <v>0.11</v>
      </c>
      <c r="X13" s="14" t="n">
        <v>0.08</v>
      </c>
      <c r="Y13" s="14" t="n">
        <v>0.06</v>
      </c>
      <c r="Z13" s="14" t="n">
        <v>0.07000000000000001</v>
      </c>
      <c r="AA13" s="14" t="n">
        <v>0.1</v>
      </c>
      <c r="AB13" s="14" t="n">
        <v>0.03</v>
      </c>
      <c r="AC13" s="14" t="n">
        <v>0.1</v>
      </c>
      <c r="AD13" s="14" t="n">
        <v>0.1</v>
      </c>
      <c r="AE13" s="14" t="n">
        <v>0.09</v>
      </c>
      <c r="AF13" s="14" t="n">
        <v>0.06</v>
      </c>
    </row>
    <row r="14">
      <c r="A14" s="20" t="n"/>
      <c r="B14" s="11" t="inlineStr">
        <is>
          <t>Cadres / Directeurs</t>
        </is>
      </c>
      <c r="C14" s="12" t="n">
        <v>3194</v>
      </c>
      <c r="D14" s="12" t="n">
        <v>82</v>
      </c>
      <c r="E14" s="12" t="n">
        <v>73</v>
      </c>
      <c r="F14" s="12" t="n">
        <v>95</v>
      </c>
      <c r="G14" s="12" t="n">
        <v>150</v>
      </c>
      <c r="H14" s="12" t="n">
        <v>198</v>
      </c>
      <c r="I14" s="12" t="n">
        <v>230</v>
      </c>
      <c r="J14" s="12" t="n">
        <v>32</v>
      </c>
      <c r="K14" s="12" t="n">
        <v>149</v>
      </c>
      <c r="L14" s="12" t="n">
        <v>188</v>
      </c>
      <c r="M14" s="12" t="n">
        <v>64</v>
      </c>
      <c r="N14" s="12" t="n">
        <v>83</v>
      </c>
      <c r="O14" s="12" t="n">
        <v>133</v>
      </c>
      <c r="P14" s="12" t="n">
        <v>86</v>
      </c>
      <c r="Q14" s="12" t="n">
        <v>122</v>
      </c>
      <c r="R14" s="12" t="n">
        <v>68</v>
      </c>
      <c r="S14" s="12" t="n">
        <v>161</v>
      </c>
      <c r="T14" s="12" t="n">
        <v>124</v>
      </c>
      <c r="U14" s="12" t="n">
        <v>79</v>
      </c>
      <c r="V14" s="12" t="n">
        <v>82</v>
      </c>
      <c r="W14" s="12" t="n">
        <v>126</v>
      </c>
      <c r="X14" s="12" t="n">
        <v>167</v>
      </c>
      <c r="Y14" s="12" t="n">
        <v>145</v>
      </c>
      <c r="Z14" s="12" t="n">
        <v>104</v>
      </c>
      <c r="AA14" s="12" t="n">
        <v>117</v>
      </c>
      <c r="AB14" s="12" t="n">
        <v>73</v>
      </c>
      <c r="AC14" s="12" t="n">
        <v>137</v>
      </c>
      <c r="AD14" s="12" t="n">
        <v>120</v>
      </c>
      <c r="AE14" s="12" t="n">
        <v>173</v>
      </c>
      <c r="AF14" s="12" t="n">
        <v>193</v>
      </c>
    </row>
    <row r="15">
      <c r="A15" s="20" t="n"/>
      <c r="B15" s="13" t="inlineStr">
        <is>
          <t>Managers</t>
        </is>
      </c>
      <c r="C15" s="14" t="n">
        <v>0.12</v>
      </c>
      <c r="D15" s="14" t="n">
        <v>0.08</v>
      </c>
      <c r="E15" s="14" t="n">
        <v>0.07000000000000001</v>
      </c>
      <c r="F15" s="14" t="n">
        <v>0.09</v>
      </c>
      <c r="G15" s="14" t="n">
        <v>0.15</v>
      </c>
      <c r="H15" s="14" t="n">
        <v>0.16</v>
      </c>
      <c r="I15" s="14" t="n">
        <v>0.15</v>
      </c>
      <c r="J15" s="14" t="n">
        <v>0.11</v>
      </c>
      <c r="K15" s="14" t="n">
        <v>0.15</v>
      </c>
      <c r="L15" s="14" t="n">
        <v>0.19</v>
      </c>
      <c r="M15" s="14" t="n">
        <v>0.06</v>
      </c>
      <c r="N15" s="14" t="n">
        <v>0.08</v>
      </c>
      <c r="O15" s="14" t="n">
        <v>0.13</v>
      </c>
      <c r="P15" s="14" t="n">
        <v>0.09</v>
      </c>
      <c r="Q15" s="14" t="n">
        <v>0.12</v>
      </c>
      <c r="R15" s="14" t="n">
        <v>0.14</v>
      </c>
      <c r="S15" s="14" t="n">
        <v>0.16</v>
      </c>
      <c r="T15" s="14" t="n">
        <v>0.12</v>
      </c>
      <c r="U15" s="14" t="n">
        <v>0.16</v>
      </c>
      <c r="V15" s="14" t="n">
        <v>0.08</v>
      </c>
      <c r="W15" s="14" t="n">
        <v>0.25</v>
      </c>
      <c r="X15" s="14" t="n">
        <v>0.16</v>
      </c>
      <c r="Y15" s="14" t="n">
        <v>0.15</v>
      </c>
      <c r="Z15" s="14" t="n">
        <v>0.1</v>
      </c>
      <c r="AA15" s="14" t="n">
        <v>0.11</v>
      </c>
      <c r="AB15" s="14" t="n">
        <v>0.07000000000000001</v>
      </c>
      <c r="AC15" s="14" t="n">
        <v>0.14</v>
      </c>
      <c r="AD15" s="14" t="n">
        <v>0.12</v>
      </c>
      <c r="AE15" s="14" t="n">
        <v>0.17</v>
      </c>
      <c r="AF15" s="14" t="n">
        <v>0.18</v>
      </c>
    </row>
    <row r="16">
      <c r="A16" s="20" t="n"/>
      <c r="B16" s="11" t="inlineStr">
        <is>
          <t>Autres employés</t>
        </is>
      </c>
      <c r="C16" s="12" t="n">
        <v>3784</v>
      </c>
      <c r="D16" s="12" t="n">
        <v>172</v>
      </c>
      <c r="E16" s="12" t="n">
        <v>168</v>
      </c>
      <c r="F16" s="12" t="n">
        <v>246</v>
      </c>
      <c r="G16" s="12" t="n">
        <v>187</v>
      </c>
      <c r="H16" s="12" t="n">
        <v>146</v>
      </c>
      <c r="I16" s="12" t="n">
        <v>167</v>
      </c>
      <c r="J16" s="12" t="n">
        <v>21</v>
      </c>
      <c r="K16" s="12" t="n">
        <v>129</v>
      </c>
      <c r="L16" s="12" t="n">
        <v>134</v>
      </c>
      <c r="M16" s="12" t="n">
        <v>177</v>
      </c>
      <c r="N16" s="12" t="n">
        <v>123</v>
      </c>
      <c r="O16" s="12" t="n">
        <v>122</v>
      </c>
      <c r="P16" s="12" t="n">
        <v>157</v>
      </c>
      <c r="Q16" s="12" t="n">
        <v>152</v>
      </c>
      <c r="R16" s="12" t="n">
        <v>118</v>
      </c>
      <c r="S16" s="12" t="n">
        <v>111</v>
      </c>
      <c r="T16" s="12" t="n">
        <v>110</v>
      </c>
      <c r="U16" s="12" t="n">
        <v>81</v>
      </c>
      <c r="V16" s="12" t="n">
        <v>261</v>
      </c>
      <c r="W16" s="12" t="n">
        <v>98</v>
      </c>
      <c r="X16" s="12" t="n">
        <v>193</v>
      </c>
      <c r="Y16" s="12" t="n">
        <v>131</v>
      </c>
      <c r="Z16" s="12" t="n">
        <v>201</v>
      </c>
      <c r="AA16" s="12" t="n">
        <v>104</v>
      </c>
      <c r="AB16" s="12" t="n">
        <v>143</v>
      </c>
      <c r="AC16" s="12" t="n">
        <v>134</v>
      </c>
      <c r="AD16" s="12" t="n">
        <v>143</v>
      </c>
      <c r="AE16" s="12" t="n">
        <v>83</v>
      </c>
      <c r="AF16" s="12" t="n">
        <v>180</v>
      </c>
    </row>
    <row r="17">
      <c r="A17" s="20" t="n"/>
      <c r="B17" s="13" t="inlineStr">
        <is>
          <t>Other white collars</t>
        </is>
      </c>
      <c r="C17" s="14" t="n">
        <v>0.14</v>
      </c>
      <c r="D17" s="14" t="n">
        <v>0.17</v>
      </c>
      <c r="E17" s="14" t="n">
        <v>0.17</v>
      </c>
      <c r="F17" s="14" t="n">
        <v>0.23</v>
      </c>
      <c r="G17" s="14" t="n">
        <v>0.18</v>
      </c>
      <c r="H17" s="14" t="n">
        <v>0.12</v>
      </c>
      <c r="I17" s="14" t="n">
        <v>0.11</v>
      </c>
      <c r="J17" s="14" t="n">
        <v>0.07000000000000001</v>
      </c>
      <c r="K17" s="14" t="n">
        <v>0.13</v>
      </c>
      <c r="L17" s="14" t="n">
        <v>0.13</v>
      </c>
      <c r="M17" s="14" t="n">
        <v>0.18</v>
      </c>
      <c r="N17" s="14" t="n">
        <v>0.12</v>
      </c>
      <c r="O17" s="14" t="n">
        <v>0.12</v>
      </c>
      <c r="P17" s="14" t="n">
        <v>0.15</v>
      </c>
      <c r="Q17" s="14" t="n">
        <v>0.15</v>
      </c>
      <c r="R17" s="14" t="n">
        <v>0.23</v>
      </c>
      <c r="S17" s="14" t="n">
        <v>0.11</v>
      </c>
      <c r="T17" s="14" t="n">
        <v>0.11</v>
      </c>
      <c r="U17" s="14" t="n">
        <v>0.16</v>
      </c>
      <c r="V17" s="14" t="n">
        <v>0.25</v>
      </c>
      <c r="W17" s="14" t="n">
        <v>0.2</v>
      </c>
      <c r="X17" s="14" t="n">
        <v>0.19</v>
      </c>
      <c r="Y17" s="14" t="n">
        <v>0.13</v>
      </c>
      <c r="Z17" s="14" t="n">
        <v>0.2</v>
      </c>
      <c r="AA17" s="14" t="n">
        <v>0.1</v>
      </c>
      <c r="AB17" s="14" t="n">
        <v>0.14</v>
      </c>
      <c r="AC17" s="14" t="n">
        <v>0.13</v>
      </c>
      <c r="AD17" s="14" t="n">
        <v>0.14</v>
      </c>
      <c r="AE17" s="14" t="n">
        <v>0.08</v>
      </c>
      <c r="AF17" s="14" t="n">
        <v>0.17</v>
      </c>
    </row>
    <row r="18">
      <c r="A18" s="20" t="n"/>
      <c r="B18" s="11" t="inlineStr">
        <is>
          <t>Ouvriers</t>
        </is>
      </c>
      <c r="C18" s="12" t="n">
        <v>5922</v>
      </c>
      <c r="D18" s="12" t="n">
        <v>165</v>
      </c>
      <c r="E18" s="12" t="n">
        <v>264</v>
      </c>
      <c r="F18" s="12" t="n">
        <v>172</v>
      </c>
      <c r="G18" s="12" t="n">
        <v>213</v>
      </c>
      <c r="H18" s="12" t="n">
        <v>227</v>
      </c>
      <c r="I18" s="12" t="n">
        <v>325</v>
      </c>
      <c r="J18" s="12" t="n">
        <v>98</v>
      </c>
      <c r="K18" s="12" t="n">
        <v>215</v>
      </c>
      <c r="L18" s="12" t="n">
        <v>233</v>
      </c>
      <c r="M18" s="12" t="n">
        <v>195</v>
      </c>
      <c r="N18" s="12" t="n">
        <v>299</v>
      </c>
      <c r="O18" s="12" t="n">
        <v>211</v>
      </c>
      <c r="P18" s="12" t="n">
        <v>266</v>
      </c>
      <c r="Q18" s="12" t="n">
        <v>190</v>
      </c>
      <c r="R18" s="12" t="n">
        <v>90</v>
      </c>
      <c r="S18" s="12" t="n">
        <v>237</v>
      </c>
      <c r="T18" s="12" t="n">
        <v>242</v>
      </c>
      <c r="U18" s="12" t="n">
        <v>110</v>
      </c>
      <c r="V18" s="12" t="n">
        <v>285</v>
      </c>
      <c r="W18" s="12" t="n">
        <v>50</v>
      </c>
      <c r="X18" s="12" t="n">
        <v>137</v>
      </c>
      <c r="Y18" s="12" t="n">
        <v>263</v>
      </c>
      <c r="Z18" s="12" t="n">
        <v>248</v>
      </c>
      <c r="AA18" s="12" t="n">
        <v>276</v>
      </c>
      <c r="AB18" s="12" t="n">
        <v>360</v>
      </c>
      <c r="AC18" s="12" t="n">
        <v>187</v>
      </c>
      <c r="AD18" s="12" t="n">
        <v>222</v>
      </c>
      <c r="AE18" s="12" t="n">
        <v>227</v>
      </c>
      <c r="AF18" s="12" t="n">
        <v>183</v>
      </c>
    </row>
    <row r="19">
      <c r="A19" s="20" t="n"/>
      <c r="B19" s="13" t="inlineStr">
        <is>
          <t>Manual workers</t>
        </is>
      </c>
      <c r="C19" s="14" t="n">
        <v>0.23</v>
      </c>
      <c r="D19" s="14" t="n">
        <v>0.16</v>
      </c>
      <c r="E19" s="14" t="n">
        <v>0.26</v>
      </c>
      <c r="F19" s="14" t="n">
        <v>0.16</v>
      </c>
      <c r="G19" s="14" t="n">
        <v>0.21</v>
      </c>
      <c r="H19" s="14" t="n">
        <v>0.19</v>
      </c>
      <c r="I19" s="14" t="n">
        <v>0.22</v>
      </c>
      <c r="J19" s="14" t="n">
        <v>0.33</v>
      </c>
      <c r="K19" s="14" t="n">
        <v>0.21</v>
      </c>
      <c r="L19" s="14" t="n">
        <v>0.23</v>
      </c>
      <c r="M19" s="14" t="n">
        <v>0.19</v>
      </c>
      <c r="N19" s="14" t="n">
        <v>0.3</v>
      </c>
      <c r="O19" s="14" t="n">
        <v>0.21</v>
      </c>
      <c r="P19" s="14" t="n">
        <v>0.26</v>
      </c>
      <c r="Q19" s="14" t="n">
        <v>0.18</v>
      </c>
      <c r="R19" s="14" t="n">
        <v>0.18</v>
      </c>
      <c r="S19" s="14" t="n">
        <v>0.24</v>
      </c>
      <c r="T19" s="14" t="n">
        <v>0.24</v>
      </c>
      <c r="U19" s="14" t="n">
        <v>0.22</v>
      </c>
      <c r="V19" s="14" t="n">
        <v>0.28</v>
      </c>
      <c r="W19" s="14" t="n">
        <v>0.1</v>
      </c>
      <c r="X19" s="14" t="n">
        <v>0.13</v>
      </c>
      <c r="Y19" s="14" t="n">
        <v>0.26</v>
      </c>
      <c r="Z19" s="14" t="n">
        <v>0.24</v>
      </c>
      <c r="AA19" s="14" t="n">
        <v>0.27</v>
      </c>
      <c r="AB19" s="14" t="n">
        <v>0.34</v>
      </c>
      <c r="AC19" s="14" t="n">
        <v>0.19</v>
      </c>
      <c r="AD19" s="14" t="n">
        <v>0.22</v>
      </c>
      <c r="AE19" s="14" t="n">
        <v>0.22</v>
      </c>
      <c r="AF19" s="14" t="n">
        <v>0.18</v>
      </c>
    </row>
    <row r="20">
      <c r="A20" s="20" t="n"/>
      <c r="B20" s="11" t="inlineStr">
        <is>
          <t>Femmes / Hommes au foyer</t>
        </is>
      </c>
      <c r="C20" s="12" t="n">
        <v>1052</v>
      </c>
      <c r="D20" s="12" t="n">
        <v>20</v>
      </c>
      <c r="E20" s="12" t="n">
        <v>25</v>
      </c>
      <c r="F20" s="12" t="n">
        <v>19</v>
      </c>
      <c r="G20" s="12" t="n">
        <v>5</v>
      </c>
      <c r="H20" s="12" t="n">
        <v>43</v>
      </c>
      <c r="I20" s="12" t="n">
        <v>45</v>
      </c>
      <c r="J20" s="12" t="n">
        <v>1</v>
      </c>
      <c r="K20" s="12" t="n">
        <v>27</v>
      </c>
      <c r="L20" s="12" t="n">
        <v>84</v>
      </c>
      <c r="M20" s="12" t="n">
        <v>70</v>
      </c>
      <c r="N20" s="12" t="n">
        <v>67</v>
      </c>
      <c r="O20" s="12" t="n">
        <v>33</v>
      </c>
      <c r="P20" s="12" t="n">
        <v>23</v>
      </c>
      <c r="Q20" s="12" t="n">
        <v>63</v>
      </c>
      <c r="R20" s="12" t="n">
        <v>16</v>
      </c>
      <c r="S20" s="12" t="n">
        <v>27</v>
      </c>
      <c r="T20" s="12" t="n">
        <v>26</v>
      </c>
      <c r="U20" s="12" t="n">
        <v>8</v>
      </c>
      <c r="V20" s="12" t="n">
        <v>7</v>
      </c>
      <c r="W20" s="12" t="n">
        <v>57</v>
      </c>
      <c r="X20" s="12" t="n">
        <v>25</v>
      </c>
      <c r="Y20" s="12" t="n">
        <v>38</v>
      </c>
      <c r="Z20" s="12" t="n">
        <v>36</v>
      </c>
      <c r="AA20" s="12" t="n">
        <v>18</v>
      </c>
      <c r="AB20" s="12" t="n">
        <v>81</v>
      </c>
      <c r="AC20" s="12" t="n">
        <v>24</v>
      </c>
      <c r="AD20" s="12" t="n">
        <v>31</v>
      </c>
      <c r="AE20" s="12" t="n">
        <v>3</v>
      </c>
      <c r="AF20" s="12" t="n">
        <v>8</v>
      </c>
    </row>
    <row r="21">
      <c r="A21" s="20" t="n"/>
      <c r="B21" s="13" t="inlineStr">
        <is>
          <t>House persons</t>
        </is>
      </c>
      <c r="C21" s="14" t="n">
        <v>0.04</v>
      </c>
      <c r="D21" s="14" t="n">
        <v>0.02</v>
      </c>
      <c r="E21" s="14" t="n">
        <v>0.03</v>
      </c>
      <c r="F21" s="14" t="n">
        <v>0.02</v>
      </c>
      <c r="G21" s="15" t="inlineStr">
        <is>
          <t>-</t>
        </is>
      </c>
      <c r="H21" s="14" t="n">
        <v>0.04</v>
      </c>
      <c r="I21" s="14" t="n">
        <v>0.03</v>
      </c>
      <c r="J21" s="14" t="n">
        <v>0.01</v>
      </c>
      <c r="K21" s="14" t="n">
        <v>0.03</v>
      </c>
      <c r="L21" s="14" t="n">
        <v>0.08</v>
      </c>
      <c r="M21" s="14" t="n">
        <v>0.07000000000000001</v>
      </c>
      <c r="N21" s="14" t="n">
        <v>0.07000000000000001</v>
      </c>
      <c r="O21" s="14" t="n">
        <v>0.03</v>
      </c>
      <c r="P21" s="14" t="n">
        <v>0.02</v>
      </c>
      <c r="Q21" s="14" t="n">
        <v>0.06</v>
      </c>
      <c r="R21" s="14" t="n">
        <v>0.03</v>
      </c>
      <c r="S21" s="14" t="n">
        <v>0.03</v>
      </c>
      <c r="T21" s="14" t="n">
        <v>0.02</v>
      </c>
      <c r="U21" s="14" t="n">
        <v>0.01</v>
      </c>
      <c r="V21" s="14" t="n">
        <v>0.01</v>
      </c>
      <c r="W21" s="14" t="n">
        <v>0.11</v>
      </c>
      <c r="X21" s="14" t="n">
        <v>0.03</v>
      </c>
      <c r="Y21" s="14" t="n">
        <v>0.04</v>
      </c>
      <c r="Z21" s="14" t="n">
        <v>0.04</v>
      </c>
      <c r="AA21" s="14" t="n">
        <v>0.02</v>
      </c>
      <c r="AB21" s="14" t="n">
        <v>0.08</v>
      </c>
      <c r="AC21" s="14" t="n">
        <v>0.02</v>
      </c>
      <c r="AD21" s="14" t="n">
        <v>0.03</v>
      </c>
      <c r="AE21" s="15" t="inlineStr">
        <is>
          <t>-</t>
        </is>
      </c>
      <c r="AF21" s="14" t="n">
        <v>0.01</v>
      </c>
    </row>
    <row r="22">
      <c r="A22" s="20" t="n"/>
      <c r="B22" s="11" t="inlineStr">
        <is>
          <t>Chômeurs</t>
        </is>
      </c>
      <c r="C22" s="12" t="n">
        <v>1119</v>
      </c>
      <c r="D22" s="12" t="n">
        <v>75</v>
      </c>
      <c r="E22" s="12" t="n">
        <v>50</v>
      </c>
      <c r="F22" s="12" t="n">
        <v>40</v>
      </c>
      <c r="G22" s="12" t="n">
        <v>36</v>
      </c>
      <c r="H22" s="12" t="n">
        <v>41</v>
      </c>
      <c r="I22" s="12" t="n">
        <v>55</v>
      </c>
      <c r="J22" s="12" t="n">
        <v>14</v>
      </c>
      <c r="K22" s="12" t="n">
        <v>44</v>
      </c>
      <c r="L22" s="12" t="n">
        <v>36</v>
      </c>
      <c r="M22" s="12" t="n">
        <v>48</v>
      </c>
      <c r="N22" s="12" t="n">
        <v>72</v>
      </c>
      <c r="O22" s="12" t="n">
        <v>71</v>
      </c>
      <c r="P22" s="12" t="n">
        <v>37</v>
      </c>
      <c r="Q22" s="12" t="n">
        <v>19</v>
      </c>
      <c r="R22" s="12" t="n">
        <v>17</v>
      </c>
      <c r="S22" s="12" t="n">
        <v>40</v>
      </c>
      <c r="T22" s="12" t="n">
        <v>78</v>
      </c>
      <c r="U22" s="12" t="n">
        <v>21</v>
      </c>
      <c r="V22" s="12" t="n">
        <v>20</v>
      </c>
      <c r="W22" s="12" t="n">
        <v>10</v>
      </c>
      <c r="X22" s="12" t="n">
        <v>34</v>
      </c>
      <c r="Y22" s="12" t="n">
        <v>32</v>
      </c>
      <c r="Z22" s="12" t="n">
        <v>21</v>
      </c>
      <c r="AA22" s="12" t="n">
        <v>44</v>
      </c>
      <c r="AB22" s="12" t="n">
        <v>10</v>
      </c>
      <c r="AC22" s="12" t="n">
        <v>34</v>
      </c>
      <c r="AD22" s="12" t="n">
        <v>46</v>
      </c>
      <c r="AE22" s="12" t="n">
        <v>55</v>
      </c>
      <c r="AF22" s="12" t="n">
        <v>48</v>
      </c>
    </row>
    <row r="23">
      <c r="A23" s="20" t="n"/>
      <c r="B23" s="13" t="inlineStr">
        <is>
          <t>Unemployed</t>
        </is>
      </c>
      <c r="C23" s="14" t="n">
        <v>0.04</v>
      </c>
      <c r="D23" s="14" t="n">
        <v>0.07000000000000001</v>
      </c>
      <c r="E23" s="14" t="n">
        <v>0.05</v>
      </c>
      <c r="F23" s="14" t="n">
        <v>0.04</v>
      </c>
      <c r="G23" s="14" t="n">
        <v>0.04</v>
      </c>
      <c r="H23" s="14" t="n">
        <v>0.03</v>
      </c>
      <c r="I23" s="14" t="n">
        <v>0.04</v>
      </c>
      <c r="J23" s="14" t="n">
        <v>0.05</v>
      </c>
      <c r="K23" s="14" t="n">
        <v>0.04</v>
      </c>
      <c r="L23" s="14" t="n">
        <v>0.04</v>
      </c>
      <c r="M23" s="14" t="n">
        <v>0.05</v>
      </c>
      <c r="N23" s="14" t="n">
        <v>0.07000000000000001</v>
      </c>
      <c r="O23" s="14" t="n">
        <v>0.07000000000000001</v>
      </c>
      <c r="P23" s="14" t="n">
        <v>0.04</v>
      </c>
      <c r="Q23" s="14" t="n">
        <v>0.02</v>
      </c>
      <c r="R23" s="14" t="n">
        <v>0.03</v>
      </c>
      <c r="S23" s="14" t="n">
        <v>0.04</v>
      </c>
      <c r="T23" s="14" t="n">
        <v>0.08</v>
      </c>
      <c r="U23" s="14" t="n">
        <v>0.04</v>
      </c>
      <c r="V23" s="14" t="n">
        <v>0.02</v>
      </c>
      <c r="W23" s="14" t="n">
        <v>0.02</v>
      </c>
      <c r="X23" s="14" t="n">
        <v>0.03</v>
      </c>
      <c r="Y23" s="14" t="n">
        <v>0.03</v>
      </c>
      <c r="Z23" s="14" t="n">
        <v>0.02</v>
      </c>
      <c r="AA23" s="14" t="n">
        <v>0.04</v>
      </c>
      <c r="AB23" s="14" t="n">
        <v>0.01</v>
      </c>
      <c r="AC23" s="14" t="n">
        <v>0.03</v>
      </c>
      <c r="AD23" s="14" t="n">
        <v>0.05</v>
      </c>
      <c r="AE23" s="14" t="n">
        <v>0.05</v>
      </c>
      <c r="AF23" s="14" t="n">
        <v>0.05</v>
      </c>
    </row>
    <row r="24">
      <c r="A24" s="20" t="n"/>
      <c r="B24" s="11" t="inlineStr">
        <is>
          <t>Retraités</t>
        </is>
      </c>
      <c r="C24" s="12" t="n">
        <v>6889</v>
      </c>
      <c r="D24" s="12" t="n">
        <v>301</v>
      </c>
      <c r="E24" s="12" t="n">
        <v>275</v>
      </c>
      <c r="F24" s="12" t="n">
        <v>260</v>
      </c>
      <c r="G24" s="12" t="n">
        <v>270</v>
      </c>
      <c r="H24" s="12" t="n">
        <v>311</v>
      </c>
      <c r="I24" s="12" t="n">
        <v>404</v>
      </c>
      <c r="J24" s="12" t="n">
        <v>93</v>
      </c>
      <c r="K24" s="12" t="n">
        <v>238</v>
      </c>
      <c r="L24" s="12" t="n">
        <v>166</v>
      </c>
      <c r="M24" s="12" t="n">
        <v>232</v>
      </c>
      <c r="N24" s="12" t="n">
        <v>219</v>
      </c>
      <c r="O24" s="12" t="n">
        <v>304</v>
      </c>
      <c r="P24" s="12" t="n">
        <v>290</v>
      </c>
      <c r="Q24" s="12" t="n">
        <v>253</v>
      </c>
      <c r="R24" s="12" t="n">
        <v>109</v>
      </c>
      <c r="S24" s="12" t="n">
        <v>264</v>
      </c>
      <c r="T24" s="12" t="n">
        <v>264</v>
      </c>
      <c r="U24" s="12" t="n">
        <v>121</v>
      </c>
      <c r="V24" s="12" t="n">
        <v>247</v>
      </c>
      <c r="W24" s="12" t="n">
        <v>68</v>
      </c>
      <c r="X24" s="12" t="n">
        <v>265</v>
      </c>
      <c r="Y24" s="12" t="n">
        <v>245</v>
      </c>
      <c r="Z24" s="12" t="n">
        <v>275</v>
      </c>
      <c r="AA24" s="12" t="n">
        <v>275</v>
      </c>
      <c r="AB24" s="12" t="n">
        <v>275</v>
      </c>
      <c r="AC24" s="12" t="n">
        <v>312</v>
      </c>
      <c r="AD24" s="12" t="n">
        <v>249</v>
      </c>
      <c r="AE24" s="12" t="n">
        <v>289</v>
      </c>
      <c r="AF24" s="12" t="n">
        <v>287</v>
      </c>
    </row>
    <row r="25">
      <c r="A25" s="20" t="n"/>
      <c r="B25" s="13" t="inlineStr">
        <is>
          <t>Retired</t>
        </is>
      </c>
      <c r="C25" s="14" t="n">
        <v>0.26</v>
      </c>
      <c r="D25" s="14" t="n">
        <v>0.3</v>
      </c>
      <c r="E25" s="14" t="n">
        <v>0.27</v>
      </c>
      <c r="F25" s="14" t="n">
        <v>0.25</v>
      </c>
      <c r="G25" s="14" t="n">
        <v>0.27</v>
      </c>
      <c r="H25" s="14" t="n">
        <v>0.26</v>
      </c>
      <c r="I25" s="14" t="n">
        <v>0.27</v>
      </c>
      <c r="J25" s="14" t="n">
        <v>0.32</v>
      </c>
      <c r="K25" s="14" t="n">
        <v>0.24</v>
      </c>
      <c r="L25" s="14" t="n">
        <v>0.16</v>
      </c>
      <c r="M25" s="14" t="n">
        <v>0.23</v>
      </c>
      <c r="N25" s="14" t="n">
        <v>0.22</v>
      </c>
      <c r="O25" s="14" t="n">
        <v>0.3</v>
      </c>
      <c r="P25" s="14" t="n">
        <v>0.29</v>
      </c>
      <c r="Q25" s="14" t="n">
        <v>0.25</v>
      </c>
      <c r="R25" s="14" t="n">
        <v>0.22</v>
      </c>
      <c r="S25" s="14" t="n">
        <v>0.26</v>
      </c>
      <c r="T25" s="14" t="n">
        <v>0.26</v>
      </c>
      <c r="U25" s="14" t="n">
        <v>0.24</v>
      </c>
      <c r="V25" s="14" t="n">
        <v>0.24</v>
      </c>
      <c r="W25" s="14" t="n">
        <v>0.13</v>
      </c>
      <c r="X25" s="14" t="n">
        <v>0.26</v>
      </c>
      <c r="Y25" s="14" t="n">
        <v>0.24</v>
      </c>
      <c r="Z25" s="14" t="n">
        <v>0.27</v>
      </c>
      <c r="AA25" s="14" t="n">
        <v>0.27</v>
      </c>
      <c r="AB25" s="14" t="n">
        <v>0.26</v>
      </c>
      <c r="AC25" s="14" t="n">
        <v>0.31</v>
      </c>
      <c r="AD25" s="14" t="n">
        <v>0.25</v>
      </c>
      <c r="AE25" s="14" t="n">
        <v>0.29</v>
      </c>
      <c r="AF25" s="14" t="n">
        <v>0.28</v>
      </c>
    </row>
    <row r="26">
      <c r="A26" s="20" t="n"/>
      <c r="B26" s="11" t="inlineStr">
        <is>
          <t>Etudiants</t>
        </is>
      </c>
      <c r="C26" s="12" t="n">
        <v>2632</v>
      </c>
      <c r="D26" s="12" t="n">
        <v>132</v>
      </c>
      <c r="E26" s="12" t="n">
        <v>74</v>
      </c>
      <c r="F26" s="12" t="n">
        <v>100</v>
      </c>
      <c r="G26" s="12" t="n">
        <v>100</v>
      </c>
      <c r="H26" s="12" t="n">
        <v>184</v>
      </c>
      <c r="I26" s="12" t="n">
        <v>203</v>
      </c>
      <c r="J26" s="12" t="n">
        <v>19</v>
      </c>
      <c r="K26" s="12" t="n">
        <v>100</v>
      </c>
      <c r="L26" s="12" t="n">
        <v>113</v>
      </c>
      <c r="M26" s="12" t="n">
        <v>88</v>
      </c>
      <c r="N26" s="12" t="n">
        <v>91</v>
      </c>
      <c r="O26" s="12" t="n">
        <v>93</v>
      </c>
      <c r="P26" s="12" t="n">
        <v>66</v>
      </c>
      <c r="Q26" s="12" t="n">
        <v>116</v>
      </c>
      <c r="R26" s="12" t="n">
        <v>35</v>
      </c>
      <c r="S26" s="12" t="n">
        <v>86</v>
      </c>
      <c r="T26" s="12" t="n">
        <v>99</v>
      </c>
      <c r="U26" s="12" t="n">
        <v>56</v>
      </c>
      <c r="V26" s="12" t="n">
        <v>48</v>
      </c>
      <c r="W26" s="12" t="n">
        <v>42</v>
      </c>
      <c r="X26" s="12" t="n">
        <v>124</v>
      </c>
      <c r="Y26" s="12" t="n">
        <v>89</v>
      </c>
      <c r="Z26" s="12" t="n">
        <v>66</v>
      </c>
      <c r="AA26" s="12" t="n">
        <v>89</v>
      </c>
      <c r="AB26" s="12" t="n">
        <v>73</v>
      </c>
      <c r="AC26" s="12" t="n">
        <v>84</v>
      </c>
      <c r="AD26" s="12" t="n">
        <v>91</v>
      </c>
      <c r="AE26" s="12" t="n">
        <v>101</v>
      </c>
      <c r="AF26" s="12" t="n">
        <v>70</v>
      </c>
    </row>
    <row r="27">
      <c r="A27" s="23" t="n"/>
      <c r="B27" s="13" t="inlineStr">
        <is>
          <t>Students</t>
        </is>
      </c>
      <c r="C27" s="14" t="n">
        <v>0.1</v>
      </c>
      <c r="D27" s="14" t="n">
        <v>0.13</v>
      </c>
      <c r="E27" s="14" t="n">
        <v>0.07000000000000001</v>
      </c>
      <c r="F27" s="14" t="n">
        <v>0.1</v>
      </c>
      <c r="G27" s="14" t="n">
        <v>0.1</v>
      </c>
      <c r="H27" s="14" t="n">
        <v>0.15</v>
      </c>
      <c r="I27" s="14" t="n">
        <v>0.13</v>
      </c>
      <c r="J27" s="14" t="n">
        <v>0.06</v>
      </c>
      <c r="K27" s="14" t="n">
        <v>0.1</v>
      </c>
      <c r="L27" s="14" t="n">
        <v>0.11</v>
      </c>
      <c r="M27" s="14" t="n">
        <v>0.09</v>
      </c>
      <c r="N27" s="14" t="n">
        <v>0.09</v>
      </c>
      <c r="O27" s="14" t="n">
        <v>0.09</v>
      </c>
      <c r="P27" s="14" t="n">
        <v>0.07000000000000001</v>
      </c>
      <c r="Q27" s="14" t="n">
        <v>0.11</v>
      </c>
      <c r="R27" s="14" t="n">
        <v>0.07000000000000001</v>
      </c>
      <c r="S27" s="14" t="n">
        <v>0.08</v>
      </c>
      <c r="T27" s="14" t="n">
        <v>0.1</v>
      </c>
      <c r="U27" s="14" t="n">
        <v>0.11</v>
      </c>
      <c r="V27" s="14" t="n">
        <v>0.05</v>
      </c>
      <c r="W27" s="14" t="n">
        <v>0.08</v>
      </c>
      <c r="X27" s="14" t="n">
        <v>0.12</v>
      </c>
      <c r="Y27" s="14" t="n">
        <v>0.09</v>
      </c>
      <c r="Z27" s="14" t="n">
        <v>0.06</v>
      </c>
      <c r="AA27" s="14" t="n">
        <v>0.09</v>
      </c>
      <c r="AB27" s="14" t="n">
        <v>0.07000000000000001</v>
      </c>
      <c r="AC27" s="14" t="n">
        <v>0.08</v>
      </c>
      <c r="AD27" s="14" t="n">
        <v>0.09</v>
      </c>
      <c r="AE27" s="14" t="n">
        <v>0.1</v>
      </c>
      <c r="AF27" s="14" t="n">
        <v>0.07000000000000001</v>
      </c>
    </row>
  </sheetData>
  <mergeCells count="9">
    <mergeCell ref="B4:F4"/>
    <mergeCell ref="H5:L5"/>
    <mergeCell ref="H3:L3"/>
    <mergeCell ref="C8:AF8"/>
    <mergeCell ref="B3:F3"/>
    <mergeCell ref="B5:F5"/>
    <mergeCell ref="A10:A27"/>
    <mergeCell ref="B10:B11"/>
    <mergeCell ref="H4:L4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F41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24" customHeight="1" s="18">
      <c r="B3" s="21" t="inlineStr">
        <is>
          <t>D15b. Exerciez-vous une activité professionnelle rémunérée auparavant ? Laquelle en dernier lieu ?</t>
        </is>
      </c>
      <c r="H3" s="21" t="inlineStr">
        <is>
          <t>D15b. Did you do any paid work in the past? What was your last occupation?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Respondents who do not have a current ocupation</t>
        </is>
      </c>
      <c r="H5" s="21" t="inlineStr">
        <is>
          <t>Base: Répondants qui n'ont pas d'occupation actuelle</t>
        </is>
      </c>
    </row>
    <row r="6" ht="0.95" customHeight="1" s="18"/>
    <row r="7" ht="0.95" customHeight="1" s="18"/>
    <row r="8">
      <c r="C8" s="22" t="n"/>
    </row>
    <row r="9">
      <c r="A9" s="5">
        <f>HYPERLINK("#Content!A56","&lt;&lt;Back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11692</v>
      </c>
      <c r="D10" s="10" t="n">
        <v>528</v>
      </c>
      <c r="E10" s="10" t="n">
        <v>424</v>
      </c>
      <c r="F10" s="10" t="n">
        <v>420</v>
      </c>
      <c r="G10" s="10" t="n">
        <v>410</v>
      </c>
      <c r="H10" s="10" t="n">
        <v>579</v>
      </c>
      <c r="I10" s="10" t="n">
        <v>707</v>
      </c>
      <c r="J10" s="10" t="n">
        <v>127</v>
      </c>
      <c r="K10" s="10" t="n">
        <v>408</v>
      </c>
      <c r="L10" s="10" t="n">
        <v>399</v>
      </c>
      <c r="M10" s="10" t="n">
        <v>437</v>
      </c>
      <c r="N10" s="10" t="n">
        <v>449</v>
      </c>
      <c r="O10" s="10" t="n">
        <v>501</v>
      </c>
      <c r="P10" s="10" t="n">
        <v>415</v>
      </c>
      <c r="Q10" s="10" t="n">
        <v>450</v>
      </c>
      <c r="R10" s="10" t="n">
        <v>178</v>
      </c>
      <c r="S10" s="10" t="n">
        <v>417</v>
      </c>
      <c r="T10" s="10" t="n">
        <v>467</v>
      </c>
      <c r="U10" s="10" t="n">
        <v>206</v>
      </c>
      <c r="V10" s="10" t="n">
        <v>322</v>
      </c>
      <c r="W10" s="10" t="n">
        <v>177</v>
      </c>
      <c r="X10" s="10" t="n">
        <v>448</v>
      </c>
      <c r="Y10" s="10" t="n">
        <v>404</v>
      </c>
      <c r="Z10" s="10" t="n">
        <v>398</v>
      </c>
      <c r="AA10" s="10" t="n">
        <v>427</v>
      </c>
      <c r="AB10" s="10" t="n">
        <v>438</v>
      </c>
      <c r="AC10" s="10" t="n">
        <v>454</v>
      </c>
      <c r="AD10" s="10" t="n">
        <v>417</v>
      </c>
      <c r="AE10" s="10" t="n">
        <v>448</v>
      </c>
      <c r="AF10" s="10" t="n">
        <v>414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Agriculteur indépendant</t>
        </is>
      </c>
      <c r="C12" s="12" t="n">
        <v>252</v>
      </c>
      <c r="D12" s="12" t="n">
        <v>4</v>
      </c>
      <c r="E12" s="12" t="n">
        <v>13</v>
      </c>
      <c r="F12" s="12" t="n">
        <v>5</v>
      </c>
      <c r="G12" s="12" t="n">
        <v>4</v>
      </c>
      <c r="H12" s="12" t="n">
        <v>3</v>
      </c>
      <c r="I12" s="12" t="n">
        <v>3</v>
      </c>
      <c r="J12" s="12" t="n">
        <v>0</v>
      </c>
      <c r="K12" s="12" t="n">
        <v>6</v>
      </c>
      <c r="L12" s="12" t="n">
        <v>7</v>
      </c>
      <c r="M12" s="12" t="n">
        <v>48</v>
      </c>
      <c r="N12" s="12" t="n">
        <v>8</v>
      </c>
      <c r="O12" s="12" t="n">
        <v>8</v>
      </c>
      <c r="P12" s="12" t="n">
        <v>5</v>
      </c>
      <c r="Q12" s="12" t="n">
        <v>10</v>
      </c>
      <c r="R12" s="12" t="n">
        <v>3</v>
      </c>
      <c r="S12" s="12" t="n">
        <v>4</v>
      </c>
      <c r="T12" s="12" t="n">
        <v>6</v>
      </c>
      <c r="U12" s="12" t="n">
        <v>1</v>
      </c>
      <c r="V12" s="12" t="n">
        <v>4</v>
      </c>
      <c r="W12" s="12" t="n">
        <v>1</v>
      </c>
      <c r="X12" s="12" t="n">
        <v>0</v>
      </c>
      <c r="Y12" s="12" t="n">
        <v>11</v>
      </c>
      <c r="Z12" s="12" t="n">
        <v>36</v>
      </c>
      <c r="AA12" s="12" t="n">
        <v>10</v>
      </c>
      <c r="AB12" s="12" t="n">
        <v>10</v>
      </c>
      <c r="AC12" s="12" t="n">
        <v>12</v>
      </c>
      <c r="AD12" s="12" t="n">
        <v>0</v>
      </c>
      <c r="AE12" s="12" t="n">
        <v>13</v>
      </c>
      <c r="AF12" s="12" t="n">
        <v>1</v>
      </c>
    </row>
    <row r="13">
      <c r="A13" s="20" t="n"/>
      <c r="B13" s="13" t="inlineStr">
        <is>
          <t>Self-employed farmer</t>
        </is>
      </c>
      <c r="C13" s="14" t="n">
        <v>0.02</v>
      </c>
      <c r="D13" s="14" t="n">
        <v>0.01</v>
      </c>
      <c r="E13" s="14" t="n">
        <v>0.03</v>
      </c>
      <c r="F13" s="14" t="n">
        <v>0.01</v>
      </c>
      <c r="G13" s="14" t="n">
        <v>0.01</v>
      </c>
      <c r="H13" s="15" t="inlineStr">
        <is>
          <t>-</t>
        </is>
      </c>
      <c r="I13" s="15" t="inlineStr">
        <is>
          <t>-</t>
        </is>
      </c>
      <c r="J13" s="15" t="inlineStr">
        <is>
          <t>-</t>
        </is>
      </c>
      <c r="K13" s="14" t="n">
        <v>0.01</v>
      </c>
      <c r="L13" s="14" t="n">
        <v>0.02</v>
      </c>
      <c r="M13" s="14" t="n">
        <v>0.11</v>
      </c>
      <c r="N13" s="14" t="n">
        <v>0.02</v>
      </c>
      <c r="O13" s="14" t="n">
        <v>0.01</v>
      </c>
      <c r="P13" s="14" t="n">
        <v>0.01</v>
      </c>
      <c r="Q13" s="14" t="n">
        <v>0.02</v>
      </c>
      <c r="R13" s="14" t="n">
        <v>0.02</v>
      </c>
      <c r="S13" s="14" t="n">
        <v>0.01</v>
      </c>
      <c r="T13" s="14" t="n">
        <v>0.01</v>
      </c>
      <c r="U13" s="15" t="inlineStr">
        <is>
          <t>-</t>
        </is>
      </c>
      <c r="V13" s="14" t="n">
        <v>0.01</v>
      </c>
      <c r="W13" s="15" t="inlineStr">
        <is>
          <t>-</t>
        </is>
      </c>
      <c r="X13" s="15" t="inlineStr">
        <is>
          <t>-</t>
        </is>
      </c>
      <c r="Y13" s="14" t="n">
        <v>0.03</v>
      </c>
      <c r="Z13" s="14" t="n">
        <v>0.09</v>
      </c>
      <c r="AA13" s="14" t="n">
        <v>0.02</v>
      </c>
      <c r="AB13" s="14" t="n">
        <v>0.02</v>
      </c>
      <c r="AC13" s="14" t="n">
        <v>0.03</v>
      </c>
      <c r="AD13" s="15" t="inlineStr">
        <is>
          <t>-</t>
        </is>
      </c>
      <c r="AE13" s="14" t="n">
        <v>0.03</v>
      </c>
      <c r="AF13" s="15" t="inlineStr">
        <is>
          <t>-</t>
        </is>
      </c>
    </row>
    <row r="14">
      <c r="A14" s="20" t="n"/>
      <c r="B14" s="11" t="inlineStr">
        <is>
          <t>Pêcheur indépendant</t>
        </is>
      </c>
      <c r="C14" s="12" t="n">
        <v>11</v>
      </c>
      <c r="D14" s="12" t="n">
        <v>0</v>
      </c>
      <c r="E14" s="12" t="n">
        <v>0</v>
      </c>
      <c r="F14" s="12" t="n">
        <v>2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1</v>
      </c>
      <c r="N14" s="12" t="n">
        <v>2</v>
      </c>
      <c r="O14" s="12" t="n">
        <v>0</v>
      </c>
      <c r="P14" s="12" t="n">
        <v>1</v>
      </c>
      <c r="Q14" s="12" t="n">
        <v>0</v>
      </c>
      <c r="R14" s="12" t="n">
        <v>3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1</v>
      </c>
      <c r="AD14" s="12" t="n">
        <v>0</v>
      </c>
      <c r="AE14" s="12" t="n">
        <v>0</v>
      </c>
      <c r="AF14" s="12" t="n">
        <v>3</v>
      </c>
    </row>
    <row r="15">
      <c r="A15" s="20" t="n"/>
      <c r="B15" s="13" t="inlineStr">
        <is>
          <t>Self-employed fisherman</t>
        </is>
      </c>
      <c r="C15" s="15" t="inlineStr">
        <is>
          <t>-</t>
        </is>
      </c>
      <c r="D15" s="15" t="inlineStr">
        <is>
          <t>-</t>
        </is>
      </c>
      <c r="E15" s="15" t="inlineStr">
        <is>
          <t>-</t>
        </is>
      </c>
      <c r="F15" s="15" t="inlineStr">
        <is>
          <t>-</t>
        </is>
      </c>
      <c r="G15" s="15" t="inlineStr">
        <is>
          <t>-</t>
        </is>
      </c>
      <c r="H15" s="15" t="inlineStr">
        <is>
          <t>-</t>
        </is>
      </c>
      <c r="I15" s="15" t="inlineStr">
        <is>
          <t>-</t>
        </is>
      </c>
      <c r="J15" s="15" t="inlineStr">
        <is>
          <t>-</t>
        </is>
      </c>
      <c r="K15" s="15" t="inlineStr">
        <is>
          <t>-</t>
        </is>
      </c>
      <c r="L15" s="15" t="inlineStr">
        <is>
          <t>-</t>
        </is>
      </c>
      <c r="M15" s="15" t="inlineStr">
        <is>
          <t>-</t>
        </is>
      </c>
      <c r="N15" s="15" t="inlineStr">
        <is>
          <t>-</t>
        </is>
      </c>
      <c r="O15" s="15" t="inlineStr">
        <is>
          <t>-</t>
        </is>
      </c>
      <c r="P15" s="15" t="inlineStr">
        <is>
          <t>-</t>
        </is>
      </c>
      <c r="Q15" s="15" t="inlineStr">
        <is>
          <t>-</t>
        </is>
      </c>
      <c r="R15" s="14" t="n">
        <v>0.02</v>
      </c>
      <c r="S15" s="15" t="inlineStr">
        <is>
          <t>-</t>
        </is>
      </c>
      <c r="T15" s="15" t="inlineStr">
        <is>
          <t>-</t>
        </is>
      </c>
      <c r="U15" s="15" t="inlineStr">
        <is>
          <t>-</t>
        </is>
      </c>
      <c r="V15" s="15" t="inlineStr">
        <is>
          <t>-</t>
        </is>
      </c>
      <c r="W15" s="15" t="inlineStr">
        <is>
          <t>-</t>
        </is>
      </c>
      <c r="X15" s="15" t="inlineStr">
        <is>
          <t>-</t>
        </is>
      </c>
      <c r="Y15" s="15" t="inlineStr">
        <is>
          <t>-</t>
        </is>
      </c>
      <c r="Z15" s="15" t="inlineStr">
        <is>
          <t>-</t>
        </is>
      </c>
      <c r="AA15" s="15" t="inlineStr">
        <is>
          <t>-</t>
        </is>
      </c>
      <c r="AB15" s="15" t="inlineStr">
        <is>
          <t>-</t>
        </is>
      </c>
      <c r="AC15" s="15" t="inlineStr">
        <is>
          <t>-</t>
        </is>
      </c>
      <c r="AD15" s="15" t="inlineStr">
        <is>
          <t>-</t>
        </is>
      </c>
      <c r="AE15" s="15" t="inlineStr">
        <is>
          <t>-</t>
        </is>
      </c>
      <c r="AF15" s="14" t="n">
        <v>0.01</v>
      </c>
    </row>
    <row r="16">
      <c r="A16" s="20" t="n"/>
      <c r="B16" s="11" t="inlineStr">
        <is>
          <t>Travailleur indépendant libéral (avocat, médecin, expert comptable, architecte, etc.)</t>
        </is>
      </c>
      <c r="C16" s="12" t="n">
        <v>130</v>
      </c>
      <c r="D16" s="12" t="n">
        <v>2</v>
      </c>
      <c r="E16" s="12" t="n">
        <v>1</v>
      </c>
      <c r="F16" s="12" t="n">
        <v>6</v>
      </c>
      <c r="G16" s="12" t="n">
        <v>5</v>
      </c>
      <c r="H16" s="12" t="n">
        <v>12</v>
      </c>
      <c r="I16" s="12" t="n">
        <v>12</v>
      </c>
      <c r="J16" s="12" t="n">
        <v>0</v>
      </c>
      <c r="K16" s="12" t="n">
        <v>4</v>
      </c>
      <c r="L16" s="12" t="n">
        <v>2</v>
      </c>
      <c r="M16" s="12" t="n">
        <v>3</v>
      </c>
      <c r="N16" s="12" t="n">
        <v>3</v>
      </c>
      <c r="O16" s="12" t="n">
        <v>4</v>
      </c>
      <c r="P16" s="12" t="n">
        <v>0</v>
      </c>
      <c r="Q16" s="12" t="n">
        <v>5</v>
      </c>
      <c r="R16" s="12" t="n">
        <v>2</v>
      </c>
      <c r="S16" s="12" t="n">
        <v>5</v>
      </c>
      <c r="T16" s="12" t="n">
        <v>2</v>
      </c>
      <c r="U16" s="12" t="n">
        <v>5</v>
      </c>
      <c r="V16" s="12" t="n">
        <v>0</v>
      </c>
      <c r="W16" s="12" t="n">
        <v>4</v>
      </c>
      <c r="X16" s="12" t="n">
        <v>14</v>
      </c>
      <c r="Y16" s="12" t="n">
        <v>4</v>
      </c>
      <c r="Z16" s="12" t="n">
        <v>4</v>
      </c>
      <c r="AA16" s="12" t="n">
        <v>1</v>
      </c>
      <c r="AB16" s="12" t="n">
        <v>0</v>
      </c>
      <c r="AC16" s="12" t="n">
        <v>3</v>
      </c>
      <c r="AD16" s="12" t="n">
        <v>1</v>
      </c>
      <c r="AE16" s="12" t="n">
        <v>4</v>
      </c>
      <c r="AF16" s="12" t="n">
        <v>16</v>
      </c>
    </row>
    <row r="17">
      <c r="A17" s="20" t="n"/>
      <c r="B17" s="13" t="inlineStr">
        <is>
          <t>Self-employed professional (lawyer, medical practitioner, accountant, architect, etc.)</t>
        </is>
      </c>
      <c r="C17" s="14" t="n">
        <v>0.01</v>
      </c>
      <c r="D17" s="15" t="inlineStr">
        <is>
          <t>-</t>
        </is>
      </c>
      <c r="E17" s="15" t="inlineStr">
        <is>
          <t>-</t>
        </is>
      </c>
      <c r="F17" s="14" t="n">
        <v>0.02</v>
      </c>
      <c r="G17" s="14" t="n">
        <v>0.01</v>
      </c>
      <c r="H17" s="14" t="n">
        <v>0.02</v>
      </c>
      <c r="I17" s="14" t="n">
        <v>0.02</v>
      </c>
      <c r="J17" s="15" t="inlineStr">
        <is>
          <t>-</t>
        </is>
      </c>
      <c r="K17" s="14" t="n">
        <v>0.01</v>
      </c>
      <c r="L17" s="15" t="inlineStr">
        <is>
          <t>-</t>
        </is>
      </c>
      <c r="M17" s="14" t="n">
        <v>0.01</v>
      </c>
      <c r="N17" s="14" t="n">
        <v>0.01</v>
      </c>
      <c r="O17" s="14" t="n">
        <v>0.01</v>
      </c>
      <c r="P17" s="15" t="inlineStr">
        <is>
          <t>-</t>
        </is>
      </c>
      <c r="Q17" s="14" t="n">
        <v>0.01</v>
      </c>
      <c r="R17" s="14" t="n">
        <v>0.01</v>
      </c>
      <c r="S17" s="14" t="n">
        <v>0.01</v>
      </c>
      <c r="T17" s="15" t="inlineStr">
        <is>
          <t>-</t>
        </is>
      </c>
      <c r="U17" s="14" t="n">
        <v>0.02</v>
      </c>
      <c r="V17" s="15" t="inlineStr">
        <is>
          <t>-</t>
        </is>
      </c>
      <c r="W17" s="14" t="n">
        <v>0.02</v>
      </c>
      <c r="X17" s="14" t="n">
        <v>0.03</v>
      </c>
      <c r="Y17" s="14" t="n">
        <v>0.01</v>
      </c>
      <c r="Z17" s="14" t="n">
        <v>0.01</v>
      </c>
      <c r="AA17" s="15" t="inlineStr">
        <is>
          <t>-</t>
        </is>
      </c>
      <c r="AB17" s="15" t="inlineStr">
        <is>
          <t>-</t>
        </is>
      </c>
      <c r="AC17" s="14" t="n">
        <v>0.01</v>
      </c>
      <c r="AD17" s="15" t="inlineStr">
        <is>
          <t>-</t>
        </is>
      </c>
      <c r="AE17" s="14" t="n">
        <v>0.01</v>
      </c>
      <c r="AF17" s="14" t="n">
        <v>0.04</v>
      </c>
    </row>
    <row r="18">
      <c r="A18" s="20" t="n"/>
      <c r="B18" s="11" t="inlineStr">
        <is>
          <t>Commerçant ou propriétaire d’un magasin, artisan ou autre travailleur indépendant</t>
        </is>
      </c>
      <c r="C18" s="12" t="n">
        <v>293</v>
      </c>
      <c r="D18" s="12" t="n">
        <v>17</v>
      </c>
      <c r="E18" s="12" t="n">
        <v>5</v>
      </c>
      <c r="F18" s="12" t="n">
        <v>15</v>
      </c>
      <c r="G18" s="12" t="n">
        <v>3</v>
      </c>
      <c r="H18" s="12" t="n">
        <v>11</v>
      </c>
      <c r="I18" s="12" t="n">
        <v>13</v>
      </c>
      <c r="J18" s="12" t="n">
        <v>2</v>
      </c>
      <c r="K18" s="12" t="n">
        <v>3</v>
      </c>
      <c r="L18" s="12" t="n">
        <v>5</v>
      </c>
      <c r="M18" s="12" t="n">
        <v>31</v>
      </c>
      <c r="N18" s="12" t="n">
        <v>9</v>
      </c>
      <c r="O18" s="12" t="n">
        <v>13</v>
      </c>
      <c r="P18" s="12" t="n">
        <v>11</v>
      </c>
      <c r="Q18" s="12" t="n">
        <v>25</v>
      </c>
      <c r="R18" s="12" t="n">
        <v>6</v>
      </c>
      <c r="S18" s="12" t="n">
        <v>3</v>
      </c>
      <c r="T18" s="12" t="n">
        <v>2</v>
      </c>
      <c r="U18" s="12" t="n">
        <v>7</v>
      </c>
      <c r="V18" s="12" t="n">
        <v>6</v>
      </c>
      <c r="W18" s="12" t="n">
        <v>2</v>
      </c>
      <c r="X18" s="12" t="n">
        <v>6</v>
      </c>
      <c r="Y18" s="12" t="n">
        <v>17</v>
      </c>
      <c r="Z18" s="12" t="n">
        <v>3</v>
      </c>
      <c r="AA18" s="12" t="n">
        <v>11</v>
      </c>
      <c r="AB18" s="12" t="n">
        <v>2</v>
      </c>
      <c r="AC18" s="12" t="n">
        <v>6</v>
      </c>
      <c r="AD18" s="12" t="n">
        <v>7</v>
      </c>
      <c r="AE18" s="12" t="n">
        <v>6</v>
      </c>
      <c r="AF18" s="12" t="n">
        <v>3</v>
      </c>
    </row>
    <row r="19">
      <c r="A19" s="20" t="n"/>
      <c r="B19" s="13" t="inlineStr">
        <is>
          <t>Owner of a shop, craftsmen, other self-employed person</t>
        </is>
      </c>
      <c r="C19" s="14" t="n">
        <v>0.03</v>
      </c>
      <c r="D19" s="14" t="n">
        <v>0.03</v>
      </c>
      <c r="E19" s="14" t="n">
        <v>0.01</v>
      </c>
      <c r="F19" s="14" t="n">
        <v>0.04</v>
      </c>
      <c r="G19" s="14" t="n">
        <v>0.01</v>
      </c>
      <c r="H19" s="14" t="n">
        <v>0.02</v>
      </c>
      <c r="I19" s="14" t="n">
        <v>0.02</v>
      </c>
      <c r="J19" s="14" t="n">
        <v>0.02</v>
      </c>
      <c r="K19" s="14" t="n">
        <v>0.01</v>
      </c>
      <c r="L19" s="14" t="n">
        <v>0.01</v>
      </c>
      <c r="M19" s="14" t="n">
        <v>0.07000000000000001</v>
      </c>
      <c r="N19" s="14" t="n">
        <v>0.02</v>
      </c>
      <c r="O19" s="14" t="n">
        <v>0.03</v>
      </c>
      <c r="P19" s="14" t="n">
        <v>0.03</v>
      </c>
      <c r="Q19" s="14" t="n">
        <v>0.05</v>
      </c>
      <c r="R19" s="14" t="n">
        <v>0.03</v>
      </c>
      <c r="S19" s="14" t="n">
        <v>0.01</v>
      </c>
      <c r="T19" s="14" t="n">
        <v>0.01</v>
      </c>
      <c r="U19" s="14" t="n">
        <v>0.04</v>
      </c>
      <c r="V19" s="14" t="n">
        <v>0.02</v>
      </c>
      <c r="W19" s="14" t="n">
        <v>0.01</v>
      </c>
      <c r="X19" s="14" t="n">
        <v>0.01</v>
      </c>
      <c r="Y19" s="14" t="n">
        <v>0.04</v>
      </c>
      <c r="Z19" s="14" t="n">
        <v>0.01</v>
      </c>
      <c r="AA19" s="14" t="n">
        <v>0.03</v>
      </c>
      <c r="AB19" s="14" t="n">
        <v>0.01</v>
      </c>
      <c r="AC19" s="14" t="n">
        <v>0.01</v>
      </c>
      <c r="AD19" s="14" t="n">
        <v>0.02</v>
      </c>
      <c r="AE19" s="14" t="n">
        <v>0.01</v>
      </c>
      <c r="AF19" s="14" t="n">
        <v>0.01</v>
      </c>
    </row>
    <row r="20">
      <c r="A20" s="20" t="n"/>
      <c r="B20" s="11" t="inlineStr">
        <is>
          <t>Industriel, propriétaire (en tout ou en partie) d’une entreprise</t>
        </is>
      </c>
      <c r="C20" s="12" t="n">
        <v>152</v>
      </c>
      <c r="D20" s="12" t="n">
        <v>2</v>
      </c>
      <c r="E20" s="12" t="n">
        <v>4</v>
      </c>
      <c r="F20" s="12" t="n">
        <v>4</v>
      </c>
      <c r="G20" s="12" t="n">
        <v>18</v>
      </c>
      <c r="H20" s="12" t="n">
        <v>11</v>
      </c>
      <c r="I20" s="12" t="n">
        <v>15</v>
      </c>
      <c r="J20" s="12" t="n">
        <v>4</v>
      </c>
      <c r="K20" s="12" t="n">
        <v>9</v>
      </c>
      <c r="L20" s="12" t="n">
        <v>2</v>
      </c>
      <c r="M20" s="12" t="n">
        <v>4</v>
      </c>
      <c r="N20" s="12" t="n">
        <v>10</v>
      </c>
      <c r="O20" s="12" t="n">
        <v>3</v>
      </c>
      <c r="P20" s="12" t="n">
        <v>7</v>
      </c>
      <c r="Q20" s="12" t="n">
        <v>2</v>
      </c>
      <c r="R20" s="12" t="n">
        <v>5</v>
      </c>
      <c r="S20" s="12" t="n">
        <v>6</v>
      </c>
      <c r="T20" s="12" t="n">
        <v>4</v>
      </c>
      <c r="U20" s="12" t="n">
        <v>2</v>
      </c>
      <c r="V20" s="12" t="n">
        <v>3</v>
      </c>
      <c r="W20" s="12" t="n">
        <v>3</v>
      </c>
      <c r="X20" s="12" t="n">
        <v>10</v>
      </c>
      <c r="Y20" s="12" t="n">
        <v>7</v>
      </c>
      <c r="Z20" s="12" t="n">
        <v>0</v>
      </c>
      <c r="AA20" s="12" t="n">
        <v>3</v>
      </c>
      <c r="AB20" s="12" t="n">
        <v>1</v>
      </c>
      <c r="AC20" s="12" t="n">
        <v>8</v>
      </c>
      <c r="AD20" s="12" t="n">
        <v>2</v>
      </c>
      <c r="AE20" s="12" t="n">
        <v>20</v>
      </c>
      <c r="AF20" s="12" t="n">
        <v>12</v>
      </c>
    </row>
    <row r="21">
      <c r="A21" s="20" t="n"/>
      <c r="B21" s="13" t="inlineStr">
        <is>
          <t>Business proprietors, owner (full or partner) of a company</t>
        </is>
      </c>
      <c r="C21" s="14" t="n">
        <v>0.01</v>
      </c>
      <c r="D21" s="15" t="inlineStr">
        <is>
          <t>-</t>
        </is>
      </c>
      <c r="E21" s="14" t="n">
        <v>0.01</v>
      </c>
      <c r="F21" s="14" t="n">
        <v>0.01</v>
      </c>
      <c r="G21" s="14" t="n">
        <v>0.04</v>
      </c>
      <c r="H21" s="14" t="n">
        <v>0.02</v>
      </c>
      <c r="I21" s="14" t="n">
        <v>0.02</v>
      </c>
      <c r="J21" s="14" t="n">
        <v>0.03</v>
      </c>
      <c r="K21" s="14" t="n">
        <v>0.02</v>
      </c>
      <c r="L21" s="15" t="inlineStr">
        <is>
          <t>-</t>
        </is>
      </c>
      <c r="M21" s="14" t="n">
        <v>0.01</v>
      </c>
      <c r="N21" s="14" t="n">
        <v>0.02</v>
      </c>
      <c r="O21" s="14" t="n">
        <v>0.01</v>
      </c>
      <c r="P21" s="14" t="n">
        <v>0.02</v>
      </c>
      <c r="Q21" s="15" t="inlineStr">
        <is>
          <t>-</t>
        </is>
      </c>
      <c r="R21" s="14" t="n">
        <v>0.03</v>
      </c>
      <c r="S21" s="14" t="n">
        <v>0.01</v>
      </c>
      <c r="T21" s="14" t="n">
        <v>0.01</v>
      </c>
      <c r="U21" s="14" t="n">
        <v>0.01</v>
      </c>
      <c r="V21" s="14" t="n">
        <v>0.01</v>
      </c>
      <c r="W21" s="14" t="n">
        <v>0.02</v>
      </c>
      <c r="X21" s="14" t="n">
        <v>0.02</v>
      </c>
      <c r="Y21" s="14" t="n">
        <v>0.02</v>
      </c>
      <c r="Z21" s="15" t="inlineStr">
        <is>
          <t>-</t>
        </is>
      </c>
      <c r="AA21" s="14" t="n">
        <v>0.01</v>
      </c>
      <c r="AB21" s="15" t="inlineStr">
        <is>
          <t>-</t>
        </is>
      </c>
      <c r="AC21" s="14" t="n">
        <v>0.02</v>
      </c>
      <c r="AD21" s="14" t="n">
        <v>0.01</v>
      </c>
      <c r="AE21" s="14" t="n">
        <v>0.05</v>
      </c>
      <c r="AF21" s="14" t="n">
        <v>0.03</v>
      </c>
    </row>
    <row r="22">
      <c r="A22" s="20" t="n"/>
      <c r="B22" s="11" t="inlineStr">
        <is>
          <t>Profession libérale salariée (docteur, avocat, comptable, architecte, etc.)</t>
        </is>
      </c>
      <c r="C22" s="12" t="n">
        <v>198</v>
      </c>
      <c r="D22" s="12" t="n">
        <v>4</v>
      </c>
      <c r="E22" s="12" t="n">
        <v>3</v>
      </c>
      <c r="F22" s="12" t="n">
        <v>4</v>
      </c>
      <c r="G22" s="12" t="n">
        <v>8</v>
      </c>
      <c r="H22" s="12" t="n">
        <v>10</v>
      </c>
      <c r="I22" s="12" t="n">
        <v>14</v>
      </c>
      <c r="J22" s="12" t="n">
        <v>3</v>
      </c>
      <c r="K22" s="12" t="n">
        <v>16</v>
      </c>
      <c r="L22" s="12" t="n">
        <v>16</v>
      </c>
      <c r="M22" s="12" t="n">
        <v>4</v>
      </c>
      <c r="N22" s="12" t="n">
        <v>10</v>
      </c>
      <c r="O22" s="12" t="n">
        <v>4</v>
      </c>
      <c r="P22" s="12" t="n">
        <v>9</v>
      </c>
      <c r="Q22" s="12" t="n">
        <v>0</v>
      </c>
      <c r="R22" s="12" t="n">
        <v>1</v>
      </c>
      <c r="S22" s="12" t="n">
        <v>27</v>
      </c>
      <c r="T22" s="12" t="n">
        <v>25</v>
      </c>
      <c r="U22" s="12" t="n">
        <v>3</v>
      </c>
      <c r="V22" s="12" t="n">
        <v>11</v>
      </c>
      <c r="W22" s="12" t="n">
        <v>4</v>
      </c>
      <c r="X22" s="12" t="n">
        <v>6</v>
      </c>
      <c r="Y22" s="12" t="n">
        <v>2</v>
      </c>
      <c r="Z22" s="12" t="n">
        <v>6</v>
      </c>
      <c r="AA22" s="12" t="n">
        <v>7</v>
      </c>
      <c r="AB22" s="12" t="n">
        <v>13</v>
      </c>
      <c r="AC22" s="12" t="n">
        <v>9</v>
      </c>
      <c r="AD22" s="12" t="n">
        <v>9</v>
      </c>
      <c r="AE22" s="12" t="n">
        <v>14</v>
      </c>
      <c r="AF22" s="12" t="n">
        <v>46</v>
      </c>
    </row>
    <row r="23">
      <c r="A23" s="20" t="n"/>
      <c r="B23" s="13" t="inlineStr">
        <is>
          <t>Employed professional (employed doctor, lawyer, accountant, architect)</t>
        </is>
      </c>
      <c r="C23" s="14" t="n">
        <v>0.02</v>
      </c>
      <c r="D23" s="14" t="n">
        <v>0.01</v>
      </c>
      <c r="E23" s="14" t="n">
        <v>0.01</v>
      </c>
      <c r="F23" s="14" t="n">
        <v>0.01</v>
      </c>
      <c r="G23" s="14" t="n">
        <v>0.02</v>
      </c>
      <c r="H23" s="14" t="n">
        <v>0.02</v>
      </c>
      <c r="I23" s="14" t="n">
        <v>0.02</v>
      </c>
      <c r="J23" s="14" t="n">
        <v>0.03</v>
      </c>
      <c r="K23" s="14" t="n">
        <v>0.04</v>
      </c>
      <c r="L23" s="14" t="n">
        <v>0.04</v>
      </c>
      <c r="M23" s="14" t="n">
        <v>0.01</v>
      </c>
      <c r="N23" s="14" t="n">
        <v>0.02</v>
      </c>
      <c r="O23" s="14" t="n">
        <v>0.01</v>
      </c>
      <c r="P23" s="14" t="n">
        <v>0.02</v>
      </c>
      <c r="Q23" s="15" t="inlineStr">
        <is>
          <t>-</t>
        </is>
      </c>
      <c r="R23" s="14" t="n">
        <v>0.01</v>
      </c>
      <c r="S23" s="14" t="n">
        <v>0.06</v>
      </c>
      <c r="T23" s="14" t="n">
        <v>0.05</v>
      </c>
      <c r="U23" s="14" t="n">
        <v>0.01</v>
      </c>
      <c r="V23" s="14" t="n">
        <v>0.04</v>
      </c>
      <c r="W23" s="14" t="n">
        <v>0.02</v>
      </c>
      <c r="X23" s="14" t="n">
        <v>0.01</v>
      </c>
      <c r="Y23" s="14" t="n">
        <v>0.01</v>
      </c>
      <c r="Z23" s="14" t="n">
        <v>0.01</v>
      </c>
      <c r="AA23" s="14" t="n">
        <v>0.02</v>
      </c>
      <c r="AB23" s="14" t="n">
        <v>0.03</v>
      </c>
      <c r="AC23" s="14" t="n">
        <v>0.02</v>
      </c>
      <c r="AD23" s="14" t="n">
        <v>0.02</v>
      </c>
      <c r="AE23" s="14" t="n">
        <v>0.03</v>
      </c>
      <c r="AF23" s="14" t="n">
        <v>0.11</v>
      </c>
    </row>
    <row r="24">
      <c r="A24" s="20" t="n"/>
      <c r="B24" s="11" t="inlineStr">
        <is>
          <t>Directeur, cadre dirigeant ou cadre supérieur salarié (directeur général, directeur exécutif, etc.)</t>
        </is>
      </c>
      <c r="C24" s="12" t="n">
        <v>257</v>
      </c>
      <c r="D24" s="12" t="n">
        <v>12</v>
      </c>
      <c r="E24" s="12" t="n">
        <v>4</v>
      </c>
      <c r="F24" s="12" t="n">
        <v>6</v>
      </c>
      <c r="G24" s="12" t="n">
        <v>24</v>
      </c>
      <c r="H24" s="12" t="n">
        <v>21</v>
      </c>
      <c r="I24" s="12" t="n">
        <v>27</v>
      </c>
      <c r="J24" s="12" t="n">
        <v>6</v>
      </c>
      <c r="K24" s="12" t="n">
        <v>10</v>
      </c>
      <c r="L24" s="12" t="n">
        <v>9</v>
      </c>
      <c r="M24" s="12" t="n">
        <v>6</v>
      </c>
      <c r="N24" s="12" t="n">
        <v>1</v>
      </c>
      <c r="O24" s="12" t="n">
        <v>16</v>
      </c>
      <c r="P24" s="12" t="n">
        <v>3</v>
      </c>
      <c r="Q24" s="12" t="n">
        <v>3</v>
      </c>
      <c r="R24" s="12" t="n">
        <v>6</v>
      </c>
      <c r="S24" s="12" t="n">
        <v>6</v>
      </c>
      <c r="T24" s="12" t="n">
        <v>5</v>
      </c>
      <c r="U24" s="12" t="n">
        <v>16</v>
      </c>
      <c r="V24" s="12" t="n">
        <v>4</v>
      </c>
      <c r="W24" s="12" t="n">
        <v>7</v>
      </c>
      <c r="X24" s="12" t="n">
        <v>18</v>
      </c>
      <c r="Y24" s="12" t="n">
        <v>10</v>
      </c>
      <c r="Z24" s="12" t="n">
        <v>8</v>
      </c>
      <c r="AA24" s="12" t="n">
        <v>2</v>
      </c>
      <c r="AB24" s="12" t="n">
        <v>0</v>
      </c>
      <c r="AC24" s="12" t="n">
        <v>9</v>
      </c>
      <c r="AD24" s="12" t="n">
        <v>0</v>
      </c>
      <c r="AE24" s="12" t="n">
        <v>14</v>
      </c>
      <c r="AF24" s="12" t="n">
        <v>15</v>
      </c>
    </row>
    <row r="25">
      <c r="A25" s="20" t="n"/>
      <c r="B25" s="13" t="inlineStr">
        <is>
          <t>Employed position, general management, director or top management (managing directors, director general, other director)</t>
        </is>
      </c>
      <c r="C25" s="14" t="n">
        <v>0.02</v>
      </c>
      <c r="D25" s="14" t="n">
        <v>0.02</v>
      </c>
      <c r="E25" s="14" t="n">
        <v>0.01</v>
      </c>
      <c r="F25" s="14" t="n">
        <v>0.02</v>
      </c>
      <c r="G25" s="14" t="n">
        <v>0.06</v>
      </c>
      <c r="H25" s="14" t="n">
        <v>0.04</v>
      </c>
      <c r="I25" s="14" t="n">
        <v>0.04</v>
      </c>
      <c r="J25" s="14" t="n">
        <v>0.05</v>
      </c>
      <c r="K25" s="14" t="n">
        <v>0.02</v>
      </c>
      <c r="L25" s="14" t="n">
        <v>0.02</v>
      </c>
      <c r="M25" s="14" t="n">
        <v>0.02</v>
      </c>
      <c r="N25" s="15" t="inlineStr">
        <is>
          <t>-</t>
        </is>
      </c>
      <c r="O25" s="14" t="n">
        <v>0.03</v>
      </c>
      <c r="P25" s="14" t="n">
        <v>0.01</v>
      </c>
      <c r="Q25" s="14" t="n">
        <v>0.01</v>
      </c>
      <c r="R25" s="14" t="n">
        <v>0.04</v>
      </c>
      <c r="S25" s="14" t="n">
        <v>0.02</v>
      </c>
      <c r="T25" s="14" t="n">
        <v>0.01</v>
      </c>
      <c r="U25" s="14" t="n">
        <v>0.08</v>
      </c>
      <c r="V25" s="14" t="n">
        <v>0.01</v>
      </c>
      <c r="W25" s="14" t="n">
        <v>0.04</v>
      </c>
      <c r="X25" s="14" t="n">
        <v>0.04</v>
      </c>
      <c r="Y25" s="14" t="n">
        <v>0.02</v>
      </c>
      <c r="Z25" s="14" t="n">
        <v>0.02</v>
      </c>
      <c r="AA25" s="14" t="n">
        <v>0.01</v>
      </c>
      <c r="AB25" s="15" t="inlineStr">
        <is>
          <t>-</t>
        </is>
      </c>
      <c r="AC25" s="14" t="n">
        <v>0.02</v>
      </c>
      <c r="AD25" s="15" t="inlineStr">
        <is>
          <t>-</t>
        </is>
      </c>
      <c r="AE25" s="14" t="n">
        <v>0.03</v>
      </c>
      <c r="AF25" s="14" t="n">
        <v>0.04</v>
      </c>
    </row>
    <row r="26">
      <c r="A26" s="20" t="n"/>
      <c r="B26" s="11" t="inlineStr">
        <is>
          <t>Cadre moyen salarié (chef de service, cadre junior, enseignant, technicien)</t>
        </is>
      </c>
      <c r="C26" s="12" t="n">
        <v>1099</v>
      </c>
      <c r="D26" s="12" t="n">
        <v>63</v>
      </c>
      <c r="E26" s="12" t="n">
        <v>33</v>
      </c>
      <c r="F26" s="12" t="n">
        <v>16</v>
      </c>
      <c r="G26" s="12" t="n">
        <v>63</v>
      </c>
      <c r="H26" s="12" t="n">
        <v>78</v>
      </c>
      <c r="I26" s="12" t="n">
        <v>96</v>
      </c>
      <c r="J26" s="12" t="n">
        <v>18</v>
      </c>
      <c r="K26" s="12" t="n">
        <v>35</v>
      </c>
      <c r="L26" s="12" t="n">
        <v>29</v>
      </c>
      <c r="M26" s="12" t="n">
        <v>19</v>
      </c>
      <c r="N26" s="12" t="n">
        <v>21</v>
      </c>
      <c r="O26" s="12" t="n">
        <v>65</v>
      </c>
      <c r="P26" s="12" t="n">
        <v>18</v>
      </c>
      <c r="Q26" s="12" t="n">
        <v>21</v>
      </c>
      <c r="R26" s="12" t="n">
        <v>15</v>
      </c>
      <c r="S26" s="12" t="n">
        <v>40</v>
      </c>
      <c r="T26" s="12" t="n">
        <v>27</v>
      </c>
      <c r="U26" s="12" t="n">
        <v>27</v>
      </c>
      <c r="V26" s="12" t="n">
        <v>15</v>
      </c>
      <c r="W26" s="12" t="n">
        <v>13</v>
      </c>
      <c r="X26" s="12" t="n">
        <v>113</v>
      </c>
      <c r="Y26" s="12" t="n">
        <v>19</v>
      </c>
      <c r="Z26" s="12" t="n">
        <v>14</v>
      </c>
      <c r="AA26" s="12" t="n">
        <v>16</v>
      </c>
      <c r="AB26" s="12" t="n">
        <v>6</v>
      </c>
      <c r="AC26" s="12" t="n">
        <v>42</v>
      </c>
      <c r="AD26" s="12" t="n">
        <v>31</v>
      </c>
      <c r="AE26" s="12" t="n">
        <v>76</v>
      </c>
      <c r="AF26" s="12" t="n">
        <v>91</v>
      </c>
    </row>
    <row r="27">
      <c r="A27" s="20" t="n"/>
      <c r="B27" s="13" t="inlineStr">
        <is>
          <t>Employed position, middle management, other management (department head, junior manager, teacher, technician)</t>
        </is>
      </c>
      <c r="C27" s="14" t="n">
        <v>0.09</v>
      </c>
      <c r="D27" s="14" t="n">
        <v>0.12</v>
      </c>
      <c r="E27" s="14" t="n">
        <v>0.08</v>
      </c>
      <c r="F27" s="14" t="n">
        <v>0.04</v>
      </c>
      <c r="G27" s="14" t="n">
        <v>0.16</v>
      </c>
      <c r="H27" s="14" t="n">
        <v>0.13</v>
      </c>
      <c r="I27" s="14" t="n">
        <v>0.14</v>
      </c>
      <c r="J27" s="14" t="n">
        <v>0.14</v>
      </c>
      <c r="K27" s="14" t="n">
        <v>0.09</v>
      </c>
      <c r="L27" s="14" t="n">
        <v>0.07000000000000001</v>
      </c>
      <c r="M27" s="14" t="n">
        <v>0.04</v>
      </c>
      <c r="N27" s="14" t="n">
        <v>0.05</v>
      </c>
      <c r="O27" s="14" t="n">
        <v>0.13</v>
      </c>
      <c r="P27" s="14" t="n">
        <v>0.04</v>
      </c>
      <c r="Q27" s="14" t="n">
        <v>0.05</v>
      </c>
      <c r="R27" s="14" t="n">
        <v>0.08</v>
      </c>
      <c r="S27" s="14" t="n">
        <v>0.1</v>
      </c>
      <c r="T27" s="14" t="n">
        <v>0.06</v>
      </c>
      <c r="U27" s="14" t="n">
        <v>0.13</v>
      </c>
      <c r="V27" s="14" t="n">
        <v>0.05</v>
      </c>
      <c r="W27" s="14" t="n">
        <v>0.08</v>
      </c>
      <c r="X27" s="14" t="n">
        <v>0.25</v>
      </c>
      <c r="Y27" s="14" t="n">
        <v>0.05</v>
      </c>
      <c r="Z27" s="14" t="n">
        <v>0.04</v>
      </c>
      <c r="AA27" s="14" t="n">
        <v>0.04</v>
      </c>
      <c r="AB27" s="14" t="n">
        <v>0.01</v>
      </c>
      <c r="AC27" s="14" t="n">
        <v>0.09</v>
      </c>
      <c r="AD27" s="14" t="n">
        <v>0.07000000000000001</v>
      </c>
      <c r="AE27" s="14" t="n">
        <v>0.17</v>
      </c>
      <c r="AF27" s="14" t="n">
        <v>0.22</v>
      </c>
    </row>
    <row r="28">
      <c r="A28" s="20" t="n"/>
      <c r="B28" s="11" t="inlineStr">
        <is>
          <t>Employé travaillant la plupart du temps dans un bureau</t>
        </is>
      </c>
      <c r="C28" s="12" t="n">
        <v>1344</v>
      </c>
      <c r="D28" s="12" t="n">
        <v>88</v>
      </c>
      <c r="E28" s="12" t="n">
        <v>37</v>
      </c>
      <c r="F28" s="12" t="n">
        <v>104</v>
      </c>
      <c r="G28" s="12" t="n">
        <v>64</v>
      </c>
      <c r="H28" s="12" t="n">
        <v>89</v>
      </c>
      <c r="I28" s="12" t="n">
        <v>102</v>
      </c>
      <c r="J28" s="12" t="n">
        <v>13</v>
      </c>
      <c r="K28" s="12" t="n">
        <v>20</v>
      </c>
      <c r="L28" s="12" t="n">
        <v>54</v>
      </c>
      <c r="M28" s="12" t="n">
        <v>30</v>
      </c>
      <c r="N28" s="12" t="n">
        <v>24</v>
      </c>
      <c r="O28" s="12" t="n">
        <v>60</v>
      </c>
      <c r="P28" s="12" t="n">
        <v>49</v>
      </c>
      <c r="Q28" s="12" t="n">
        <v>56</v>
      </c>
      <c r="R28" s="12" t="n">
        <v>23</v>
      </c>
      <c r="S28" s="12" t="n">
        <v>18</v>
      </c>
      <c r="T28" s="12" t="n">
        <v>27</v>
      </c>
      <c r="U28" s="12" t="n">
        <v>36</v>
      </c>
      <c r="V28" s="12" t="n">
        <v>37</v>
      </c>
      <c r="W28" s="12" t="n">
        <v>16</v>
      </c>
      <c r="X28" s="12" t="n">
        <v>69</v>
      </c>
      <c r="Y28" s="12" t="n">
        <v>50</v>
      </c>
      <c r="Z28" s="12" t="n">
        <v>28</v>
      </c>
      <c r="AA28" s="12" t="n">
        <v>17</v>
      </c>
      <c r="AB28" s="12" t="n">
        <v>32</v>
      </c>
      <c r="AC28" s="12" t="n">
        <v>54</v>
      </c>
      <c r="AD28" s="12" t="n">
        <v>51</v>
      </c>
      <c r="AE28" s="12" t="n">
        <v>52</v>
      </c>
      <c r="AF28" s="12" t="n">
        <v>60</v>
      </c>
    </row>
    <row r="29">
      <c r="A29" s="20" t="n"/>
      <c r="B29" s="13" t="inlineStr">
        <is>
          <t>Employed position, working mainly at a desk</t>
        </is>
      </c>
      <c r="C29" s="14" t="n">
        <v>0.12</v>
      </c>
      <c r="D29" s="14" t="n">
        <v>0.17</v>
      </c>
      <c r="E29" s="14" t="n">
        <v>0.09</v>
      </c>
      <c r="F29" s="14" t="n">
        <v>0.25</v>
      </c>
      <c r="G29" s="14" t="n">
        <v>0.16</v>
      </c>
      <c r="H29" s="14" t="n">
        <v>0.15</v>
      </c>
      <c r="I29" s="14" t="n">
        <v>0.14</v>
      </c>
      <c r="J29" s="14" t="n">
        <v>0.1</v>
      </c>
      <c r="K29" s="14" t="n">
        <v>0.05</v>
      </c>
      <c r="L29" s="14" t="n">
        <v>0.13</v>
      </c>
      <c r="M29" s="14" t="n">
        <v>0.07000000000000001</v>
      </c>
      <c r="N29" s="14" t="n">
        <v>0.05</v>
      </c>
      <c r="O29" s="14" t="n">
        <v>0.12</v>
      </c>
      <c r="P29" s="14" t="n">
        <v>0.12</v>
      </c>
      <c r="Q29" s="14" t="n">
        <v>0.12</v>
      </c>
      <c r="R29" s="14" t="n">
        <v>0.13</v>
      </c>
      <c r="S29" s="14" t="n">
        <v>0.04</v>
      </c>
      <c r="T29" s="14" t="n">
        <v>0.06</v>
      </c>
      <c r="U29" s="14" t="n">
        <v>0.18</v>
      </c>
      <c r="V29" s="14" t="n">
        <v>0.12</v>
      </c>
      <c r="W29" s="14" t="n">
        <v>0.09</v>
      </c>
      <c r="X29" s="14" t="n">
        <v>0.15</v>
      </c>
      <c r="Y29" s="14" t="n">
        <v>0.12</v>
      </c>
      <c r="Z29" s="14" t="n">
        <v>0.07000000000000001</v>
      </c>
      <c r="AA29" s="14" t="n">
        <v>0.04</v>
      </c>
      <c r="AB29" s="14" t="n">
        <v>0.07000000000000001</v>
      </c>
      <c r="AC29" s="14" t="n">
        <v>0.12</v>
      </c>
      <c r="AD29" s="14" t="n">
        <v>0.12</v>
      </c>
      <c r="AE29" s="14" t="n">
        <v>0.12</v>
      </c>
      <c r="AF29" s="14" t="n">
        <v>0.14</v>
      </c>
    </row>
    <row r="30">
      <c r="A30" s="20" t="n"/>
      <c r="B30" s="11" t="inlineStr">
        <is>
          <t>Employé ne travaillant pas dans un bureau, mais voyageant (vendeur, chauffeur, représentant, etc.)</t>
        </is>
      </c>
      <c r="C30" s="12" t="n">
        <v>492</v>
      </c>
      <c r="D30" s="12" t="n">
        <v>42</v>
      </c>
      <c r="E30" s="12" t="n">
        <v>14</v>
      </c>
      <c r="F30" s="12" t="n">
        <v>14</v>
      </c>
      <c r="G30" s="12" t="n">
        <v>14</v>
      </c>
      <c r="H30" s="12" t="n">
        <v>27</v>
      </c>
      <c r="I30" s="12" t="n">
        <v>30</v>
      </c>
      <c r="J30" s="12" t="n">
        <v>3</v>
      </c>
      <c r="K30" s="12" t="n">
        <v>25</v>
      </c>
      <c r="L30" s="12" t="n">
        <v>12</v>
      </c>
      <c r="M30" s="12" t="n">
        <v>28</v>
      </c>
      <c r="N30" s="12" t="n">
        <v>16</v>
      </c>
      <c r="O30" s="12" t="n">
        <v>29</v>
      </c>
      <c r="P30" s="12" t="n">
        <v>18</v>
      </c>
      <c r="Q30" s="12" t="n">
        <v>11</v>
      </c>
      <c r="R30" s="12" t="n">
        <v>23</v>
      </c>
      <c r="S30" s="12" t="n">
        <v>23</v>
      </c>
      <c r="T30" s="12" t="n">
        <v>24</v>
      </c>
      <c r="U30" s="12" t="n">
        <v>9</v>
      </c>
      <c r="V30" s="12" t="n">
        <v>8</v>
      </c>
      <c r="W30" s="12" t="n">
        <v>10</v>
      </c>
      <c r="X30" s="12" t="n">
        <v>16</v>
      </c>
      <c r="Y30" s="12" t="n">
        <v>8</v>
      </c>
      <c r="Z30" s="12" t="n">
        <v>20</v>
      </c>
      <c r="AA30" s="12" t="n">
        <v>14</v>
      </c>
      <c r="AB30" s="12" t="n">
        <v>10</v>
      </c>
      <c r="AC30" s="12" t="n">
        <v>29</v>
      </c>
      <c r="AD30" s="12" t="n">
        <v>9</v>
      </c>
      <c r="AE30" s="12" t="n">
        <v>14</v>
      </c>
      <c r="AF30" s="12" t="n">
        <v>25</v>
      </c>
    </row>
    <row r="31">
      <c r="A31" s="20" t="n"/>
      <c r="B31" s="13" t="inlineStr">
        <is>
          <t>Employed position, not at a desk but travelling (salesmen, driver, etc.)</t>
        </is>
      </c>
      <c r="C31" s="14" t="n">
        <v>0.04</v>
      </c>
      <c r="D31" s="14" t="n">
        <v>0.08</v>
      </c>
      <c r="E31" s="14" t="n">
        <v>0.03</v>
      </c>
      <c r="F31" s="14" t="n">
        <v>0.03</v>
      </c>
      <c r="G31" s="14" t="n">
        <v>0.03</v>
      </c>
      <c r="H31" s="14" t="n">
        <v>0.05</v>
      </c>
      <c r="I31" s="14" t="n">
        <v>0.04</v>
      </c>
      <c r="J31" s="14" t="n">
        <v>0.02</v>
      </c>
      <c r="K31" s="14" t="n">
        <v>0.06</v>
      </c>
      <c r="L31" s="14" t="n">
        <v>0.03</v>
      </c>
      <c r="M31" s="14" t="n">
        <v>0.06</v>
      </c>
      <c r="N31" s="14" t="n">
        <v>0.04</v>
      </c>
      <c r="O31" s="14" t="n">
        <v>0.06</v>
      </c>
      <c r="P31" s="14" t="n">
        <v>0.04</v>
      </c>
      <c r="Q31" s="14" t="n">
        <v>0.03</v>
      </c>
      <c r="R31" s="14" t="n">
        <v>0.13</v>
      </c>
      <c r="S31" s="14" t="n">
        <v>0.06</v>
      </c>
      <c r="T31" s="14" t="n">
        <v>0.05</v>
      </c>
      <c r="U31" s="14" t="n">
        <v>0.04</v>
      </c>
      <c r="V31" s="14" t="n">
        <v>0.02</v>
      </c>
      <c r="W31" s="14" t="n">
        <v>0.06</v>
      </c>
      <c r="X31" s="14" t="n">
        <v>0.04</v>
      </c>
      <c r="Y31" s="14" t="n">
        <v>0.02</v>
      </c>
      <c r="Z31" s="14" t="n">
        <v>0.05</v>
      </c>
      <c r="AA31" s="14" t="n">
        <v>0.03</v>
      </c>
      <c r="AB31" s="14" t="n">
        <v>0.03</v>
      </c>
      <c r="AC31" s="14" t="n">
        <v>0.06</v>
      </c>
      <c r="AD31" s="14" t="n">
        <v>0.02</v>
      </c>
      <c r="AE31" s="14" t="n">
        <v>0.03</v>
      </c>
      <c r="AF31" s="14" t="n">
        <v>0.06</v>
      </c>
    </row>
    <row r="32">
      <c r="A32" s="20" t="n"/>
      <c r="B32" s="11" t="inlineStr">
        <is>
          <t>Employé ne travaillant pas dans un bureau, mais occupant un emploi dans les services (hôpital, restaurant, police, pompier, etc.)</t>
        </is>
      </c>
      <c r="C32" s="12" t="n">
        <v>1278</v>
      </c>
      <c r="D32" s="12" t="n">
        <v>72</v>
      </c>
      <c r="E32" s="12" t="n">
        <v>34</v>
      </c>
      <c r="F32" s="12" t="n">
        <v>21</v>
      </c>
      <c r="G32" s="12" t="n">
        <v>45</v>
      </c>
      <c r="H32" s="12" t="n">
        <v>59</v>
      </c>
      <c r="I32" s="12" t="n">
        <v>73</v>
      </c>
      <c r="J32" s="12" t="n">
        <v>13</v>
      </c>
      <c r="K32" s="12" t="n">
        <v>48</v>
      </c>
      <c r="L32" s="12" t="n">
        <v>51</v>
      </c>
      <c r="M32" s="12" t="n">
        <v>46</v>
      </c>
      <c r="N32" s="12" t="n">
        <v>46</v>
      </c>
      <c r="O32" s="12" t="n">
        <v>83</v>
      </c>
      <c r="P32" s="12" t="n">
        <v>61</v>
      </c>
      <c r="Q32" s="12" t="n">
        <v>16</v>
      </c>
      <c r="R32" s="12" t="n">
        <v>22</v>
      </c>
      <c r="S32" s="12" t="n">
        <v>67</v>
      </c>
      <c r="T32" s="12" t="n">
        <v>69</v>
      </c>
      <c r="U32" s="12" t="n">
        <v>35</v>
      </c>
      <c r="V32" s="12" t="n">
        <v>11</v>
      </c>
      <c r="W32" s="12" t="n">
        <v>12</v>
      </c>
      <c r="X32" s="12" t="n">
        <v>97</v>
      </c>
      <c r="Y32" s="12" t="n">
        <v>57</v>
      </c>
      <c r="Z32" s="12" t="n">
        <v>37</v>
      </c>
      <c r="AA32" s="12" t="n">
        <v>49</v>
      </c>
      <c r="AB32" s="12" t="n">
        <v>20</v>
      </c>
      <c r="AC32" s="12" t="n">
        <v>37</v>
      </c>
      <c r="AD32" s="12" t="n">
        <v>63</v>
      </c>
      <c r="AE32" s="12" t="n">
        <v>99</v>
      </c>
      <c r="AF32" s="12" t="n">
        <v>60</v>
      </c>
    </row>
    <row r="33">
      <c r="A33" s="20" t="n"/>
      <c r="B33" s="13" t="inlineStr">
        <is>
          <t>Employed position, not at a desk, but in a service job (hospital, restaurant, police, fireman, etc.)</t>
        </is>
      </c>
      <c r="C33" s="14" t="n">
        <v>0.11</v>
      </c>
      <c r="D33" s="14" t="n">
        <v>0.14</v>
      </c>
      <c r="E33" s="14" t="n">
        <v>0.08</v>
      </c>
      <c r="F33" s="14" t="n">
        <v>0.05</v>
      </c>
      <c r="G33" s="14" t="n">
        <v>0.11</v>
      </c>
      <c r="H33" s="14" t="n">
        <v>0.1</v>
      </c>
      <c r="I33" s="14" t="n">
        <v>0.1</v>
      </c>
      <c r="J33" s="14" t="n">
        <v>0.1</v>
      </c>
      <c r="K33" s="14" t="n">
        <v>0.12</v>
      </c>
      <c r="L33" s="14" t="n">
        <v>0.13</v>
      </c>
      <c r="M33" s="14" t="n">
        <v>0.11</v>
      </c>
      <c r="N33" s="14" t="n">
        <v>0.1</v>
      </c>
      <c r="O33" s="14" t="n">
        <v>0.16</v>
      </c>
      <c r="P33" s="14" t="n">
        <v>0.15</v>
      </c>
      <c r="Q33" s="14" t="n">
        <v>0.04</v>
      </c>
      <c r="R33" s="14" t="n">
        <v>0.12</v>
      </c>
      <c r="S33" s="14" t="n">
        <v>0.16</v>
      </c>
      <c r="T33" s="14" t="n">
        <v>0.15</v>
      </c>
      <c r="U33" s="14" t="n">
        <v>0.17</v>
      </c>
      <c r="V33" s="14" t="n">
        <v>0.03</v>
      </c>
      <c r="W33" s="14" t="n">
        <v>0.07000000000000001</v>
      </c>
      <c r="X33" s="14" t="n">
        <v>0.22</v>
      </c>
      <c r="Y33" s="14" t="n">
        <v>0.14</v>
      </c>
      <c r="Z33" s="14" t="n">
        <v>0.09</v>
      </c>
      <c r="AA33" s="14" t="n">
        <v>0.11</v>
      </c>
      <c r="AB33" s="14" t="n">
        <v>0.05</v>
      </c>
      <c r="AC33" s="14" t="n">
        <v>0.08</v>
      </c>
      <c r="AD33" s="14" t="n">
        <v>0.15</v>
      </c>
      <c r="AE33" s="14" t="n">
        <v>0.22</v>
      </c>
      <c r="AF33" s="14" t="n">
        <v>0.14</v>
      </c>
    </row>
    <row r="34">
      <c r="A34" s="20" t="n"/>
      <c r="B34" s="11" t="inlineStr">
        <is>
          <t>Contremaître, agent de maîtrise salarié</t>
        </is>
      </c>
      <c r="C34" s="12" t="n">
        <v>273</v>
      </c>
      <c r="D34" s="12" t="n">
        <v>12</v>
      </c>
      <c r="E34" s="12" t="n">
        <v>24</v>
      </c>
      <c r="F34" s="12" t="n">
        <v>10</v>
      </c>
      <c r="G34" s="12" t="n">
        <v>5</v>
      </c>
      <c r="H34" s="12" t="n">
        <v>16</v>
      </c>
      <c r="I34" s="12" t="n">
        <v>21</v>
      </c>
      <c r="J34" s="12" t="n">
        <v>5</v>
      </c>
      <c r="K34" s="12" t="n">
        <v>13</v>
      </c>
      <c r="L34" s="12" t="n">
        <v>7</v>
      </c>
      <c r="M34" s="12" t="n">
        <v>2</v>
      </c>
      <c r="N34" s="12" t="n">
        <v>7</v>
      </c>
      <c r="O34" s="12" t="n">
        <v>15</v>
      </c>
      <c r="P34" s="12" t="n">
        <v>18</v>
      </c>
      <c r="Q34" s="12" t="n">
        <v>5</v>
      </c>
      <c r="R34" s="12" t="n">
        <v>3</v>
      </c>
      <c r="S34" s="12" t="n">
        <v>12</v>
      </c>
      <c r="T34" s="12" t="n">
        <v>18</v>
      </c>
      <c r="U34" s="12" t="n">
        <v>0</v>
      </c>
      <c r="V34" s="12" t="n">
        <v>11</v>
      </c>
      <c r="W34" s="12" t="n">
        <v>6</v>
      </c>
      <c r="X34" s="12" t="n">
        <v>7</v>
      </c>
      <c r="Y34" s="12" t="n">
        <v>8</v>
      </c>
      <c r="Z34" s="12" t="n">
        <v>11</v>
      </c>
      <c r="AA34" s="12" t="n">
        <v>6</v>
      </c>
      <c r="AB34" s="12" t="n">
        <v>14</v>
      </c>
      <c r="AC34" s="12" t="n">
        <v>18</v>
      </c>
      <c r="AD34" s="12" t="n">
        <v>12</v>
      </c>
      <c r="AE34" s="12" t="n">
        <v>6</v>
      </c>
      <c r="AF34" s="12" t="n">
        <v>4</v>
      </c>
    </row>
    <row r="35">
      <c r="A35" s="20" t="n"/>
      <c r="B35" s="13" t="inlineStr">
        <is>
          <t>Employed position, supervisor</t>
        </is>
      </c>
      <c r="C35" s="14" t="n">
        <v>0.02</v>
      </c>
      <c r="D35" s="14" t="n">
        <v>0.02</v>
      </c>
      <c r="E35" s="14" t="n">
        <v>0.06</v>
      </c>
      <c r="F35" s="14" t="n">
        <v>0.02</v>
      </c>
      <c r="G35" s="14" t="n">
        <v>0.01</v>
      </c>
      <c r="H35" s="14" t="n">
        <v>0.03</v>
      </c>
      <c r="I35" s="14" t="n">
        <v>0.03</v>
      </c>
      <c r="J35" s="14" t="n">
        <v>0.04</v>
      </c>
      <c r="K35" s="14" t="n">
        <v>0.03</v>
      </c>
      <c r="L35" s="14" t="n">
        <v>0.02</v>
      </c>
      <c r="M35" s="15" t="inlineStr">
        <is>
          <t>-</t>
        </is>
      </c>
      <c r="N35" s="14" t="n">
        <v>0.02</v>
      </c>
      <c r="O35" s="14" t="n">
        <v>0.03</v>
      </c>
      <c r="P35" s="14" t="n">
        <v>0.04</v>
      </c>
      <c r="Q35" s="14" t="n">
        <v>0.01</v>
      </c>
      <c r="R35" s="14" t="n">
        <v>0.02</v>
      </c>
      <c r="S35" s="14" t="n">
        <v>0.03</v>
      </c>
      <c r="T35" s="14" t="n">
        <v>0.04</v>
      </c>
      <c r="U35" s="15" t="inlineStr">
        <is>
          <t>-</t>
        </is>
      </c>
      <c r="V35" s="14" t="n">
        <v>0.03</v>
      </c>
      <c r="W35" s="14" t="n">
        <v>0.03</v>
      </c>
      <c r="X35" s="14" t="n">
        <v>0.02</v>
      </c>
      <c r="Y35" s="14" t="n">
        <v>0.02</v>
      </c>
      <c r="Z35" s="14" t="n">
        <v>0.03</v>
      </c>
      <c r="AA35" s="14" t="n">
        <v>0.01</v>
      </c>
      <c r="AB35" s="14" t="n">
        <v>0.03</v>
      </c>
      <c r="AC35" s="14" t="n">
        <v>0.04</v>
      </c>
      <c r="AD35" s="14" t="n">
        <v>0.03</v>
      </c>
      <c r="AE35" s="14" t="n">
        <v>0.01</v>
      </c>
      <c r="AF35" s="14" t="n">
        <v>0.01</v>
      </c>
    </row>
    <row r="36">
      <c r="A36" s="20" t="n"/>
      <c r="B36" s="11" t="inlineStr">
        <is>
          <t>Ouvrier qualifié salarié</t>
        </is>
      </c>
      <c r="C36" s="12" t="n">
        <v>2297</v>
      </c>
      <c r="D36" s="12" t="n">
        <v>70</v>
      </c>
      <c r="E36" s="12" t="n">
        <v>97</v>
      </c>
      <c r="F36" s="12" t="n">
        <v>81</v>
      </c>
      <c r="G36" s="12" t="n">
        <v>38</v>
      </c>
      <c r="H36" s="12" t="n">
        <v>80</v>
      </c>
      <c r="I36" s="12" t="n">
        <v>103</v>
      </c>
      <c r="J36" s="12" t="n">
        <v>23</v>
      </c>
      <c r="K36" s="12" t="n">
        <v>93</v>
      </c>
      <c r="L36" s="12" t="n">
        <v>62</v>
      </c>
      <c r="M36" s="12" t="n">
        <v>62</v>
      </c>
      <c r="N36" s="12" t="n">
        <v>120</v>
      </c>
      <c r="O36" s="12" t="n">
        <v>83</v>
      </c>
      <c r="P36" s="12" t="n">
        <v>102</v>
      </c>
      <c r="Q36" s="12" t="n">
        <v>75</v>
      </c>
      <c r="R36" s="12" t="n">
        <v>28</v>
      </c>
      <c r="S36" s="12" t="n">
        <v>93</v>
      </c>
      <c r="T36" s="12" t="n">
        <v>109</v>
      </c>
      <c r="U36" s="12" t="n">
        <v>20</v>
      </c>
      <c r="V36" s="12" t="n">
        <v>113</v>
      </c>
      <c r="W36" s="12" t="n">
        <v>32</v>
      </c>
      <c r="X36" s="12" t="n">
        <v>24</v>
      </c>
      <c r="Y36" s="12" t="n">
        <v>70</v>
      </c>
      <c r="Z36" s="12" t="n">
        <v>152</v>
      </c>
      <c r="AA36" s="12" t="n">
        <v>100</v>
      </c>
      <c r="AB36" s="12" t="n">
        <v>168</v>
      </c>
      <c r="AC36" s="12" t="n">
        <v>73</v>
      </c>
      <c r="AD36" s="12" t="n">
        <v>110</v>
      </c>
      <c r="AE36" s="12" t="n">
        <v>67</v>
      </c>
      <c r="AF36" s="12" t="n">
        <v>32</v>
      </c>
    </row>
    <row r="37">
      <c r="A37" s="20" t="n"/>
      <c r="B37" s="13" t="inlineStr">
        <is>
          <t>Employed position, skilled manual worker</t>
        </is>
      </c>
      <c r="C37" s="14" t="n">
        <v>0.2</v>
      </c>
      <c r="D37" s="14" t="n">
        <v>0.13</v>
      </c>
      <c r="E37" s="14" t="n">
        <v>0.23</v>
      </c>
      <c r="F37" s="14" t="n">
        <v>0.19</v>
      </c>
      <c r="G37" s="14" t="n">
        <v>0.09</v>
      </c>
      <c r="H37" s="14" t="n">
        <v>0.14</v>
      </c>
      <c r="I37" s="14" t="n">
        <v>0.15</v>
      </c>
      <c r="J37" s="14" t="n">
        <v>0.18</v>
      </c>
      <c r="K37" s="14" t="n">
        <v>0.23</v>
      </c>
      <c r="L37" s="14" t="n">
        <v>0.16</v>
      </c>
      <c r="M37" s="14" t="n">
        <v>0.14</v>
      </c>
      <c r="N37" s="14" t="n">
        <v>0.27</v>
      </c>
      <c r="O37" s="14" t="n">
        <v>0.16</v>
      </c>
      <c r="P37" s="14" t="n">
        <v>0.25</v>
      </c>
      <c r="Q37" s="14" t="n">
        <v>0.17</v>
      </c>
      <c r="R37" s="14" t="n">
        <v>0.16</v>
      </c>
      <c r="S37" s="14" t="n">
        <v>0.22</v>
      </c>
      <c r="T37" s="14" t="n">
        <v>0.23</v>
      </c>
      <c r="U37" s="14" t="n">
        <v>0.1</v>
      </c>
      <c r="V37" s="14" t="n">
        <v>0.35</v>
      </c>
      <c r="W37" s="14" t="n">
        <v>0.18</v>
      </c>
      <c r="X37" s="14" t="n">
        <v>0.06</v>
      </c>
      <c r="Y37" s="14" t="n">
        <v>0.17</v>
      </c>
      <c r="Z37" s="14" t="n">
        <v>0.38</v>
      </c>
      <c r="AA37" s="14" t="n">
        <v>0.24</v>
      </c>
      <c r="AB37" s="14" t="n">
        <v>0.38</v>
      </c>
      <c r="AC37" s="14" t="n">
        <v>0.16</v>
      </c>
      <c r="AD37" s="14" t="n">
        <v>0.27</v>
      </c>
      <c r="AE37" s="14" t="n">
        <v>0.15</v>
      </c>
      <c r="AF37" s="14" t="n">
        <v>0.08</v>
      </c>
    </row>
    <row r="38">
      <c r="A38" s="20" t="n"/>
      <c r="B38" s="11" t="inlineStr">
        <is>
          <t>Autre ouvrier (non qualifié) salarié, personnel de maison</t>
        </is>
      </c>
      <c r="C38" s="12" t="n">
        <v>1316</v>
      </c>
      <c r="D38" s="12" t="n">
        <v>41</v>
      </c>
      <c r="E38" s="12" t="n">
        <v>88</v>
      </c>
      <c r="F38" s="12" t="n">
        <v>47</v>
      </c>
      <c r="G38" s="12" t="n">
        <v>94</v>
      </c>
      <c r="H38" s="12" t="n">
        <v>60</v>
      </c>
      <c r="I38" s="12" t="n">
        <v>76</v>
      </c>
      <c r="J38" s="12" t="n">
        <v>16</v>
      </c>
      <c r="K38" s="12" t="n">
        <v>62</v>
      </c>
      <c r="L38" s="12" t="n">
        <v>91</v>
      </c>
      <c r="M38" s="12" t="n">
        <v>39</v>
      </c>
      <c r="N38" s="12" t="n">
        <v>73</v>
      </c>
      <c r="O38" s="12" t="n">
        <v>33</v>
      </c>
      <c r="P38" s="12" t="n">
        <v>43</v>
      </c>
      <c r="Q38" s="12" t="n">
        <v>58</v>
      </c>
      <c r="R38" s="12" t="n">
        <v>6</v>
      </c>
      <c r="S38" s="12" t="n">
        <v>64</v>
      </c>
      <c r="T38" s="12" t="n">
        <v>79</v>
      </c>
      <c r="U38" s="12" t="n">
        <v>12</v>
      </c>
      <c r="V38" s="12" t="n">
        <v>60</v>
      </c>
      <c r="W38" s="12" t="n">
        <v>26</v>
      </c>
      <c r="X38" s="12" t="n">
        <v>44</v>
      </c>
      <c r="Y38" s="12" t="n">
        <v>57</v>
      </c>
      <c r="Z38" s="12" t="n">
        <v>10</v>
      </c>
      <c r="AA38" s="12" t="n">
        <v>94</v>
      </c>
      <c r="AB38" s="12" t="n">
        <v>67</v>
      </c>
      <c r="AC38" s="12" t="n">
        <v>75</v>
      </c>
      <c r="AD38" s="12" t="n">
        <v>43</v>
      </c>
      <c r="AE38" s="12" t="n">
        <v>49</v>
      </c>
      <c r="AF38" s="12" t="n">
        <v>28</v>
      </c>
    </row>
    <row r="39">
      <c r="A39" s="20" t="n"/>
      <c r="B39" s="13" t="inlineStr">
        <is>
          <t>Other employed (unskilled) manual worker, servant</t>
        </is>
      </c>
      <c r="C39" s="14" t="n">
        <v>0.11</v>
      </c>
      <c r="D39" s="14" t="n">
        <v>0.08</v>
      </c>
      <c r="E39" s="14" t="n">
        <v>0.21</v>
      </c>
      <c r="F39" s="14" t="n">
        <v>0.11</v>
      </c>
      <c r="G39" s="14" t="n">
        <v>0.23</v>
      </c>
      <c r="H39" s="14" t="n">
        <v>0.1</v>
      </c>
      <c r="I39" s="14" t="n">
        <v>0.11</v>
      </c>
      <c r="J39" s="14" t="n">
        <v>0.13</v>
      </c>
      <c r="K39" s="14" t="n">
        <v>0.15</v>
      </c>
      <c r="L39" s="14" t="n">
        <v>0.23</v>
      </c>
      <c r="M39" s="14" t="n">
        <v>0.09</v>
      </c>
      <c r="N39" s="14" t="n">
        <v>0.16</v>
      </c>
      <c r="O39" s="14" t="n">
        <v>0.07000000000000001</v>
      </c>
      <c r="P39" s="14" t="n">
        <v>0.1</v>
      </c>
      <c r="Q39" s="14" t="n">
        <v>0.13</v>
      </c>
      <c r="R39" s="14" t="n">
        <v>0.03</v>
      </c>
      <c r="S39" s="14" t="n">
        <v>0.15</v>
      </c>
      <c r="T39" s="14" t="n">
        <v>0.17</v>
      </c>
      <c r="U39" s="14" t="n">
        <v>0.06</v>
      </c>
      <c r="V39" s="14" t="n">
        <v>0.19</v>
      </c>
      <c r="W39" s="14" t="n">
        <v>0.15</v>
      </c>
      <c r="X39" s="14" t="n">
        <v>0.1</v>
      </c>
      <c r="Y39" s="14" t="n">
        <v>0.14</v>
      </c>
      <c r="Z39" s="14" t="n">
        <v>0.03</v>
      </c>
      <c r="AA39" s="14" t="n">
        <v>0.22</v>
      </c>
      <c r="AB39" s="14" t="n">
        <v>0.15</v>
      </c>
      <c r="AC39" s="14" t="n">
        <v>0.17</v>
      </c>
      <c r="AD39" s="14" t="n">
        <v>0.1</v>
      </c>
      <c r="AE39" s="14" t="n">
        <v>0.11</v>
      </c>
      <c r="AF39" s="14" t="n">
        <v>0.07000000000000001</v>
      </c>
    </row>
    <row r="40">
      <c r="A40" s="20" t="n"/>
      <c r="B40" s="11" t="inlineStr">
        <is>
          <t>N’a jamais exercé d’activité professionnelle rémunérée</t>
        </is>
      </c>
      <c r="C40" s="12" t="n">
        <v>2301</v>
      </c>
      <c r="D40" s="12" t="n">
        <v>99</v>
      </c>
      <c r="E40" s="12" t="n">
        <v>65</v>
      </c>
      <c r="F40" s="12" t="n">
        <v>85</v>
      </c>
      <c r="G40" s="12" t="n">
        <v>26</v>
      </c>
      <c r="H40" s="12" t="n">
        <v>103</v>
      </c>
      <c r="I40" s="12" t="n">
        <v>123</v>
      </c>
      <c r="J40" s="12" t="n">
        <v>20</v>
      </c>
      <c r="K40" s="12" t="n">
        <v>64</v>
      </c>
      <c r="L40" s="12" t="n">
        <v>54</v>
      </c>
      <c r="M40" s="12" t="n">
        <v>115</v>
      </c>
      <c r="N40" s="12" t="n">
        <v>97</v>
      </c>
      <c r="O40" s="12" t="n">
        <v>85</v>
      </c>
      <c r="P40" s="12" t="n">
        <v>70</v>
      </c>
      <c r="Q40" s="12" t="n">
        <v>163</v>
      </c>
      <c r="R40" s="12" t="n">
        <v>31</v>
      </c>
      <c r="S40" s="12" t="n">
        <v>49</v>
      </c>
      <c r="T40" s="12" t="n">
        <v>70</v>
      </c>
      <c r="U40" s="12" t="n">
        <v>34</v>
      </c>
      <c r="V40" s="12" t="n">
        <v>40</v>
      </c>
      <c r="W40" s="12" t="n">
        <v>40</v>
      </c>
      <c r="X40" s="12" t="n">
        <v>23</v>
      </c>
      <c r="Y40" s="12" t="n">
        <v>85</v>
      </c>
      <c r="Z40" s="12" t="n">
        <v>68</v>
      </c>
      <c r="AA40" s="12" t="n">
        <v>94</v>
      </c>
      <c r="AB40" s="12" t="n">
        <v>96</v>
      </c>
      <c r="AC40" s="12" t="n">
        <v>78</v>
      </c>
      <c r="AD40" s="12" t="n">
        <v>78</v>
      </c>
      <c r="AE40" s="12" t="n">
        <v>13</v>
      </c>
      <c r="AF40" s="12" t="n">
        <v>17</v>
      </c>
    </row>
    <row r="41">
      <c r="A41" s="23" t="n"/>
      <c r="B41" s="13" t="inlineStr">
        <is>
          <t>Never did any paid work</t>
        </is>
      </c>
      <c r="C41" s="14" t="n">
        <v>0.2</v>
      </c>
      <c r="D41" s="14" t="n">
        <v>0.19</v>
      </c>
      <c r="E41" s="14" t="n">
        <v>0.15</v>
      </c>
      <c r="F41" s="14" t="n">
        <v>0.2</v>
      </c>
      <c r="G41" s="14" t="n">
        <v>0.06</v>
      </c>
      <c r="H41" s="14" t="n">
        <v>0.18</v>
      </c>
      <c r="I41" s="14" t="n">
        <v>0.17</v>
      </c>
      <c r="J41" s="14" t="n">
        <v>0.16</v>
      </c>
      <c r="K41" s="14" t="n">
        <v>0.16</v>
      </c>
      <c r="L41" s="14" t="n">
        <v>0.14</v>
      </c>
      <c r="M41" s="14" t="n">
        <v>0.26</v>
      </c>
      <c r="N41" s="14" t="n">
        <v>0.22</v>
      </c>
      <c r="O41" s="14" t="n">
        <v>0.17</v>
      </c>
      <c r="P41" s="14" t="n">
        <v>0.17</v>
      </c>
      <c r="Q41" s="14" t="n">
        <v>0.36</v>
      </c>
      <c r="R41" s="14" t="n">
        <v>0.17</v>
      </c>
      <c r="S41" s="14" t="n">
        <v>0.12</v>
      </c>
      <c r="T41" s="14" t="n">
        <v>0.15</v>
      </c>
      <c r="U41" s="14" t="n">
        <v>0.16</v>
      </c>
      <c r="V41" s="14" t="n">
        <v>0.12</v>
      </c>
      <c r="W41" s="14" t="n">
        <v>0.23</v>
      </c>
      <c r="X41" s="14" t="n">
        <v>0.05</v>
      </c>
      <c r="Y41" s="14" t="n">
        <v>0.21</v>
      </c>
      <c r="Z41" s="14" t="n">
        <v>0.17</v>
      </c>
      <c r="AA41" s="14" t="n">
        <v>0.22</v>
      </c>
      <c r="AB41" s="14" t="n">
        <v>0.22</v>
      </c>
      <c r="AC41" s="14" t="n">
        <v>0.17</v>
      </c>
      <c r="AD41" s="14" t="n">
        <v>0.19</v>
      </c>
      <c r="AE41" s="14" t="n">
        <v>0.03</v>
      </c>
      <c r="AF41" s="14" t="n">
        <v>0.04</v>
      </c>
    </row>
  </sheetData>
  <mergeCells count="9">
    <mergeCell ref="B4:F4"/>
    <mergeCell ref="H3:L3"/>
    <mergeCell ref="C8:AF8"/>
    <mergeCell ref="B3:F3"/>
    <mergeCell ref="B5:F5"/>
    <mergeCell ref="A10:A41"/>
    <mergeCell ref="H5:L5"/>
    <mergeCell ref="B10:B11"/>
    <mergeCell ref="H4:L4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12" customHeight="1" s="18">
      <c r="B3" s="21" t="inlineStr">
        <is>
          <t>D15b2. Catégorie socioprofessionnelle précédente</t>
        </is>
      </c>
      <c r="H3" s="21" t="inlineStr">
        <is>
          <t>D15b2. Previous socio-professional category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Répondants qui n'ont pas d'occupation actuelle</t>
        </is>
      </c>
      <c r="H5" s="21" t="inlineStr">
        <is>
          <t>Base: Respondents who do not have a current ocupation</t>
        </is>
      </c>
    </row>
    <row r="6" ht="0.95" customHeight="1" s="18"/>
    <row r="7" ht="0.95" customHeight="1" s="18"/>
    <row r="8">
      <c r="C8" s="22" t="n"/>
    </row>
    <row r="9">
      <c r="A9" s="5">
        <f>HYPERLINK("#Content!A57","&lt;&lt;Back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11692</v>
      </c>
      <c r="D10" s="10" t="n">
        <v>528</v>
      </c>
      <c r="E10" s="10" t="n">
        <v>424</v>
      </c>
      <c r="F10" s="10" t="n">
        <v>420</v>
      </c>
      <c r="G10" s="10" t="n">
        <v>410</v>
      </c>
      <c r="H10" s="10" t="n">
        <v>579</v>
      </c>
      <c r="I10" s="10" t="n">
        <v>707</v>
      </c>
      <c r="J10" s="10" t="n">
        <v>127</v>
      </c>
      <c r="K10" s="10" t="n">
        <v>408</v>
      </c>
      <c r="L10" s="10" t="n">
        <v>399</v>
      </c>
      <c r="M10" s="10" t="n">
        <v>437</v>
      </c>
      <c r="N10" s="10" t="n">
        <v>449</v>
      </c>
      <c r="O10" s="10" t="n">
        <v>501</v>
      </c>
      <c r="P10" s="10" t="n">
        <v>415</v>
      </c>
      <c r="Q10" s="10" t="n">
        <v>450</v>
      </c>
      <c r="R10" s="10" t="n">
        <v>178</v>
      </c>
      <c r="S10" s="10" t="n">
        <v>417</v>
      </c>
      <c r="T10" s="10" t="n">
        <v>467</v>
      </c>
      <c r="U10" s="10" t="n">
        <v>206</v>
      </c>
      <c r="V10" s="10" t="n">
        <v>322</v>
      </c>
      <c r="W10" s="10" t="n">
        <v>177</v>
      </c>
      <c r="X10" s="10" t="n">
        <v>448</v>
      </c>
      <c r="Y10" s="10" t="n">
        <v>404</v>
      </c>
      <c r="Z10" s="10" t="n">
        <v>398</v>
      </c>
      <c r="AA10" s="10" t="n">
        <v>427</v>
      </c>
      <c r="AB10" s="10" t="n">
        <v>438</v>
      </c>
      <c r="AC10" s="10" t="n">
        <v>454</v>
      </c>
      <c r="AD10" s="10" t="n">
        <v>417</v>
      </c>
      <c r="AE10" s="10" t="n">
        <v>448</v>
      </c>
      <c r="AF10" s="10" t="n">
        <v>414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Indépendants</t>
        </is>
      </c>
      <c r="C12" s="12" t="n">
        <v>837</v>
      </c>
      <c r="D12" s="12" t="n">
        <v>25</v>
      </c>
      <c r="E12" s="12" t="n">
        <v>23</v>
      </c>
      <c r="F12" s="12" t="n">
        <v>32</v>
      </c>
      <c r="G12" s="12" t="n">
        <v>29</v>
      </c>
      <c r="H12" s="12" t="n">
        <v>37</v>
      </c>
      <c r="I12" s="12" t="n">
        <v>44</v>
      </c>
      <c r="J12" s="12" t="n">
        <v>6</v>
      </c>
      <c r="K12" s="12" t="n">
        <v>22</v>
      </c>
      <c r="L12" s="12" t="n">
        <v>16</v>
      </c>
      <c r="M12" s="12" t="n">
        <v>87</v>
      </c>
      <c r="N12" s="12" t="n">
        <v>33</v>
      </c>
      <c r="O12" s="12" t="n">
        <v>28</v>
      </c>
      <c r="P12" s="12" t="n">
        <v>24</v>
      </c>
      <c r="Q12" s="12" t="n">
        <v>42</v>
      </c>
      <c r="R12" s="12" t="n">
        <v>20</v>
      </c>
      <c r="S12" s="12" t="n">
        <v>18</v>
      </c>
      <c r="T12" s="12" t="n">
        <v>14</v>
      </c>
      <c r="U12" s="12" t="n">
        <v>15</v>
      </c>
      <c r="V12" s="12" t="n">
        <v>12</v>
      </c>
      <c r="W12" s="12" t="n">
        <v>10</v>
      </c>
      <c r="X12" s="12" t="n">
        <v>30</v>
      </c>
      <c r="Y12" s="12" t="n">
        <v>38</v>
      </c>
      <c r="Z12" s="12" t="n">
        <v>43</v>
      </c>
      <c r="AA12" s="12" t="n">
        <v>26</v>
      </c>
      <c r="AB12" s="12" t="n">
        <v>13</v>
      </c>
      <c r="AC12" s="12" t="n">
        <v>30</v>
      </c>
      <c r="AD12" s="12" t="n">
        <v>10</v>
      </c>
      <c r="AE12" s="12" t="n">
        <v>43</v>
      </c>
      <c r="AF12" s="12" t="n">
        <v>36</v>
      </c>
    </row>
    <row r="13">
      <c r="A13" s="20" t="n"/>
      <c r="B13" s="13" t="inlineStr">
        <is>
          <t>Self-employed</t>
        </is>
      </c>
      <c r="C13" s="14" t="n">
        <v>0.07000000000000001</v>
      </c>
      <c r="D13" s="14" t="n">
        <v>0.05</v>
      </c>
      <c r="E13" s="14" t="n">
        <v>0.06</v>
      </c>
      <c r="F13" s="14" t="n">
        <v>0.08</v>
      </c>
      <c r="G13" s="14" t="n">
        <v>0.07000000000000001</v>
      </c>
      <c r="H13" s="14" t="n">
        <v>0.06</v>
      </c>
      <c r="I13" s="14" t="n">
        <v>0.06</v>
      </c>
      <c r="J13" s="14" t="n">
        <v>0.05</v>
      </c>
      <c r="K13" s="14" t="n">
        <v>0.05</v>
      </c>
      <c r="L13" s="14" t="n">
        <v>0.04</v>
      </c>
      <c r="M13" s="14" t="n">
        <v>0.2</v>
      </c>
      <c r="N13" s="14" t="n">
        <v>0.07000000000000001</v>
      </c>
      <c r="O13" s="14" t="n">
        <v>0.06</v>
      </c>
      <c r="P13" s="14" t="n">
        <v>0.06</v>
      </c>
      <c r="Q13" s="14" t="n">
        <v>0.09</v>
      </c>
      <c r="R13" s="14" t="n">
        <v>0.11</v>
      </c>
      <c r="S13" s="14" t="n">
        <v>0.04</v>
      </c>
      <c r="T13" s="14" t="n">
        <v>0.03</v>
      </c>
      <c r="U13" s="14" t="n">
        <v>0.07000000000000001</v>
      </c>
      <c r="V13" s="14" t="n">
        <v>0.04</v>
      </c>
      <c r="W13" s="14" t="n">
        <v>0.06</v>
      </c>
      <c r="X13" s="14" t="n">
        <v>0.07000000000000001</v>
      </c>
      <c r="Y13" s="14" t="n">
        <v>0.1</v>
      </c>
      <c r="Z13" s="14" t="n">
        <v>0.11</v>
      </c>
      <c r="AA13" s="14" t="n">
        <v>0.06</v>
      </c>
      <c r="AB13" s="14" t="n">
        <v>0.03</v>
      </c>
      <c r="AC13" s="14" t="n">
        <v>0.07000000000000001</v>
      </c>
      <c r="AD13" s="14" t="n">
        <v>0.02</v>
      </c>
      <c r="AE13" s="14" t="n">
        <v>0.1</v>
      </c>
      <c r="AF13" s="14" t="n">
        <v>0.09</v>
      </c>
    </row>
    <row r="14">
      <c r="A14" s="20" t="n"/>
      <c r="B14" s="11" t="inlineStr">
        <is>
          <t>Salariés</t>
        </is>
      </c>
      <c r="C14" s="12" t="n">
        <v>8554</v>
      </c>
      <c r="D14" s="12" t="n">
        <v>404</v>
      </c>
      <c r="E14" s="12" t="n">
        <v>335</v>
      </c>
      <c r="F14" s="12" t="n">
        <v>303</v>
      </c>
      <c r="G14" s="12" t="n">
        <v>355</v>
      </c>
      <c r="H14" s="12" t="n">
        <v>440</v>
      </c>
      <c r="I14" s="12" t="n">
        <v>541</v>
      </c>
      <c r="J14" s="12" t="n">
        <v>101</v>
      </c>
      <c r="K14" s="12" t="n">
        <v>323</v>
      </c>
      <c r="L14" s="12" t="n">
        <v>329</v>
      </c>
      <c r="M14" s="12" t="n">
        <v>236</v>
      </c>
      <c r="N14" s="12" t="n">
        <v>319</v>
      </c>
      <c r="O14" s="12" t="n">
        <v>388</v>
      </c>
      <c r="P14" s="12" t="n">
        <v>322</v>
      </c>
      <c r="Q14" s="12" t="n">
        <v>246</v>
      </c>
      <c r="R14" s="12" t="n">
        <v>127</v>
      </c>
      <c r="S14" s="12" t="n">
        <v>350</v>
      </c>
      <c r="T14" s="12" t="n">
        <v>382</v>
      </c>
      <c r="U14" s="12" t="n">
        <v>158</v>
      </c>
      <c r="V14" s="12" t="n">
        <v>269</v>
      </c>
      <c r="W14" s="12" t="n">
        <v>127</v>
      </c>
      <c r="X14" s="12" t="n">
        <v>395</v>
      </c>
      <c r="Y14" s="12" t="n">
        <v>280</v>
      </c>
      <c r="Z14" s="12" t="n">
        <v>287</v>
      </c>
      <c r="AA14" s="12" t="n">
        <v>307</v>
      </c>
      <c r="AB14" s="12" t="n">
        <v>330</v>
      </c>
      <c r="AC14" s="12" t="n">
        <v>346</v>
      </c>
      <c r="AD14" s="12" t="n">
        <v>328</v>
      </c>
      <c r="AE14" s="12" t="n">
        <v>391</v>
      </c>
      <c r="AF14" s="12" t="n">
        <v>361</v>
      </c>
    </row>
    <row r="15">
      <c r="A15" s="20" t="n"/>
      <c r="B15" s="13" t="inlineStr">
        <is>
          <t>Employed</t>
        </is>
      </c>
      <c r="C15" s="14" t="n">
        <v>0.73</v>
      </c>
      <c r="D15" s="14" t="n">
        <v>0.76</v>
      </c>
      <c r="E15" s="14" t="n">
        <v>0.79</v>
      </c>
      <c r="F15" s="14" t="n">
        <v>0.72</v>
      </c>
      <c r="G15" s="14" t="n">
        <v>0.87</v>
      </c>
      <c r="H15" s="14" t="n">
        <v>0.76</v>
      </c>
      <c r="I15" s="14" t="n">
        <v>0.77</v>
      </c>
      <c r="J15" s="14" t="n">
        <v>0.79</v>
      </c>
      <c r="K15" s="14" t="n">
        <v>0.79</v>
      </c>
      <c r="L15" s="14" t="n">
        <v>0.8200000000000001</v>
      </c>
      <c r="M15" s="14" t="n">
        <v>0.54</v>
      </c>
      <c r="N15" s="14" t="n">
        <v>0.71</v>
      </c>
      <c r="O15" s="14" t="n">
        <v>0.77</v>
      </c>
      <c r="P15" s="14" t="n">
        <v>0.77</v>
      </c>
      <c r="Q15" s="14" t="n">
        <v>0.55</v>
      </c>
      <c r="R15" s="14" t="n">
        <v>0.71</v>
      </c>
      <c r="S15" s="14" t="n">
        <v>0.84</v>
      </c>
      <c r="T15" s="14" t="n">
        <v>0.8200000000000001</v>
      </c>
      <c r="U15" s="14" t="n">
        <v>0.77</v>
      </c>
      <c r="V15" s="14" t="n">
        <v>0.84</v>
      </c>
      <c r="W15" s="14" t="n">
        <v>0.71</v>
      </c>
      <c r="X15" s="14" t="n">
        <v>0.88</v>
      </c>
      <c r="Y15" s="14" t="n">
        <v>0.6900000000000001</v>
      </c>
      <c r="Z15" s="14" t="n">
        <v>0.72</v>
      </c>
      <c r="AA15" s="14" t="n">
        <v>0.72</v>
      </c>
      <c r="AB15" s="14" t="n">
        <v>0.75</v>
      </c>
      <c r="AC15" s="14" t="n">
        <v>0.76</v>
      </c>
      <c r="AD15" s="14" t="n">
        <v>0.79</v>
      </c>
      <c r="AE15" s="14" t="n">
        <v>0.87</v>
      </c>
      <c r="AF15" s="14" t="n">
        <v>0.87</v>
      </c>
    </row>
    <row r="16">
      <c r="A16" s="20" t="n"/>
      <c r="B16" s="11" t="inlineStr">
        <is>
          <t>Non actifs</t>
        </is>
      </c>
      <c r="C16" s="12" t="n">
        <v>2301</v>
      </c>
      <c r="D16" s="12" t="n">
        <v>99</v>
      </c>
      <c r="E16" s="12" t="n">
        <v>65</v>
      </c>
      <c r="F16" s="12" t="n">
        <v>85</v>
      </c>
      <c r="G16" s="12" t="n">
        <v>26</v>
      </c>
      <c r="H16" s="12" t="n">
        <v>103</v>
      </c>
      <c r="I16" s="12" t="n">
        <v>123</v>
      </c>
      <c r="J16" s="12" t="n">
        <v>20</v>
      </c>
      <c r="K16" s="12" t="n">
        <v>64</v>
      </c>
      <c r="L16" s="12" t="n">
        <v>54</v>
      </c>
      <c r="M16" s="12" t="n">
        <v>115</v>
      </c>
      <c r="N16" s="12" t="n">
        <v>97</v>
      </c>
      <c r="O16" s="12" t="n">
        <v>85</v>
      </c>
      <c r="P16" s="12" t="n">
        <v>70</v>
      </c>
      <c r="Q16" s="12" t="n">
        <v>163</v>
      </c>
      <c r="R16" s="12" t="n">
        <v>31</v>
      </c>
      <c r="S16" s="12" t="n">
        <v>49</v>
      </c>
      <c r="T16" s="12" t="n">
        <v>70</v>
      </c>
      <c r="U16" s="12" t="n">
        <v>34</v>
      </c>
      <c r="V16" s="12" t="n">
        <v>40</v>
      </c>
      <c r="W16" s="12" t="n">
        <v>40</v>
      </c>
      <c r="X16" s="12" t="n">
        <v>23</v>
      </c>
      <c r="Y16" s="12" t="n">
        <v>85</v>
      </c>
      <c r="Z16" s="12" t="n">
        <v>68</v>
      </c>
      <c r="AA16" s="12" t="n">
        <v>94</v>
      </c>
      <c r="AB16" s="12" t="n">
        <v>96</v>
      </c>
      <c r="AC16" s="12" t="n">
        <v>78</v>
      </c>
      <c r="AD16" s="12" t="n">
        <v>78</v>
      </c>
      <c r="AE16" s="12" t="n">
        <v>13</v>
      </c>
      <c r="AF16" s="12" t="n">
        <v>17</v>
      </c>
    </row>
    <row r="17">
      <c r="A17" s="23" t="n"/>
      <c r="B17" s="13" t="inlineStr">
        <is>
          <t>Not working</t>
        </is>
      </c>
      <c r="C17" s="14" t="n">
        <v>0.2</v>
      </c>
      <c r="D17" s="14" t="n">
        <v>0.19</v>
      </c>
      <c r="E17" s="14" t="n">
        <v>0.15</v>
      </c>
      <c r="F17" s="14" t="n">
        <v>0.2</v>
      </c>
      <c r="G17" s="14" t="n">
        <v>0.06</v>
      </c>
      <c r="H17" s="14" t="n">
        <v>0.18</v>
      </c>
      <c r="I17" s="14" t="n">
        <v>0.17</v>
      </c>
      <c r="J17" s="14" t="n">
        <v>0.16</v>
      </c>
      <c r="K17" s="14" t="n">
        <v>0.16</v>
      </c>
      <c r="L17" s="14" t="n">
        <v>0.14</v>
      </c>
      <c r="M17" s="14" t="n">
        <v>0.26</v>
      </c>
      <c r="N17" s="14" t="n">
        <v>0.22</v>
      </c>
      <c r="O17" s="14" t="n">
        <v>0.17</v>
      </c>
      <c r="P17" s="14" t="n">
        <v>0.17</v>
      </c>
      <c r="Q17" s="14" t="n">
        <v>0.36</v>
      </c>
      <c r="R17" s="14" t="n">
        <v>0.18</v>
      </c>
      <c r="S17" s="14" t="n">
        <v>0.12</v>
      </c>
      <c r="T17" s="14" t="n">
        <v>0.15</v>
      </c>
      <c r="U17" s="14" t="n">
        <v>0.16</v>
      </c>
      <c r="V17" s="14" t="n">
        <v>0.12</v>
      </c>
      <c r="W17" s="14" t="n">
        <v>0.23</v>
      </c>
      <c r="X17" s="14" t="n">
        <v>0.05</v>
      </c>
      <c r="Y17" s="14" t="n">
        <v>0.21</v>
      </c>
      <c r="Z17" s="14" t="n">
        <v>0.17</v>
      </c>
      <c r="AA17" s="14" t="n">
        <v>0.22</v>
      </c>
      <c r="AB17" s="14" t="n">
        <v>0.22</v>
      </c>
      <c r="AC17" s="14" t="n">
        <v>0.17</v>
      </c>
      <c r="AD17" s="14" t="n">
        <v>0.19</v>
      </c>
      <c r="AE17" s="14" t="n">
        <v>0.03</v>
      </c>
      <c r="AF17" s="14" t="n">
        <v>0.04</v>
      </c>
    </row>
  </sheetData>
  <mergeCells count="9">
    <mergeCell ref="B4:F4"/>
    <mergeCell ref="H3:L3"/>
    <mergeCell ref="C8:AF8"/>
    <mergeCell ref="B3:F3"/>
    <mergeCell ref="B5:F5"/>
    <mergeCell ref="H5:L5"/>
    <mergeCell ref="B10:B11"/>
    <mergeCell ref="A10:A17"/>
    <mergeCell ref="H4:L4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F19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12" customHeight="1" s="18">
      <c r="B3" s="21" t="inlineStr">
        <is>
          <t>D25. Diriez-vous que vous vivez … ?</t>
        </is>
      </c>
      <c r="H3" s="21" t="inlineStr">
        <is>
          <t>D25. Would you say you live in a...?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HYPERLINK("#Content!A58","&lt;&lt;Back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Dans une commune rurale</t>
        </is>
      </c>
      <c r="C12" s="12" t="n">
        <v>8664</v>
      </c>
      <c r="D12" s="12" t="n">
        <v>357</v>
      </c>
      <c r="E12" s="12" t="n">
        <v>296</v>
      </c>
      <c r="F12" s="12" t="n">
        <v>436</v>
      </c>
      <c r="G12" s="12" t="n">
        <v>268</v>
      </c>
      <c r="H12" s="12" t="n">
        <v>331</v>
      </c>
      <c r="I12" s="12" t="n">
        <v>400</v>
      </c>
      <c r="J12" s="12" t="n">
        <v>69</v>
      </c>
      <c r="K12" s="12" t="n">
        <v>294</v>
      </c>
      <c r="L12" s="12" t="n">
        <v>353</v>
      </c>
      <c r="M12" s="12" t="n">
        <v>375</v>
      </c>
      <c r="N12" s="12" t="n">
        <v>486</v>
      </c>
      <c r="O12" s="12" t="n">
        <v>309</v>
      </c>
      <c r="P12" s="12" t="n">
        <v>451</v>
      </c>
      <c r="Q12" s="12" t="n">
        <v>174</v>
      </c>
      <c r="R12" s="12" t="n">
        <v>169</v>
      </c>
      <c r="S12" s="12" t="n">
        <v>268</v>
      </c>
      <c r="T12" s="12" t="n">
        <v>373</v>
      </c>
      <c r="U12" s="12" t="n">
        <v>168</v>
      </c>
      <c r="V12" s="12" t="n">
        <v>313</v>
      </c>
      <c r="W12" s="12" t="n">
        <v>187</v>
      </c>
      <c r="X12" s="12" t="n">
        <v>368</v>
      </c>
      <c r="Y12" s="12" t="n">
        <v>502</v>
      </c>
      <c r="Z12" s="12" t="n">
        <v>394</v>
      </c>
      <c r="AA12" s="12" t="n">
        <v>390</v>
      </c>
      <c r="AB12" s="12" t="n">
        <v>495</v>
      </c>
      <c r="AC12" s="12" t="n">
        <v>571</v>
      </c>
      <c r="AD12" s="12" t="n">
        <v>529</v>
      </c>
      <c r="AE12" s="12" t="n">
        <v>341</v>
      </c>
      <c r="AF12" s="12" t="n">
        <v>152</v>
      </c>
    </row>
    <row r="13">
      <c r="A13" s="20" t="n"/>
      <c r="B13" s="13" t="inlineStr">
        <is>
          <t>Rural area or village</t>
        </is>
      </c>
      <c r="C13" s="14" t="n">
        <v>0.33</v>
      </c>
      <c r="D13" s="14" t="n">
        <v>0.35</v>
      </c>
      <c r="E13" s="14" t="n">
        <v>0.29</v>
      </c>
      <c r="F13" s="14" t="n">
        <v>0.41</v>
      </c>
      <c r="G13" s="14" t="n">
        <v>0.27</v>
      </c>
      <c r="H13" s="14" t="n">
        <v>0.27</v>
      </c>
      <c r="I13" s="14" t="n">
        <v>0.27</v>
      </c>
      <c r="J13" s="14" t="n">
        <v>0.24</v>
      </c>
      <c r="K13" s="14" t="n">
        <v>0.29</v>
      </c>
      <c r="L13" s="14" t="n">
        <v>0.35</v>
      </c>
      <c r="M13" s="14" t="n">
        <v>0.37</v>
      </c>
      <c r="N13" s="14" t="n">
        <v>0.48</v>
      </c>
      <c r="O13" s="14" t="n">
        <v>0.3</v>
      </c>
      <c r="P13" s="14" t="n">
        <v>0.45</v>
      </c>
      <c r="Q13" s="14" t="n">
        <v>0.17</v>
      </c>
      <c r="R13" s="14" t="n">
        <v>0.34</v>
      </c>
      <c r="S13" s="14" t="n">
        <v>0.27</v>
      </c>
      <c r="T13" s="14" t="n">
        <v>0.37</v>
      </c>
      <c r="U13" s="14" t="n">
        <v>0.33</v>
      </c>
      <c r="V13" s="14" t="n">
        <v>0.31</v>
      </c>
      <c r="W13" s="14" t="n">
        <v>0.37</v>
      </c>
      <c r="X13" s="14" t="n">
        <v>0.36</v>
      </c>
      <c r="Y13" s="14" t="n">
        <v>0.5</v>
      </c>
      <c r="Z13" s="14" t="n">
        <v>0.39</v>
      </c>
      <c r="AA13" s="14" t="n">
        <v>0.38</v>
      </c>
      <c r="AB13" s="14" t="n">
        <v>0.48</v>
      </c>
      <c r="AC13" s="14" t="n">
        <v>0.5700000000000001</v>
      </c>
      <c r="AD13" s="14" t="n">
        <v>0.53</v>
      </c>
      <c r="AE13" s="14" t="n">
        <v>0.34</v>
      </c>
      <c r="AF13" s="14" t="n">
        <v>0.15</v>
      </c>
    </row>
    <row r="14">
      <c r="A14" s="20" t="n"/>
      <c r="B14" s="11" t="inlineStr">
        <is>
          <t>Dans une ville petite ou moyenne</t>
        </is>
      </c>
      <c r="C14" s="12" t="n">
        <v>10899</v>
      </c>
      <c r="D14" s="12" t="n">
        <v>285</v>
      </c>
      <c r="E14" s="12" t="n">
        <v>268</v>
      </c>
      <c r="F14" s="12" t="n">
        <v>363</v>
      </c>
      <c r="G14" s="12" t="n">
        <v>446</v>
      </c>
      <c r="H14" s="12" t="n">
        <v>607</v>
      </c>
      <c r="I14" s="12" t="n">
        <v>713</v>
      </c>
      <c r="J14" s="12" t="n">
        <v>105</v>
      </c>
      <c r="K14" s="12" t="n">
        <v>315</v>
      </c>
      <c r="L14" s="12" t="n">
        <v>297</v>
      </c>
      <c r="M14" s="12" t="n">
        <v>161</v>
      </c>
      <c r="N14" s="12" t="n">
        <v>249</v>
      </c>
      <c r="O14" s="12" t="n">
        <v>503</v>
      </c>
      <c r="P14" s="12" t="n">
        <v>301</v>
      </c>
      <c r="Q14" s="12" t="n">
        <v>665</v>
      </c>
      <c r="R14" s="12" t="n">
        <v>173</v>
      </c>
      <c r="S14" s="12" t="n">
        <v>398</v>
      </c>
      <c r="T14" s="12" t="n">
        <v>269</v>
      </c>
      <c r="U14" s="12" t="n">
        <v>216</v>
      </c>
      <c r="V14" s="12" t="n">
        <v>344</v>
      </c>
      <c r="W14" s="12" t="n">
        <v>218</v>
      </c>
      <c r="X14" s="12" t="n">
        <v>443</v>
      </c>
      <c r="Y14" s="12" t="n">
        <v>172</v>
      </c>
      <c r="Z14" s="12" t="n">
        <v>371</v>
      </c>
      <c r="AA14" s="12" t="n">
        <v>326</v>
      </c>
      <c r="AB14" s="12" t="n">
        <v>201</v>
      </c>
      <c r="AC14" s="12" t="n">
        <v>264</v>
      </c>
      <c r="AD14" s="12" t="n">
        <v>322</v>
      </c>
      <c r="AE14" s="12" t="n">
        <v>391</v>
      </c>
      <c r="AF14" s="12" t="n">
        <v>555</v>
      </c>
    </row>
    <row r="15">
      <c r="A15" s="20" t="n"/>
      <c r="B15" s="13" t="inlineStr">
        <is>
          <t>Small or middle sized town</t>
        </is>
      </c>
      <c r="C15" s="14" t="n">
        <v>0.41</v>
      </c>
      <c r="D15" s="14" t="n">
        <v>0.28</v>
      </c>
      <c r="E15" s="14" t="n">
        <v>0.27</v>
      </c>
      <c r="F15" s="14" t="n">
        <v>0.35</v>
      </c>
      <c r="G15" s="14" t="n">
        <v>0.44</v>
      </c>
      <c r="H15" s="14" t="n">
        <v>0.5</v>
      </c>
      <c r="I15" s="14" t="n">
        <v>0.47</v>
      </c>
      <c r="J15" s="14" t="n">
        <v>0.36</v>
      </c>
      <c r="K15" s="14" t="n">
        <v>0.31</v>
      </c>
      <c r="L15" s="14" t="n">
        <v>0.29</v>
      </c>
      <c r="M15" s="14" t="n">
        <v>0.16</v>
      </c>
      <c r="N15" s="14" t="n">
        <v>0.25</v>
      </c>
      <c r="O15" s="14" t="n">
        <v>0.5</v>
      </c>
      <c r="P15" s="14" t="n">
        <v>0.3</v>
      </c>
      <c r="Q15" s="14" t="n">
        <v>0.65</v>
      </c>
      <c r="R15" s="14" t="n">
        <v>0.34</v>
      </c>
      <c r="S15" s="14" t="n">
        <v>0.4</v>
      </c>
      <c r="T15" s="14" t="n">
        <v>0.26</v>
      </c>
      <c r="U15" s="14" t="n">
        <v>0.43</v>
      </c>
      <c r="V15" s="14" t="n">
        <v>0.34</v>
      </c>
      <c r="W15" s="14" t="n">
        <v>0.43</v>
      </c>
      <c r="X15" s="14" t="n">
        <v>0.43</v>
      </c>
      <c r="Y15" s="14" t="n">
        <v>0.17</v>
      </c>
      <c r="Z15" s="14" t="n">
        <v>0.36</v>
      </c>
      <c r="AA15" s="14" t="n">
        <v>0.32</v>
      </c>
      <c r="AB15" s="14" t="n">
        <v>0.19</v>
      </c>
      <c r="AC15" s="14" t="n">
        <v>0.26</v>
      </c>
      <c r="AD15" s="14" t="n">
        <v>0.32</v>
      </c>
      <c r="AE15" s="14" t="n">
        <v>0.38</v>
      </c>
      <c r="AF15" s="14" t="n">
        <v>0.53</v>
      </c>
    </row>
    <row r="16">
      <c r="A16" s="20" t="n"/>
      <c r="B16" s="11" t="inlineStr">
        <is>
          <t>Dans une grande ville</t>
        </is>
      </c>
      <c r="C16" s="12" t="n">
        <v>6849</v>
      </c>
      <c r="D16" s="12" t="n">
        <v>379</v>
      </c>
      <c r="E16" s="12" t="n">
        <v>449</v>
      </c>
      <c r="F16" s="12" t="n">
        <v>250</v>
      </c>
      <c r="G16" s="12" t="n">
        <v>293</v>
      </c>
      <c r="H16" s="12" t="n">
        <v>276</v>
      </c>
      <c r="I16" s="12" t="n">
        <v>394</v>
      </c>
      <c r="J16" s="12" t="n">
        <v>118</v>
      </c>
      <c r="K16" s="12" t="n">
        <v>396</v>
      </c>
      <c r="L16" s="12" t="n">
        <v>360</v>
      </c>
      <c r="M16" s="12" t="n">
        <v>470</v>
      </c>
      <c r="N16" s="12" t="n">
        <v>270</v>
      </c>
      <c r="O16" s="12" t="n">
        <v>204</v>
      </c>
      <c r="P16" s="12" t="n">
        <v>255</v>
      </c>
      <c r="Q16" s="12" t="n">
        <v>187</v>
      </c>
      <c r="R16" s="12" t="n">
        <v>161</v>
      </c>
      <c r="S16" s="12" t="n">
        <v>338</v>
      </c>
      <c r="T16" s="12" t="n">
        <v>375</v>
      </c>
      <c r="U16" s="12" t="n">
        <v>124</v>
      </c>
      <c r="V16" s="12" t="n">
        <v>364</v>
      </c>
      <c r="W16" s="12" t="n">
        <v>100</v>
      </c>
      <c r="X16" s="12" t="n">
        <v>211</v>
      </c>
      <c r="Y16" s="12" t="n">
        <v>330</v>
      </c>
      <c r="Z16" s="12" t="n">
        <v>255</v>
      </c>
      <c r="AA16" s="12" t="n">
        <v>314</v>
      </c>
      <c r="AB16" s="12" t="n">
        <v>348</v>
      </c>
      <c r="AC16" s="12" t="n">
        <v>173</v>
      </c>
      <c r="AD16" s="12" t="n">
        <v>150</v>
      </c>
      <c r="AE16" s="12" t="n">
        <v>284</v>
      </c>
      <c r="AF16" s="12" t="n">
        <v>329</v>
      </c>
    </row>
    <row r="17">
      <c r="A17" s="20" t="n"/>
      <c r="B17" s="13" t="inlineStr">
        <is>
          <t>Large town</t>
        </is>
      </c>
      <c r="C17" s="14" t="n">
        <v>0.26</v>
      </c>
      <c r="D17" s="14" t="n">
        <v>0.37</v>
      </c>
      <c r="E17" s="14" t="n">
        <v>0.44</v>
      </c>
      <c r="F17" s="14" t="n">
        <v>0.24</v>
      </c>
      <c r="G17" s="14" t="n">
        <v>0.29</v>
      </c>
      <c r="H17" s="14" t="n">
        <v>0.23</v>
      </c>
      <c r="I17" s="14" t="n">
        <v>0.26</v>
      </c>
      <c r="J17" s="14" t="n">
        <v>0.4</v>
      </c>
      <c r="K17" s="14" t="n">
        <v>0.4</v>
      </c>
      <c r="L17" s="14" t="n">
        <v>0.36</v>
      </c>
      <c r="M17" s="14" t="n">
        <v>0.47</v>
      </c>
      <c r="N17" s="14" t="n">
        <v>0.27</v>
      </c>
      <c r="O17" s="14" t="n">
        <v>0.2</v>
      </c>
      <c r="P17" s="14" t="n">
        <v>0.25</v>
      </c>
      <c r="Q17" s="14" t="n">
        <v>0.18</v>
      </c>
      <c r="R17" s="14" t="n">
        <v>0.32</v>
      </c>
      <c r="S17" s="14" t="n">
        <v>0.33</v>
      </c>
      <c r="T17" s="14" t="n">
        <v>0.37</v>
      </c>
      <c r="U17" s="14" t="n">
        <v>0.24</v>
      </c>
      <c r="V17" s="14" t="n">
        <v>0.35</v>
      </c>
      <c r="W17" s="14" t="n">
        <v>0.2</v>
      </c>
      <c r="X17" s="14" t="n">
        <v>0.21</v>
      </c>
      <c r="Y17" s="14" t="n">
        <v>0.33</v>
      </c>
      <c r="Z17" s="14" t="n">
        <v>0.25</v>
      </c>
      <c r="AA17" s="14" t="n">
        <v>0.3</v>
      </c>
      <c r="AB17" s="14" t="n">
        <v>0.33</v>
      </c>
      <c r="AC17" s="14" t="n">
        <v>0.17</v>
      </c>
      <c r="AD17" s="14" t="n">
        <v>0.15</v>
      </c>
      <c r="AE17" s="14" t="n">
        <v>0.28</v>
      </c>
      <c r="AF17" s="14" t="n">
        <v>0.32</v>
      </c>
    </row>
    <row r="18">
      <c r="A18" s="20" t="n"/>
      <c r="B18" s="11" t="inlineStr">
        <is>
          <t>Ne sait pas</t>
        </is>
      </c>
      <c r="C18" s="12" t="n">
        <v>10</v>
      </c>
      <c r="D18" s="12" t="n">
        <v>0</v>
      </c>
      <c r="E18" s="12" t="n">
        <v>1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12" t="n">
        <v>0</v>
      </c>
      <c r="O18" s="12" t="n">
        <v>0</v>
      </c>
      <c r="P18" s="12" t="n">
        <v>0</v>
      </c>
      <c r="Q18" s="12" t="n">
        <v>2</v>
      </c>
      <c r="R18" s="12" t="n">
        <v>1</v>
      </c>
      <c r="S18" s="12" t="n">
        <v>1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1</v>
      </c>
      <c r="Y18" s="12" t="n">
        <v>0</v>
      </c>
      <c r="Z18" s="12" t="n">
        <v>0</v>
      </c>
      <c r="AA18" s="12" t="n">
        <v>1</v>
      </c>
      <c r="AB18" s="12" t="n">
        <v>0</v>
      </c>
      <c r="AC18" s="12" t="n">
        <v>0</v>
      </c>
      <c r="AD18" s="12" t="n">
        <v>0</v>
      </c>
      <c r="AE18" s="12" t="n">
        <v>0</v>
      </c>
      <c r="AF18" s="12" t="n">
        <v>0</v>
      </c>
    </row>
    <row r="19">
      <c r="A19" s="23" t="n"/>
      <c r="B19" s="13" t="inlineStr">
        <is>
          <t>Don't know</t>
        </is>
      </c>
      <c r="C19" s="15" t="inlineStr">
        <is>
          <t>-</t>
        </is>
      </c>
      <c r="D19" s="15" t="inlineStr">
        <is>
          <t>-</t>
        </is>
      </c>
      <c r="E19" s="15" t="inlineStr">
        <is>
          <t>-</t>
        </is>
      </c>
      <c r="F19" s="15" t="inlineStr">
        <is>
          <t>-</t>
        </is>
      </c>
      <c r="G19" s="15" t="inlineStr">
        <is>
          <t>-</t>
        </is>
      </c>
      <c r="H19" s="15" t="inlineStr">
        <is>
          <t>-</t>
        </is>
      </c>
      <c r="I19" s="15" t="inlineStr">
        <is>
          <t>-</t>
        </is>
      </c>
      <c r="J19" s="15" t="inlineStr">
        <is>
          <t>-</t>
        </is>
      </c>
      <c r="K19" s="15" t="inlineStr">
        <is>
          <t>-</t>
        </is>
      </c>
      <c r="L19" s="15" t="inlineStr">
        <is>
          <t>-</t>
        </is>
      </c>
      <c r="M19" s="15" t="inlineStr">
        <is>
          <t>-</t>
        </is>
      </c>
      <c r="N19" s="15" t="inlineStr">
        <is>
          <t>-</t>
        </is>
      </c>
      <c r="O19" s="15" t="inlineStr">
        <is>
          <t>-</t>
        </is>
      </c>
      <c r="P19" s="15" t="inlineStr">
        <is>
          <t>-</t>
        </is>
      </c>
      <c r="Q19" s="15" t="inlineStr">
        <is>
          <t>-</t>
        </is>
      </c>
      <c r="R19" s="15" t="inlineStr">
        <is>
          <t>-</t>
        </is>
      </c>
      <c r="S19" s="15" t="inlineStr">
        <is>
          <t>-</t>
        </is>
      </c>
      <c r="T19" s="15" t="inlineStr">
        <is>
          <t>-</t>
        </is>
      </c>
      <c r="U19" s="15" t="inlineStr">
        <is>
          <t>-</t>
        </is>
      </c>
      <c r="V19" s="15" t="inlineStr">
        <is>
          <t>-</t>
        </is>
      </c>
      <c r="W19" s="15" t="inlineStr">
        <is>
          <t>-</t>
        </is>
      </c>
      <c r="X19" s="15" t="inlineStr">
        <is>
          <t>-</t>
        </is>
      </c>
      <c r="Y19" s="15" t="inlineStr">
        <is>
          <t>-</t>
        </is>
      </c>
      <c r="Z19" s="15" t="inlineStr">
        <is>
          <t>-</t>
        </is>
      </c>
      <c r="AA19" s="15" t="inlineStr">
        <is>
          <t>-</t>
        </is>
      </c>
      <c r="AB19" s="15" t="inlineStr">
        <is>
          <t>-</t>
        </is>
      </c>
      <c r="AC19" s="15" t="inlineStr">
        <is>
          <t>-</t>
        </is>
      </c>
      <c r="AD19" s="15" t="inlineStr">
        <is>
          <t>-</t>
        </is>
      </c>
      <c r="AE19" s="15" t="inlineStr">
        <is>
          <t>-</t>
        </is>
      </c>
      <c r="AF19" s="15" t="inlineStr">
        <is>
          <t>-</t>
        </is>
      </c>
    </row>
  </sheetData>
  <mergeCells count="9">
    <mergeCell ref="B4:F4"/>
    <mergeCell ref="H3:L3"/>
    <mergeCell ref="C8:AF8"/>
    <mergeCell ref="B3:F3"/>
    <mergeCell ref="B5:F5"/>
    <mergeCell ref="A10:A19"/>
    <mergeCell ref="H5:L5"/>
    <mergeCell ref="B10:B11"/>
    <mergeCell ref="H4:L4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F19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24" customHeight="1" s="18">
      <c r="B3" s="21" t="inlineStr">
        <is>
          <t>D60. Sur ces douze derniers mois, diriez-vous que vous avez eu des difficultés à payer toutes vos factures à la fin du mois ... ?</t>
        </is>
      </c>
      <c r="H3" s="21" t="inlineStr">
        <is>
          <t>D60. During the last twelve months, would you say you had difficulties to pay your bills at the end of the month…?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HYPERLINK("#Content!A59","&lt;&lt;Back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La plupart du temps</t>
        </is>
      </c>
      <c r="C12" s="12" t="n">
        <v>1576</v>
      </c>
      <c r="D12" s="12" t="n">
        <v>111</v>
      </c>
      <c r="E12" s="12" t="n">
        <v>186</v>
      </c>
      <c r="F12" s="12" t="n">
        <v>46</v>
      </c>
      <c r="G12" s="12" t="n">
        <v>7</v>
      </c>
      <c r="H12" s="12" t="n">
        <v>46</v>
      </c>
      <c r="I12" s="12" t="n">
        <v>63</v>
      </c>
      <c r="J12" s="12" t="n">
        <v>16</v>
      </c>
      <c r="K12" s="12" t="n">
        <v>86</v>
      </c>
      <c r="L12" s="12" t="n">
        <v>90</v>
      </c>
      <c r="M12" s="12" t="n">
        <v>231</v>
      </c>
      <c r="N12" s="12" t="n">
        <v>52</v>
      </c>
      <c r="O12" s="12" t="n">
        <v>70</v>
      </c>
      <c r="P12" s="12" t="n">
        <v>58</v>
      </c>
      <c r="Q12" s="12" t="n">
        <v>47</v>
      </c>
      <c r="R12" s="12" t="n">
        <v>92</v>
      </c>
      <c r="S12" s="12" t="n">
        <v>66</v>
      </c>
      <c r="T12" s="12" t="n">
        <v>50</v>
      </c>
      <c r="U12" s="12" t="n">
        <v>18</v>
      </c>
      <c r="V12" s="12" t="n">
        <v>24</v>
      </c>
      <c r="W12" s="12" t="n">
        <v>19</v>
      </c>
      <c r="X12" s="12" t="n">
        <v>66</v>
      </c>
      <c r="Y12" s="12" t="n">
        <v>44</v>
      </c>
      <c r="Z12" s="12" t="n">
        <v>8</v>
      </c>
      <c r="AA12" s="12" t="n">
        <v>254</v>
      </c>
      <c r="AB12" s="12" t="n">
        <v>76</v>
      </c>
      <c r="AC12" s="12" t="n">
        <v>32</v>
      </c>
      <c r="AD12" s="12" t="n">
        <v>33</v>
      </c>
      <c r="AE12" s="12" t="n">
        <v>35</v>
      </c>
      <c r="AF12" s="12" t="n">
        <v>12</v>
      </c>
    </row>
    <row r="13">
      <c r="A13" s="20" t="n"/>
      <c r="B13" s="13" t="inlineStr">
        <is>
          <t>Most of the time</t>
        </is>
      </c>
      <c r="C13" s="14" t="n">
        <v>0.06</v>
      </c>
      <c r="D13" s="14" t="n">
        <v>0.11</v>
      </c>
      <c r="E13" s="14" t="n">
        <v>0.18</v>
      </c>
      <c r="F13" s="14" t="n">
        <v>0.04</v>
      </c>
      <c r="G13" s="14" t="n">
        <v>0.01</v>
      </c>
      <c r="H13" s="14" t="n">
        <v>0.04</v>
      </c>
      <c r="I13" s="14" t="n">
        <v>0.04</v>
      </c>
      <c r="J13" s="14" t="n">
        <v>0.06</v>
      </c>
      <c r="K13" s="14" t="n">
        <v>0.09</v>
      </c>
      <c r="L13" s="14" t="n">
        <v>0.09</v>
      </c>
      <c r="M13" s="14" t="n">
        <v>0.23</v>
      </c>
      <c r="N13" s="14" t="n">
        <v>0.05</v>
      </c>
      <c r="O13" s="14" t="n">
        <v>0.07000000000000001</v>
      </c>
      <c r="P13" s="14" t="n">
        <v>0.06</v>
      </c>
      <c r="Q13" s="14" t="n">
        <v>0.05</v>
      </c>
      <c r="R13" s="14" t="n">
        <v>0.18</v>
      </c>
      <c r="S13" s="14" t="n">
        <v>0.07000000000000001</v>
      </c>
      <c r="T13" s="14" t="n">
        <v>0.05</v>
      </c>
      <c r="U13" s="14" t="n">
        <v>0.04</v>
      </c>
      <c r="V13" s="14" t="n">
        <v>0.02</v>
      </c>
      <c r="W13" s="14" t="n">
        <v>0.04</v>
      </c>
      <c r="X13" s="14" t="n">
        <v>0.06</v>
      </c>
      <c r="Y13" s="14" t="n">
        <v>0.04</v>
      </c>
      <c r="Z13" s="14" t="n">
        <v>0.01</v>
      </c>
      <c r="AA13" s="14" t="n">
        <v>0.25</v>
      </c>
      <c r="AB13" s="14" t="n">
        <v>0.07000000000000001</v>
      </c>
      <c r="AC13" s="14" t="n">
        <v>0.03</v>
      </c>
      <c r="AD13" s="14" t="n">
        <v>0.03</v>
      </c>
      <c r="AE13" s="14" t="n">
        <v>0.03</v>
      </c>
      <c r="AF13" s="14" t="n">
        <v>0.01</v>
      </c>
    </row>
    <row r="14">
      <c r="A14" s="20" t="n"/>
      <c r="B14" s="11" t="inlineStr">
        <is>
          <t>De temps en temps</t>
        </is>
      </c>
      <c r="C14" s="12" t="n">
        <v>6688</v>
      </c>
      <c r="D14" s="12" t="n">
        <v>276</v>
      </c>
      <c r="E14" s="12" t="n">
        <v>437</v>
      </c>
      <c r="F14" s="12" t="n">
        <v>260</v>
      </c>
      <c r="G14" s="12" t="n">
        <v>48</v>
      </c>
      <c r="H14" s="12" t="n">
        <v>201</v>
      </c>
      <c r="I14" s="12" t="n">
        <v>258</v>
      </c>
      <c r="J14" s="12" t="n">
        <v>56</v>
      </c>
      <c r="K14" s="12" t="n">
        <v>224</v>
      </c>
      <c r="L14" s="12" t="n">
        <v>364</v>
      </c>
      <c r="M14" s="12" t="n">
        <v>520</v>
      </c>
      <c r="N14" s="12" t="n">
        <v>223</v>
      </c>
      <c r="O14" s="12" t="n">
        <v>264</v>
      </c>
      <c r="P14" s="12" t="n">
        <v>438</v>
      </c>
      <c r="Q14" s="12" t="n">
        <v>428</v>
      </c>
      <c r="R14" s="12" t="n">
        <v>136</v>
      </c>
      <c r="S14" s="12" t="n">
        <v>162</v>
      </c>
      <c r="T14" s="12" t="n">
        <v>176</v>
      </c>
      <c r="U14" s="12" t="n">
        <v>66</v>
      </c>
      <c r="V14" s="12" t="n">
        <v>117</v>
      </c>
      <c r="W14" s="12" t="n">
        <v>122</v>
      </c>
      <c r="X14" s="12" t="n">
        <v>158</v>
      </c>
      <c r="Y14" s="12" t="n">
        <v>195</v>
      </c>
      <c r="Z14" s="12" t="n">
        <v>137</v>
      </c>
      <c r="AA14" s="12" t="n">
        <v>372</v>
      </c>
      <c r="AB14" s="12" t="n">
        <v>492</v>
      </c>
      <c r="AC14" s="12" t="n">
        <v>177</v>
      </c>
      <c r="AD14" s="12" t="n">
        <v>192</v>
      </c>
      <c r="AE14" s="12" t="n">
        <v>181</v>
      </c>
      <c r="AF14" s="12" t="n">
        <v>69</v>
      </c>
    </row>
    <row r="15">
      <c r="A15" s="20" t="n"/>
      <c r="B15" s="13" t="inlineStr">
        <is>
          <t>From time to time</t>
        </is>
      </c>
      <c r="C15" s="14" t="n">
        <v>0.25</v>
      </c>
      <c r="D15" s="14" t="n">
        <v>0.27</v>
      </c>
      <c r="E15" s="14" t="n">
        <v>0.43</v>
      </c>
      <c r="F15" s="14" t="n">
        <v>0.25</v>
      </c>
      <c r="G15" s="14" t="n">
        <v>0.05</v>
      </c>
      <c r="H15" s="14" t="n">
        <v>0.16</v>
      </c>
      <c r="I15" s="14" t="n">
        <v>0.17</v>
      </c>
      <c r="J15" s="14" t="n">
        <v>0.19</v>
      </c>
      <c r="K15" s="14" t="n">
        <v>0.22</v>
      </c>
      <c r="L15" s="14" t="n">
        <v>0.36</v>
      </c>
      <c r="M15" s="14" t="n">
        <v>0.52</v>
      </c>
      <c r="N15" s="14" t="n">
        <v>0.22</v>
      </c>
      <c r="O15" s="14" t="n">
        <v>0.26</v>
      </c>
      <c r="P15" s="14" t="n">
        <v>0.43</v>
      </c>
      <c r="Q15" s="14" t="n">
        <v>0.42</v>
      </c>
      <c r="R15" s="14" t="n">
        <v>0.27</v>
      </c>
      <c r="S15" s="14" t="n">
        <v>0.16</v>
      </c>
      <c r="T15" s="14" t="n">
        <v>0.17</v>
      </c>
      <c r="U15" s="14" t="n">
        <v>0.13</v>
      </c>
      <c r="V15" s="14" t="n">
        <v>0.12</v>
      </c>
      <c r="W15" s="14" t="n">
        <v>0.24</v>
      </c>
      <c r="X15" s="14" t="n">
        <v>0.16</v>
      </c>
      <c r="Y15" s="14" t="n">
        <v>0.2</v>
      </c>
      <c r="Z15" s="14" t="n">
        <v>0.13</v>
      </c>
      <c r="AA15" s="14" t="n">
        <v>0.36</v>
      </c>
      <c r="AB15" s="14" t="n">
        <v>0.47</v>
      </c>
      <c r="AC15" s="14" t="n">
        <v>0.18</v>
      </c>
      <c r="AD15" s="14" t="n">
        <v>0.19</v>
      </c>
      <c r="AE15" s="14" t="n">
        <v>0.18</v>
      </c>
      <c r="AF15" s="14" t="n">
        <v>0.07000000000000001</v>
      </c>
    </row>
    <row r="16">
      <c r="A16" s="20" t="n"/>
      <c r="B16" s="11" t="inlineStr">
        <is>
          <t>Pratiquement jamais / jamais</t>
        </is>
      </c>
      <c r="C16" s="12" t="n">
        <v>18003</v>
      </c>
      <c r="D16" s="12" t="n">
        <v>623</v>
      </c>
      <c r="E16" s="12" t="n">
        <v>379</v>
      </c>
      <c r="F16" s="12" t="n">
        <v>738</v>
      </c>
      <c r="G16" s="12" t="n">
        <v>940</v>
      </c>
      <c r="H16" s="12" t="n">
        <v>957</v>
      </c>
      <c r="I16" s="12" t="n">
        <v>1174</v>
      </c>
      <c r="J16" s="12" t="n">
        <v>217</v>
      </c>
      <c r="K16" s="12" t="n">
        <v>678</v>
      </c>
      <c r="L16" s="12" t="n">
        <v>552</v>
      </c>
      <c r="M16" s="12" t="n">
        <v>252</v>
      </c>
      <c r="N16" s="12" t="n">
        <v>730</v>
      </c>
      <c r="O16" s="12" t="n">
        <v>673</v>
      </c>
      <c r="P16" s="12" t="n">
        <v>511</v>
      </c>
      <c r="Q16" s="12" t="n">
        <v>547</v>
      </c>
      <c r="R16" s="12" t="n">
        <v>276</v>
      </c>
      <c r="S16" s="12" t="n">
        <v>773</v>
      </c>
      <c r="T16" s="12" t="n">
        <v>782</v>
      </c>
      <c r="U16" s="12" t="n">
        <v>423</v>
      </c>
      <c r="V16" s="12" t="n">
        <v>876</v>
      </c>
      <c r="W16" s="12" t="n">
        <v>363</v>
      </c>
      <c r="X16" s="12" t="n">
        <v>792</v>
      </c>
      <c r="Y16" s="12" t="n">
        <v>736</v>
      </c>
      <c r="Z16" s="12" t="n">
        <v>874</v>
      </c>
      <c r="AA16" s="12" t="n">
        <v>404</v>
      </c>
      <c r="AB16" s="12" t="n">
        <v>477</v>
      </c>
      <c r="AC16" s="12" t="n">
        <v>798</v>
      </c>
      <c r="AD16" s="12" t="n">
        <v>755</v>
      </c>
      <c r="AE16" s="12" t="n">
        <v>799</v>
      </c>
      <c r="AF16" s="12" t="n">
        <v>956</v>
      </c>
    </row>
    <row r="17">
      <c r="A17" s="20" t="n"/>
      <c r="B17" s="13" t="inlineStr">
        <is>
          <t>Almost never / Never</t>
        </is>
      </c>
      <c r="C17" s="14" t="n">
        <v>0.68</v>
      </c>
      <c r="D17" s="14" t="n">
        <v>0.61</v>
      </c>
      <c r="E17" s="14" t="n">
        <v>0.38</v>
      </c>
      <c r="F17" s="14" t="n">
        <v>0.7000000000000001</v>
      </c>
      <c r="G17" s="14" t="n">
        <v>0.93</v>
      </c>
      <c r="H17" s="14" t="n">
        <v>0.79</v>
      </c>
      <c r="I17" s="14" t="n">
        <v>0.78</v>
      </c>
      <c r="J17" s="14" t="n">
        <v>0.74</v>
      </c>
      <c r="K17" s="14" t="n">
        <v>0.67</v>
      </c>
      <c r="L17" s="14" t="n">
        <v>0.55</v>
      </c>
      <c r="M17" s="14" t="n">
        <v>0.25</v>
      </c>
      <c r="N17" s="14" t="n">
        <v>0.73</v>
      </c>
      <c r="O17" s="14" t="n">
        <v>0.66</v>
      </c>
      <c r="P17" s="14" t="n">
        <v>0.51</v>
      </c>
      <c r="Q17" s="14" t="n">
        <v>0.53</v>
      </c>
      <c r="R17" s="14" t="n">
        <v>0.55</v>
      </c>
      <c r="S17" s="14" t="n">
        <v>0.77</v>
      </c>
      <c r="T17" s="14" t="n">
        <v>0.77</v>
      </c>
      <c r="U17" s="14" t="n">
        <v>0.8300000000000001</v>
      </c>
      <c r="V17" s="14" t="n">
        <v>0.86</v>
      </c>
      <c r="W17" s="14" t="n">
        <v>0.72</v>
      </c>
      <c r="X17" s="14" t="n">
        <v>0.77</v>
      </c>
      <c r="Y17" s="14" t="n">
        <v>0.73</v>
      </c>
      <c r="Z17" s="14" t="n">
        <v>0.86</v>
      </c>
      <c r="AA17" s="14" t="n">
        <v>0.39</v>
      </c>
      <c r="AB17" s="14" t="n">
        <v>0.46</v>
      </c>
      <c r="AC17" s="14" t="n">
        <v>0.79</v>
      </c>
      <c r="AD17" s="14" t="n">
        <v>0.76</v>
      </c>
      <c r="AE17" s="14" t="n">
        <v>0.79</v>
      </c>
      <c r="AF17" s="14" t="n">
        <v>0.92</v>
      </c>
    </row>
    <row r="18">
      <c r="A18" s="20" t="n"/>
      <c r="B18" s="11" t="inlineStr">
        <is>
          <t>Refus (SPONTANÉ)</t>
        </is>
      </c>
      <c r="C18" s="12" t="n">
        <v>155</v>
      </c>
      <c r="D18" s="12" t="n">
        <v>10</v>
      </c>
      <c r="E18" s="12" t="n">
        <v>12</v>
      </c>
      <c r="F18" s="12" t="n">
        <v>5</v>
      </c>
      <c r="G18" s="12" t="n">
        <v>12</v>
      </c>
      <c r="H18" s="12" t="n">
        <v>9</v>
      </c>
      <c r="I18" s="12" t="n">
        <v>13</v>
      </c>
      <c r="J18" s="12" t="n">
        <v>3</v>
      </c>
      <c r="K18" s="12" t="n">
        <v>19</v>
      </c>
      <c r="L18" s="12" t="n">
        <v>3</v>
      </c>
      <c r="M18" s="12" t="n">
        <v>4</v>
      </c>
      <c r="N18" s="12" t="n">
        <v>1</v>
      </c>
      <c r="O18" s="12" t="n">
        <v>8</v>
      </c>
      <c r="P18" s="12" t="n">
        <v>0</v>
      </c>
      <c r="Q18" s="12" t="n">
        <v>6</v>
      </c>
      <c r="R18" s="12" t="n">
        <v>0</v>
      </c>
      <c r="S18" s="12" t="n">
        <v>4</v>
      </c>
      <c r="T18" s="12" t="n">
        <v>9</v>
      </c>
      <c r="U18" s="12" t="n">
        <v>1</v>
      </c>
      <c r="V18" s="12" t="n">
        <v>2</v>
      </c>
      <c r="W18" s="12" t="n">
        <v>0</v>
      </c>
      <c r="X18" s="12" t="n">
        <v>7</v>
      </c>
      <c r="Y18" s="12" t="n">
        <v>29</v>
      </c>
      <c r="Z18" s="12" t="n">
        <v>1</v>
      </c>
      <c r="AA18" s="12" t="n">
        <v>1</v>
      </c>
      <c r="AB18" s="12" t="n">
        <v>0</v>
      </c>
      <c r="AC18" s="12" t="n">
        <v>0</v>
      </c>
      <c r="AD18" s="12" t="n">
        <v>20</v>
      </c>
      <c r="AE18" s="12" t="n">
        <v>1</v>
      </c>
      <c r="AF18" s="12" t="n">
        <v>0</v>
      </c>
    </row>
    <row r="19">
      <c r="A19" s="23" t="n"/>
      <c r="B19" s="13" t="inlineStr">
        <is>
          <t>Refusal (SPONTANEOUS)</t>
        </is>
      </c>
      <c r="C19" s="14" t="n">
        <v>0.01</v>
      </c>
      <c r="D19" s="14" t="n">
        <v>0.01</v>
      </c>
      <c r="E19" s="14" t="n">
        <v>0.01</v>
      </c>
      <c r="F19" s="14" t="n">
        <v>0.01</v>
      </c>
      <c r="G19" s="14" t="n">
        <v>0.01</v>
      </c>
      <c r="H19" s="14" t="n">
        <v>0.01</v>
      </c>
      <c r="I19" s="14" t="n">
        <v>0.01</v>
      </c>
      <c r="J19" s="14" t="n">
        <v>0.01</v>
      </c>
      <c r="K19" s="14" t="n">
        <v>0.02</v>
      </c>
      <c r="L19" s="15" t="inlineStr">
        <is>
          <t>-</t>
        </is>
      </c>
      <c r="M19" s="15" t="inlineStr">
        <is>
          <t>-</t>
        </is>
      </c>
      <c r="N19" s="15" t="inlineStr">
        <is>
          <t>-</t>
        </is>
      </c>
      <c r="O19" s="14" t="n">
        <v>0.01</v>
      </c>
      <c r="P19" s="15" t="inlineStr">
        <is>
          <t>-</t>
        </is>
      </c>
      <c r="Q19" s="15" t="inlineStr">
        <is>
          <t>-</t>
        </is>
      </c>
      <c r="R19" s="15" t="inlineStr">
        <is>
          <t>-</t>
        </is>
      </c>
      <c r="S19" s="15" t="inlineStr">
        <is>
          <t>-</t>
        </is>
      </c>
      <c r="T19" s="14" t="n">
        <v>0.01</v>
      </c>
      <c r="U19" s="15" t="inlineStr">
        <is>
          <t>-</t>
        </is>
      </c>
      <c r="V19" s="15" t="inlineStr">
        <is>
          <t>-</t>
        </is>
      </c>
      <c r="W19" s="15" t="inlineStr">
        <is>
          <t>-</t>
        </is>
      </c>
      <c r="X19" s="14" t="n">
        <v>0.01</v>
      </c>
      <c r="Y19" s="14" t="n">
        <v>0.03</v>
      </c>
      <c r="Z19" s="15" t="inlineStr">
        <is>
          <t>-</t>
        </is>
      </c>
      <c r="AA19" s="15" t="inlineStr">
        <is>
          <t>-</t>
        </is>
      </c>
      <c r="AB19" s="15" t="inlineStr">
        <is>
          <t>-</t>
        </is>
      </c>
      <c r="AC19" s="15" t="inlineStr">
        <is>
          <t>-</t>
        </is>
      </c>
      <c r="AD19" s="14" t="n">
        <v>0.02</v>
      </c>
      <c r="AE19" s="15" t="inlineStr">
        <is>
          <t>-</t>
        </is>
      </c>
      <c r="AF19" s="15" t="inlineStr">
        <is>
          <t>-</t>
        </is>
      </c>
    </row>
  </sheetData>
  <mergeCells count="9">
    <mergeCell ref="B4:F4"/>
    <mergeCell ref="H3:L3"/>
    <mergeCell ref="C8:AF8"/>
    <mergeCell ref="B3:F3"/>
    <mergeCell ref="B5:F5"/>
    <mergeCell ref="A10:A19"/>
    <mergeCell ref="H5:L5"/>
    <mergeCell ref="B10:B11"/>
    <mergeCell ref="H4:L4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12" customHeight="1" s="18">
      <c r="B3" s="21" t="inlineStr">
        <is>
          <t>D62.1. Pouvez-vous dire si… ?</t>
        </is>
      </c>
      <c r="H3" s="21" t="inlineStr">
        <is>
          <t>D62.1. Could you tell if…?</t>
        </is>
      </c>
    </row>
    <row r="4" ht="27" customHeight="1" s="18">
      <c r="B4" s="21" t="inlineStr">
        <is>
          <t>Vous utilisez Internet chez vous, à votre domicile</t>
        </is>
      </c>
      <c r="H4" s="21" t="inlineStr">
        <is>
          <t>You use the Internet at home, in your home</t>
        </is>
      </c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HYPERLINK("#Content!A60","&lt;&lt;Back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Tous les jours ou presque</t>
        </is>
      </c>
      <c r="C12" s="12" t="n">
        <v>21299</v>
      </c>
      <c r="D12" s="12" t="n">
        <v>895</v>
      </c>
      <c r="E12" s="12" t="n">
        <v>744</v>
      </c>
      <c r="F12" s="12" t="n">
        <v>793</v>
      </c>
      <c r="G12" s="12" t="n">
        <v>963</v>
      </c>
      <c r="H12" s="12" t="n">
        <v>977</v>
      </c>
      <c r="I12" s="12" t="n">
        <v>1213</v>
      </c>
      <c r="J12" s="12" t="n">
        <v>237</v>
      </c>
      <c r="K12" s="12" t="n">
        <v>808</v>
      </c>
      <c r="L12" s="12" t="n">
        <v>884</v>
      </c>
      <c r="M12" s="12" t="n">
        <v>836</v>
      </c>
      <c r="N12" s="12" t="n">
        <v>839</v>
      </c>
      <c r="O12" s="12" t="n">
        <v>821</v>
      </c>
      <c r="P12" s="12" t="n">
        <v>776</v>
      </c>
      <c r="Q12" s="12" t="n">
        <v>715</v>
      </c>
      <c r="R12" s="12" t="n">
        <v>427</v>
      </c>
      <c r="S12" s="12" t="n">
        <v>854</v>
      </c>
      <c r="T12" s="12" t="n">
        <v>844</v>
      </c>
      <c r="U12" s="12" t="n">
        <v>469</v>
      </c>
      <c r="V12" s="12" t="n">
        <v>812</v>
      </c>
      <c r="W12" s="12" t="n">
        <v>432</v>
      </c>
      <c r="X12" s="12" t="n">
        <v>986</v>
      </c>
      <c r="Y12" s="12" t="n">
        <v>688</v>
      </c>
      <c r="Z12" s="12" t="n">
        <v>832</v>
      </c>
      <c r="AA12" s="12" t="n">
        <v>800</v>
      </c>
      <c r="AB12" s="12" t="n">
        <v>839</v>
      </c>
      <c r="AC12" s="12" t="n">
        <v>789</v>
      </c>
      <c r="AD12" s="12" t="n">
        <v>817</v>
      </c>
      <c r="AE12" s="12" t="n">
        <v>940</v>
      </c>
      <c r="AF12" s="12" t="n">
        <v>1003</v>
      </c>
    </row>
    <row r="13">
      <c r="A13" s="20" t="n"/>
      <c r="B13" s="13" t="inlineStr">
        <is>
          <t>Every day or almost every day</t>
        </is>
      </c>
      <c r="C13" s="14" t="n">
        <v>0.8100000000000001</v>
      </c>
      <c r="D13" s="14" t="n">
        <v>0.88</v>
      </c>
      <c r="E13" s="14" t="n">
        <v>0.73</v>
      </c>
      <c r="F13" s="14" t="n">
        <v>0.76</v>
      </c>
      <c r="G13" s="14" t="n">
        <v>0.96</v>
      </c>
      <c r="H13" s="14" t="n">
        <v>0.8</v>
      </c>
      <c r="I13" s="14" t="n">
        <v>0.8</v>
      </c>
      <c r="J13" s="14" t="n">
        <v>0.8100000000000001</v>
      </c>
      <c r="K13" s="14" t="n">
        <v>0.8</v>
      </c>
      <c r="L13" s="14" t="n">
        <v>0.88</v>
      </c>
      <c r="M13" s="14" t="n">
        <v>0.8300000000000001</v>
      </c>
      <c r="N13" s="14" t="n">
        <v>0.8300000000000001</v>
      </c>
      <c r="O13" s="14" t="n">
        <v>0.8100000000000001</v>
      </c>
      <c r="P13" s="14" t="n">
        <v>0.77</v>
      </c>
      <c r="Q13" s="14" t="n">
        <v>0.6900000000000001</v>
      </c>
      <c r="R13" s="14" t="n">
        <v>0.85</v>
      </c>
      <c r="S13" s="14" t="n">
        <v>0.85</v>
      </c>
      <c r="T13" s="14" t="n">
        <v>0.8300000000000001</v>
      </c>
      <c r="U13" s="14" t="n">
        <v>0.92</v>
      </c>
      <c r="V13" s="14" t="n">
        <v>0.79</v>
      </c>
      <c r="W13" s="14" t="n">
        <v>0.86</v>
      </c>
      <c r="X13" s="14" t="n">
        <v>0.96</v>
      </c>
      <c r="Y13" s="14" t="n">
        <v>0.68</v>
      </c>
      <c r="Z13" s="14" t="n">
        <v>0.8200000000000001</v>
      </c>
      <c r="AA13" s="14" t="n">
        <v>0.78</v>
      </c>
      <c r="AB13" s="14" t="n">
        <v>0.8</v>
      </c>
      <c r="AC13" s="14" t="n">
        <v>0.78</v>
      </c>
      <c r="AD13" s="14" t="n">
        <v>0.8200000000000001</v>
      </c>
      <c r="AE13" s="14" t="n">
        <v>0.93</v>
      </c>
      <c r="AF13" s="14" t="n">
        <v>0.97</v>
      </c>
    </row>
    <row r="14">
      <c r="A14" s="20" t="n"/>
      <c r="B14" s="11" t="inlineStr">
        <is>
          <t>Deux ou trois fois par semaine</t>
        </is>
      </c>
      <c r="C14" s="12" t="n">
        <v>1668</v>
      </c>
      <c r="D14" s="12" t="n">
        <v>52</v>
      </c>
      <c r="E14" s="12" t="n">
        <v>75</v>
      </c>
      <c r="F14" s="12" t="n">
        <v>93</v>
      </c>
      <c r="G14" s="12" t="n">
        <v>20</v>
      </c>
      <c r="H14" s="12" t="n">
        <v>94</v>
      </c>
      <c r="I14" s="12" t="n">
        <v>113</v>
      </c>
      <c r="J14" s="12" t="n">
        <v>19</v>
      </c>
      <c r="K14" s="12" t="n">
        <v>59</v>
      </c>
      <c r="L14" s="12" t="n">
        <v>52</v>
      </c>
      <c r="M14" s="12" t="n">
        <v>28</v>
      </c>
      <c r="N14" s="12" t="n">
        <v>45</v>
      </c>
      <c r="O14" s="12" t="n">
        <v>59</v>
      </c>
      <c r="P14" s="12" t="n">
        <v>51</v>
      </c>
      <c r="Q14" s="12" t="n">
        <v>113</v>
      </c>
      <c r="R14" s="12" t="n">
        <v>24</v>
      </c>
      <c r="S14" s="12" t="n">
        <v>12</v>
      </c>
      <c r="T14" s="12" t="n">
        <v>19</v>
      </c>
      <c r="U14" s="12" t="n">
        <v>18</v>
      </c>
      <c r="V14" s="12" t="n">
        <v>71</v>
      </c>
      <c r="W14" s="12" t="n">
        <v>15</v>
      </c>
      <c r="X14" s="12" t="n">
        <v>21</v>
      </c>
      <c r="Y14" s="12" t="n">
        <v>148</v>
      </c>
      <c r="Z14" s="12" t="n">
        <v>52</v>
      </c>
      <c r="AA14" s="12" t="n">
        <v>33</v>
      </c>
      <c r="AB14" s="12" t="n">
        <v>50</v>
      </c>
      <c r="AC14" s="12" t="n">
        <v>50</v>
      </c>
      <c r="AD14" s="12" t="n">
        <v>53</v>
      </c>
      <c r="AE14" s="12" t="n">
        <v>28</v>
      </c>
      <c r="AF14" s="12" t="n">
        <v>15</v>
      </c>
    </row>
    <row r="15">
      <c r="A15" s="20" t="n"/>
      <c r="B15" s="13" t="inlineStr">
        <is>
          <t>Two or three times a week</t>
        </is>
      </c>
      <c r="C15" s="14" t="n">
        <v>0.06</v>
      </c>
      <c r="D15" s="14" t="n">
        <v>0.05</v>
      </c>
      <c r="E15" s="14" t="n">
        <v>0.08</v>
      </c>
      <c r="F15" s="14" t="n">
        <v>0.09</v>
      </c>
      <c r="G15" s="14" t="n">
        <v>0.02</v>
      </c>
      <c r="H15" s="14" t="n">
        <v>0.08</v>
      </c>
      <c r="I15" s="14" t="n">
        <v>0.08</v>
      </c>
      <c r="J15" s="14" t="n">
        <v>0.07000000000000001</v>
      </c>
      <c r="K15" s="14" t="n">
        <v>0.06</v>
      </c>
      <c r="L15" s="14" t="n">
        <v>0.05</v>
      </c>
      <c r="M15" s="14" t="n">
        <v>0.03</v>
      </c>
      <c r="N15" s="14" t="n">
        <v>0.05</v>
      </c>
      <c r="O15" s="14" t="n">
        <v>0.06</v>
      </c>
      <c r="P15" s="14" t="n">
        <v>0.05</v>
      </c>
      <c r="Q15" s="14" t="n">
        <v>0.11</v>
      </c>
      <c r="R15" s="14" t="n">
        <v>0.05</v>
      </c>
      <c r="S15" s="14" t="n">
        <v>0.01</v>
      </c>
      <c r="T15" s="14" t="n">
        <v>0.02</v>
      </c>
      <c r="U15" s="14" t="n">
        <v>0.04</v>
      </c>
      <c r="V15" s="14" t="n">
        <v>0.07000000000000001</v>
      </c>
      <c r="W15" s="14" t="n">
        <v>0.03</v>
      </c>
      <c r="X15" s="14" t="n">
        <v>0.02</v>
      </c>
      <c r="Y15" s="14" t="n">
        <v>0.15</v>
      </c>
      <c r="Z15" s="14" t="n">
        <v>0.05</v>
      </c>
      <c r="AA15" s="14" t="n">
        <v>0.03</v>
      </c>
      <c r="AB15" s="14" t="n">
        <v>0.05</v>
      </c>
      <c r="AC15" s="14" t="n">
        <v>0.05</v>
      </c>
      <c r="AD15" s="14" t="n">
        <v>0.05</v>
      </c>
      <c r="AE15" s="14" t="n">
        <v>0.03</v>
      </c>
      <c r="AF15" s="14" t="n">
        <v>0.02</v>
      </c>
    </row>
    <row r="16">
      <c r="A16" s="20" t="n"/>
      <c r="B16" s="11" t="inlineStr">
        <is>
          <t>Environ une fois par semaine</t>
        </is>
      </c>
      <c r="C16" s="12" t="n">
        <v>444</v>
      </c>
      <c r="D16" s="12" t="n">
        <v>12</v>
      </c>
      <c r="E16" s="12" t="n">
        <v>13</v>
      </c>
      <c r="F16" s="12" t="n">
        <v>19</v>
      </c>
      <c r="G16" s="12" t="n">
        <v>3</v>
      </c>
      <c r="H16" s="12" t="n">
        <v>17</v>
      </c>
      <c r="I16" s="12" t="n">
        <v>24</v>
      </c>
      <c r="J16" s="12" t="n">
        <v>7</v>
      </c>
      <c r="K16" s="12" t="n">
        <v>18</v>
      </c>
      <c r="L16" s="12" t="n">
        <v>9</v>
      </c>
      <c r="M16" s="12" t="n">
        <v>3</v>
      </c>
      <c r="N16" s="12" t="n">
        <v>6</v>
      </c>
      <c r="O16" s="12" t="n">
        <v>19</v>
      </c>
      <c r="P16" s="12" t="n">
        <v>15</v>
      </c>
      <c r="Q16" s="12" t="n">
        <v>43</v>
      </c>
      <c r="R16" s="12" t="n">
        <v>5</v>
      </c>
      <c r="S16" s="12" t="n">
        <v>8</v>
      </c>
      <c r="T16" s="12" t="n">
        <v>6</v>
      </c>
      <c r="U16" s="12" t="n">
        <v>5</v>
      </c>
      <c r="V16" s="12" t="n">
        <v>21</v>
      </c>
      <c r="W16" s="12" t="n">
        <v>5</v>
      </c>
      <c r="X16" s="12" t="n">
        <v>4</v>
      </c>
      <c r="Y16" s="12" t="n">
        <v>41</v>
      </c>
      <c r="Z16" s="12" t="n">
        <v>9</v>
      </c>
      <c r="AA16" s="12" t="n">
        <v>8</v>
      </c>
      <c r="AB16" s="12" t="n">
        <v>14</v>
      </c>
      <c r="AC16" s="12" t="n">
        <v>24</v>
      </c>
      <c r="AD16" s="12" t="n">
        <v>15</v>
      </c>
      <c r="AE16" s="12" t="n">
        <v>7</v>
      </c>
      <c r="AF16" s="12" t="n">
        <v>0</v>
      </c>
    </row>
    <row r="17">
      <c r="A17" s="20" t="n"/>
      <c r="B17" s="13" t="inlineStr">
        <is>
          <t>About once a week</t>
        </is>
      </c>
      <c r="C17" s="14" t="n">
        <v>0.02</v>
      </c>
      <c r="D17" s="14" t="n">
        <v>0.01</v>
      </c>
      <c r="E17" s="14" t="n">
        <v>0.01</v>
      </c>
      <c r="F17" s="14" t="n">
        <v>0.02</v>
      </c>
      <c r="G17" s="15" t="inlineStr">
        <is>
          <t>-</t>
        </is>
      </c>
      <c r="H17" s="14" t="n">
        <v>0.01</v>
      </c>
      <c r="I17" s="14" t="n">
        <v>0.02</v>
      </c>
      <c r="J17" s="14" t="n">
        <v>0.02</v>
      </c>
      <c r="K17" s="14" t="n">
        <v>0.02</v>
      </c>
      <c r="L17" s="14" t="n">
        <v>0.01</v>
      </c>
      <c r="M17" s="15" t="inlineStr">
        <is>
          <t>-</t>
        </is>
      </c>
      <c r="N17" s="14" t="n">
        <v>0.01</v>
      </c>
      <c r="O17" s="14" t="n">
        <v>0.02</v>
      </c>
      <c r="P17" s="14" t="n">
        <v>0.02</v>
      </c>
      <c r="Q17" s="14" t="n">
        <v>0.04</v>
      </c>
      <c r="R17" s="14" t="n">
        <v>0.01</v>
      </c>
      <c r="S17" s="14" t="n">
        <v>0.01</v>
      </c>
      <c r="T17" s="14" t="n">
        <v>0.01</v>
      </c>
      <c r="U17" s="14" t="n">
        <v>0.01</v>
      </c>
      <c r="V17" s="14" t="n">
        <v>0.02</v>
      </c>
      <c r="W17" s="14" t="n">
        <v>0.01</v>
      </c>
      <c r="X17" s="15" t="inlineStr">
        <is>
          <t>-</t>
        </is>
      </c>
      <c r="Y17" s="14" t="n">
        <v>0.04</v>
      </c>
      <c r="Z17" s="14" t="n">
        <v>0.01</v>
      </c>
      <c r="AA17" s="14" t="n">
        <v>0.01</v>
      </c>
      <c r="AB17" s="14" t="n">
        <v>0.02</v>
      </c>
      <c r="AC17" s="14" t="n">
        <v>0.02</v>
      </c>
      <c r="AD17" s="14" t="n">
        <v>0.02</v>
      </c>
      <c r="AE17" s="14" t="n">
        <v>0.01</v>
      </c>
      <c r="AF17" s="15" t="inlineStr">
        <is>
          <t>-</t>
        </is>
      </c>
    </row>
    <row r="18">
      <c r="A18" s="20" t="n"/>
      <c r="B18" s="11" t="inlineStr">
        <is>
          <t>Deux ou trois fois par mois</t>
        </is>
      </c>
      <c r="C18" s="12" t="n">
        <v>122</v>
      </c>
      <c r="D18" s="12" t="n">
        <v>5</v>
      </c>
      <c r="E18" s="12" t="n">
        <v>3</v>
      </c>
      <c r="F18" s="12" t="n">
        <v>4</v>
      </c>
      <c r="G18" s="12" t="n">
        <v>4</v>
      </c>
      <c r="H18" s="12" t="n">
        <v>11</v>
      </c>
      <c r="I18" s="12" t="n">
        <v>11</v>
      </c>
      <c r="J18" s="12" t="n">
        <v>0</v>
      </c>
      <c r="K18" s="12" t="n">
        <v>7</v>
      </c>
      <c r="L18" s="12" t="n">
        <v>0</v>
      </c>
      <c r="M18" s="12" t="n">
        <v>1</v>
      </c>
      <c r="N18" s="12" t="n">
        <v>1</v>
      </c>
      <c r="O18" s="12" t="n">
        <v>8</v>
      </c>
      <c r="P18" s="12" t="n">
        <v>2</v>
      </c>
      <c r="Q18" s="12" t="n">
        <v>5</v>
      </c>
      <c r="R18" s="12" t="n">
        <v>0</v>
      </c>
      <c r="S18" s="12" t="n">
        <v>3</v>
      </c>
      <c r="T18" s="12" t="n">
        <v>3</v>
      </c>
      <c r="U18" s="12" t="n">
        <v>1</v>
      </c>
      <c r="V18" s="12" t="n">
        <v>1</v>
      </c>
      <c r="W18" s="12" t="n">
        <v>1</v>
      </c>
      <c r="X18" s="12" t="n">
        <v>5</v>
      </c>
      <c r="Y18" s="12" t="n">
        <v>6</v>
      </c>
      <c r="Z18" s="12" t="n">
        <v>2</v>
      </c>
      <c r="AA18" s="12" t="n">
        <v>2</v>
      </c>
      <c r="AB18" s="12" t="n">
        <v>3</v>
      </c>
      <c r="AC18" s="12" t="n">
        <v>8</v>
      </c>
      <c r="AD18" s="12" t="n">
        <v>4</v>
      </c>
      <c r="AE18" s="12" t="n">
        <v>3</v>
      </c>
      <c r="AF18" s="12" t="n">
        <v>1</v>
      </c>
    </row>
    <row r="19">
      <c r="A19" s="20" t="n"/>
      <c r="B19" s="13" t="inlineStr">
        <is>
          <t>Two or three times a month</t>
        </is>
      </c>
      <c r="C19" s="15" t="inlineStr">
        <is>
          <t>-</t>
        </is>
      </c>
      <c r="D19" s="14" t="n">
        <v>0.01</v>
      </c>
      <c r="E19" s="15" t="inlineStr">
        <is>
          <t>-</t>
        </is>
      </c>
      <c r="F19" s="15" t="inlineStr">
        <is>
          <t>-</t>
        </is>
      </c>
      <c r="G19" s="14" t="n">
        <v>0.01</v>
      </c>
      <c r="H19" s="14" t="n">
        <v>0.01</v>
      </c>
      <c r="I19" s="14" t="n">
        <v>0.01</v>
      </c>
      <c r="J19" s="15" t="inlineStr">
        <is>
          <t>-</t>
        </is>
      </c>
      <c r="K19" s="14" t="n">
        <v>0.01</v>
      </c>
      <c r="L19" s="15" t="inlineStr">
        <is>
          <t>-</t>
        </is>
      </c>
      <c r="M19" s="15" t="inlineStr">
        <is>
          <t>-</t>
        </is>
      </c>
      <c r="N19" s="15" t="inlineStr">
        <is>
          <t>-</t>
        </is>
      </c>
      <c r="O19" s="14" t="n">
        <v>0.01</v>
      </c>
      <c r="P19" s="15" t="inlineStr">
        <is>
          <t>-</t>
        </is>
      </c>
      <c r="Q19" s="14" t="n">
        <v>0.01</v>
      </c>
      <c r="R19" s="15" t="inlineStr">
        <is>
          <t>-</t>
        </is>
      </c>
      <c r="S19" s="15" t="inlineStr">
        <is>
          <t>-</t>
        </is>
      </c>
      <c r="T19" s="15" t="inlineStr">
        <is>
          <t>-</t>
        </is>
      </c>
      <c r="U19" s="15" t="inlineStr">
        <is>
          <t>-</t>
        </is>
      </c>
      <c r="V19" s="15" t="inlineStr">
        <is>
          <t>-</t>
        </is>
      </c>
      <c r="W19" s="15" t="inlineStr">
        <is>
          <t>-</t>
        </is>
      </c>
      <c r="X19" s="14" t="n">
        <v>0.01</v>
      </c>
      <c r="Y19" s="14" t="n">
        <v>0.01</v>
      </c>
      <c r="Z19" s="15" t="inlineStr">
        <is>
          <t>-</t>
        </is>
      </c>
      <c r="AA19" s="15" t="inlineStr">
        <is>
          <t>-</t>
        </is>
      </c>
      <c r="AB19" s="15" t="inlineStr">
        <is>
          <t>-</t>
        </is>
      </c>
      <c r="AC19" s="14" t="n">
        <v>0.01</v>
      </c>
      <c r="AD19" s="15" t="inlineStr">
        <is>
          <t>-</t>
        </is>
      </c>
      <c r="AE19" s="15" t="inlineStr">
        <is>
          <t>-</t>
        </is>
      </c>
      <c r="AF19" s="15" t="inlineStr">
        <is>
          <t>-</t>
        </is>
      </c>
    </row>
    <row r="20">
      <c r="A20" s="20" t="n"/>
      <c r="B20" s="11" t="inlineStr">
        <is>
          <t>Moins souvent</t>
        </is>
      </c>
      <c r="C20" s="12" t="n">
        <v>323</v>
      </c>
      <c r="D20" s="12" t="n">
        <v>11</v>
      </c>
      <c r="E20" s="12" t="n">
        <v>26</v>
      </c>
      <c r="F20" s="12" t="n">
        <v>23</v>
      </c>
      <c r="G20" s="12" t="n">
        <v>2</v>
      </c>
      <c r="H20" s="12" t="n">
        <v>9</v>
      </c>
      <c r="I20" s="12" t="n">
        <v>20</v>
      </c>
      <c r="J20" s="12" t="n">
        <v>10</v>
      </c>
      <c r="K20" s="12" t="n">
        <v>26</v>
      </c>
      <c r="L20" s="12" t="n">
        <v>12</v>
      </c>
      <c r="M20" s="12" t="n">
        <v>5</v>
      </c>
      <c r="N20" s="12" t="n">
        <v>7</v>
      </c>
      <c r="O20" s="12" t="n">
        <v>8</v>
      </c>
      <c r="P20" s="12" t="n">
        <v>34</v>
      </c>
      <c r="Q20" s="12" t="n">
        <v>29</v>
      </c>
      <c r="R20" s="12" t="n">
        <v>5</v>
      </c>
      <c r="S20" s="12" t="n">
        <v>4</v>
      </c>
      <c r="T20" s="12" t="n">
        <v>5</v>
      </c>
      <c r="U20" s="12" t="n">
        <v>4</v>
      </c>
      <c r="V20" s="12" t="n">
        <v>7</v>
      </c>
      <c r="W20" s="12" t="n">
        <v>5</v>
      </c>
      <c r="X20" s="12" t="n">
        <v>1</v>
      </c>
      <c r="Y20" s="12" t="n">
        <v>16</v>
      </c>
      <c r="Z20" s="12" t="n">
        <v>7</v>
      </c>
      <c r="AA20" s="12" t="n">
        <v>11</v>
      </c>
      <c r="AB20" s="12" t="n">
        <v>10</v>
      </c>
      <c r="AC20" s="12" t="n">
        <v>18</v>
      </c>
      <c r="AD20" s="12" t="n">
        <v>12</v>
      </c>
      <c r="AE20" s="12" t="n">
        <v>4</v>
      </c>
      <c r="AF20" s="12" t="n">
        <v>4</v>
      </c>
    </row>
    <row r="21">
      <c r="A21" s="20" t="n"/>
      <c r="B21" s="13" t="inlineStr">
        <is>
          <t>Less often</t>
        </is>
      </c>
      <c r="C21" s="14" t="n">
        <v>0.01</v>
      </c>
      <c r="D21" s="14" t="n">
        <v>0.01</v>
      </c>
      <c r="E21" s="14" t="n">
        <v>0.03</v>
      </c>
      <c r="F21" s="14" t="n">
        <v>0.02</v>
      </c>
      <c r="G21" s="15" t="inlineStr">
        <is>
          <t>-</t>
        </is>
      </c>
      <c r="H21" s="14" t="n">
        <v>0.01</v>
      </c>
      <c r="I21" s="14" t="n">
        <v>0.01</v>
      </c>
      <c r="J21" s="14" t="n">
        <v>0.03</v>
      </c>
      <c r="K21" s="14" t="n">
        <v>0.03</v>
      </c>
      <c r="L21" s="14" t="n">
        <v>0.01</v>
      </c>
      <c r="M21" s="14" t="n">
        <v>0.01</v>
      </c>
      <c r="N21" s="14" t="n">
        <v>0.01</v>
      </c>
      <c r="O21" s="14" t="n">
        <v>0.01</v>
      </c>
      <c r="P21" s="14" t="n">
        <v>0.03</v>
      </c>
      <c r="Q21" s="14" t="n">
        <v>0.03</v>
      </c>
      <c r="R21" s="14" t="n">
        <v>0.01</v>
      </c>
      <c r="S21" s="14" t="n">
        <v>0.01</v>
      </c>
      <c r="T21" s="14" t="n">
        <v>0.01</v>
      </c>
      <c r="U21" s="14" t="n">
        <v>0.01</v>
      </c>
      <c r="V21" s="14" t="n">
        <v>0.01</v>
      </c>
      <c r="W21" s="14" t="n">
        <v>0.01</v>
      </c>
      <c r="X21" s="15" t="inlineStr">
        <is>
          <t>-</t>
        </is>
      </c>
      <c r="Y21" s="14" t="n">
        <v>0.02</v>
      </c>
      <c r="Z21" s="14" t="n">
        <v>0.01</v>
      </c>
      <c r="AA21" s="14" t="n">
        <v>0.01</v>
      </c>
      <c r="AB21" s="14" t="n">
        <v>0.01</v>
      </c>
      <c r="AC21" s="14" t="n">
        <v>0.02</v>
      </c>
      <c r="AD21" s="14" t="n">
        <v>0.01</v>
      </c>
      <c r="AE21" s="15" t="inlineStr">
        <is>
          <t>-</t>
        </is>
      </c>
      <c r="AF21" s="15" t="inlineStr">
        <is>
          <t>-</t>
        </is>
      </c>
    </row>
    <row r="22">
      <c r="A22" s="20" t="n"/>
      <c r="B22" s="11" t="inlineStr">
        <is>
          <t>Jamais</t>
        </is>
      </c>
      <c r="C22" s="12" t="n">
        <v>2368</v>
      </c>
      <c r="D22" s="12" t="n">
        <v>43</v>
      </c>
      <c r="E22" s="12" t="n">
        <v>119</v>
      </c>
      <c r="F22" s="12" t="n">
        <v>103</v>
      </c>
      <c r="G22" s="12" t="n">
        <v>13</v>
      </c>
      <c r="H22" s="12" t="n">
        <v>100</v>
      </c>
      <c r="I22" s="12" t="n">
        <v>120</v>
      </c>
      <c r="J22" s="12" t="n">
        <v>20</v>
      </c>
      <c r="K22" s="12" t="n">
        <v>75</v>
      </c>
      <c r="L22" s="12" t="n">
        <v>53</v>
      </c>
      <c r="M22" s="12" t="n">
        <v>121</v>
      </c>
      <c r="N22" s="12" t="n">
        <v>94</v>
      </c>
      <c r="O22" s="12" t="n">
        <v>98</v>
      </c>
      <c r="P22" s="12" t="n">
        <v>117</v>
      </c>
      <c r="Q22" s="12" t="n">
        <v>121</v>
      </c>
      <c r="R22" s="12" t="n">
        <v>40</v>
      </c>
      <c r="S22" s="12" t="n">
        <v>121</v>
      </c>
      <c r="T22" s="12" t="n">
        <v>126</v>
      </c>
      <c r="U22" s="12" t="n">
        <v>8</v>
      </c>
      <c r="V22" s="12" t="n">
        <v>109</v>
      </c>
      <c r="W22" s="12" t="n">
        <v>31</v>
      </c>
      <c r="X22" s="12" t="n">
        <v>6</v>
      </c>
      <c r="Y22" s="12" t="n">
        <v>43</v>
      </c>
      <c r="Z22" s="12" t="n">
        <v>113</v>
      </c>
      <c r="AA22" s="12" t="n">
        <v>155</v>
      </c>
      <c r="AB22" s="12" t="n">
        <v>116</v>
      </c>
      <c r="AC22" s="12" t="n">
        <v>107</v>
      </c>
      <c r="AD22" s="12" t="n">
        <v>94</v>
      </c>
      <c r="AE22" s="12" t="n">
        <v>24</v>
      </c>
      <c r="AF22" s="12" t="n">
        <v>14</v>
      </c>
    </row>
    <row r="23">
      <c r="A23" s="20" t="n"/>
      <c r="B23" s="13" t="inlineStr">
        <is>
          <t>Never</t>
        </is>
      </c>
      <c r="C23" s="14" t="n">
        <v>0.09</v>
      </c>
      <c r="D23" s="14" t="n">
        <v>0.04</v>
      </c>
      <c r="E23" s="14" t="n">
        <v>0.12</v>
      </c>
      <c r="F23" s="14" t="n">
        <v>0.1</v>
      </c>
      <c r="G23" s="14" t="n">
        <v>0.01</v>
      </c>
      <c r="H23" s="14" t="n">
        <v>0.08</v>
      </c>
      <c r="I23" s="14" t="n">
        <v>0.08</v>
      </c>
      <c r="J23" s="14" t="n">
        <v>0.07000000000000001</v>
      </c>
      <c r="K23" s="14" t="n">
        <v>0.07000000000000001</v>
      </c>
      <c r="L23" s="14" t="n">
        <v>0.05</v>
      </c>
      <c r="M23" s="14" t="n">
        <v>0.12</v>
      </c>
      <c r="N23" s="14" t="n">
        <v>0.09</v>
      </c>
      <c r="O23" s="14" t="n">
        <v>0.09</v>
      </c>
      <c r="P23" s="14" t="n">
        <v>0.12</v>
      </c>
      <c r="Q23" s="14" t="n">
        <v>0.12</v>
      </c>
      <c r="R23" s="14" t="n">
        <v>0.08</v>
      </c>
      <c r="S23" s="14" t="n">
        <v>0.12</v>
      </c>
      <c r="T23" s="14" t="n">
        <v>0.12</v>
      </c>
      <c r="U23" s="14" t="n">
        <v>0.02</v>
      </c>
      <c r="V23" s="14" t="n">
        <v>0.11</v>
      </c>
      <c r="W23" s="14" t="n">
        <v>0.06</v>
      </c>
      <c r="X23" s="14" t="n">
        <v>0.01</v>
      </c>
      <c r="Y23" s="14" t="n">
        <v>0.04</v>
      </c>
      <c r="Z23" s="14" t="n">
        <v>0.11</v>
      </c>
      <c r="AA23" s="14" t="n">
        <v>0.15</v>
      </c>
      <c r="AB23" s="14" t="n">
        <v>0.11</v>
      </c>
      <c r="AC23" s="14" t="n">
        <v>0.11</v>
      </c>
      <c r="AD23" s="14" t="n">
        <v>0.09</v>
      </c>
      <c r="AE23" s="14" t="n">
        <v>0.02</v>
      </c>
      <c r="AF23" s="14" t="n">
        <v>0.01</v>
      </c>
    </row>
    <row r="24">
      <c r="A24" s="20" t="n"/>
      <c r="B24" s="11" t="inlineStr">
        <is>
          <t>Pas d'accès à Internet (SPONTANÉ)</t>
        </is>
      </c>
      <c r="C24" s="12" t="n">
        <v>197</v>
      </c>
      <c r="D24" s="12" t="n">
        <v>3</v>
      </c>
      <c r="E24" s="12" t="n">
        <v>34</v>
      </c>
      <c r="F24" s="12" t="n">
        <v>14</v>
      </c>
      <c r="G24" s="12" t="n">
        <v>2</v>
      </c>
      <c r="H24" s="12" t="n">
        <v>6</v>
      </c>
      <c r="I24" s="12" t="n">
        <v>6</v>
      </c>
      <c r="J24" s="12" t="n">
        <v>0</v>
      </c>
      <c r="K24" s="12" t="n">
        <v>13</v>
      </c>
      <c r="L24" s="12" t="n">
        <v>0</v>
      </c>
      <c r="M24" s="12" t="n">
        <v>13</v>
      </c>
      <c r="N24" s="12" t="n">
        <v>14</v>
      </c>
      <c r="O24" s="12" t="n">
        <v>3</v>
      </c>
      <c r="P24" s="12" t="n">
        <v>13</v>
      </c>
      <c r="Q24" s="12" t="n">
        <v>3</v>
      </c>
      <c r="R24" s="12" t="n">
        <v>3</v>
      </c>
      <c r="S24" s="12" t="n">
        <v>3</v>
      </c>
      <c r="T24" s="12" t="n">
        <v>15</v>
      </c>
      <c r="U24" s="12" t="n">
        <v>2</v>
      </c>
      <c r="V24" s="12" t="n">
        <v>0</v>
      </c>
      <c r="W24" s="12" t="n">
        <v>17</v>
      </c>
      <c r="X24" s="12" t="n">
        <v>0</v>
      </c>
      <c r="Y24" s="12" t="n">
        <v>62</v>
      </c>
      <c r="Z24" s="12" t="n">
        <v>4</v>
      </c>
      <c r="AA24" s="12" t="n">
        <v>22</v>
      </c>
      <c r="AB24" s="12" t="n">
        <v>13</v>
      </c>
      <c r="AC24" s="12" t="n">
        <v>11</v>
      </c>
      <c r="AD24" s="12" t="n">
        <v>6</v>
      </c>
      <c r="AE24" s="12" t="n">
        <v>8</v>
      </c>
      <c r="AF24" s="12" t="n">
        <v>0</v>
      </c>
    </row>
    <row r="25">
      <c r="A25" s="23" t="n"/>
      <c r="B25" s="13" t="inlineStr">
        <is>
          <t>No internet access (SPONTANEOUS)</t>
        </is>
      </c>
      <c r="C25" s="14" t="n">
        <v>0.01</v>
      </c>
      <c r="D25" s="15" t="inlineStr">
        <is>
          <t>-</t>
        </is>
      </c>
      <c r="E25" s="14" t="n">
        <v>0.03</v>
      </c>
      <c r="F25" s="14" t="n">
        <v>0.01</v>
      </c>
      <c r="G25" s="15" t="inlineStr">
        <is>
          <t>-</t>
        </is>
      </c>
      <c r="H25" s="14" t="n">
        <v>0.01</v>
      </c>
      <c r="I25" s="15" t="inlineStr">
        <is>
          <t>-</t>
        </is>
      </c>
      <c r="J25" s="15" t="inlineStr">
        <is>
          <t>-</t>
        </is>
      </c>
      <c r="K25" s="14" t="n">
        <v>0.01</v>
      </c>
      <c r="L25" s="15" t="inlineStr">
        <is>
          <t>-</t>
        </is>
      </c>
      <c r="M25" s="14" t="n">
        <v>0.01</v>
      </c>
      <c r="N25" s="14" t="n">
        <v>0.01</v>
      </c>
      <c r="O25" s="15" t="inlineStr">
        <is>
          <t>-</t>
        </is>
      </c>
      <c r="P25" s="14" t="n">
        <v>0.01</v>
      </c>
      <c r="Q25" s="15" t="inlineStr">
        <is>
          <t>-</t>
        </is>
      </c>
      <c r="R25" s="15" t="inlineStr">
        <is>
          <t>-</t>
        </is>
      </c>
      <c r="S25" s="15" t="inlineStr">
        <is>
          <t>-</t>
        </is>
      </c>
      <c r="T25" s="14" t="n">
        <v>0.01</v>
      </c>
      <c r="U25" s="15" t="inlineStr">
        <is>
          <t>-</t>
        </is>
      </c>
      <c r="V25" s="15" t="inlineStr">
        <is>
          <t>-</t>
        </is>
      </c>
      <c r="W25" s="14" t="n">
        <v>0.03</v>
      </c>
      <c r="X25" s="15" t="inlineStr">
        <is>
          <t>-</t>
        </is>
      </c>
      <c r="Y25" s="14" t="n">
        <v>0.06</v>
      </c>
      <c r="Z25" s="15" t="inlineStr">
        <is>
          <t>-</t>
        </is>
      </c>
      <c r="AA25" s="14" t="n">
        <v>0.02</v>
      </c>
      <c r="AB25" s="14" t="n">
        <v>0.01</v>
      </c>
      <c r="AC25" s="14" t="n">
        <v>0.01</v>
      </c>
      <c r="AD25" s="14" t="n">
        <v>0.01</v>
      </c>
      <c r="AE25" s="14" t="n">
        <v>0.01</v>
      </c>
      <c r="AF25" s="15" t="inlineStr">
        <is>
          <t>-</t>
        </is>
      </c>
    </row>
    <row r="26">
      <c r="A26" s="19" t="n"/>
      <c r="B26" s="11" t="inlineStr">
        <is>
          <t>Total 'Utilise internet'</t>
        </is>
      </c>
      <c r="C26" s="12" t="n">
        <v>23856</v>
      </c>
      <c r="D26" s="12" t="n">
        <v>975</v>
      </c>
      <c r="E26" s="12" t="n">
        <v>861</v>
      </c>
      <c r="F26" s="12" t="n">
        <v>932</v>
      </c>
      <c r="G26" s="12" t="n">
        <v>992</v>
      </c>
      <c r="H26" s="12" t="n">
        <v>1108</v>
      </c>
      <c r="I26" s="12" t="n">
        <v>1381</v>
      </c>
      <c r="J26" s="12" t="n">
        <v>273</v>
      </c>
      <c r="K26" s="12" t="n">
        <v>918</v>
      </c>
      <c r="L26" s="12" t="n">
        <v>957</v>
      </c>
      <c r="M26" s="12" t="n">
        <v>873</v>
      </c>
      <c r="N26" s="12" t="n">
        <v>898</v>
      </c>
      <c r="O26" s="12" t="n">
        <v>915</v>
      </c>
      <c r="P26" s="12" t="n">
        <v>878</v>
      </c>
      <c r="Q26" s="12" t="n">
        <v>905</v>
      </c>
      <c r="R26" s="12" t="n">
        <v>461</v>
      </c>
      <c r="S26" s="12" t="n">
        <v>881</v>
      </c>
      <c r="T26" s="12" t="n">
        <v>877</v>
      </c>
      <c r="U26" s="12" t="n">
        <v>497</v>
      </c>
      <c r="V26" s="12" t="n">
        <v>912</v>
      </c>
      <c r="W26" s="12" t="n">
        <v>458</v>
      </c>
      <c r="X26" s="12" t="n">
        <v>1017</v>
      </c>
      <c r="Y26" s="12" t="n">
        <v>899</v>
      </c>
      <c r="Z26" s="12" t="n">
        <v>902</v>
      </c>
      <c r="AA26" s="12" t="n">
        <v>854</v>
      </c>
      <c r="AB26" s="12" t="n">
        <v>916</v>
      </c>
      <c r="AC26" s="12" t="n">
        <v>889</v>
      </c>
      <c r="AD26" s="12" t="n">
        <v>901</v>
      </c>
      <c r="AE26" s="12" t="n">
        <v>982</v>
      </c>
      <c r="AF26" s="12" t="n">
        <v>1023</v>
      </c>
    </row>
    <row r="27">
      <c r="A27" s="23" t="n"/>
      <c r="B27" s="13" t="inlineStr">
        <is>
          <t>Total 'Use the internet'</t>
        </is>
      </c>
      <c r="C27" s="14" t="n">
        <v>0.9</v>
      </c>
      <c r="D27" s="14" t="n">
        <v>0.96</v>
      </c>
      <c r="E27" s="14" t="n">
        <v>0.85</v>
      </c>
      <c r="F27" s="14" t="n">
        <v>0.89</v>
      </c>
      <c r="G27" s="14" t="n">
        <v>0.99</v>
      </c>
      <c r="H27" s="14" t="n">
        <v>0.91</v>
      </c>
      <c r="I27" s="14" t="n">
        <v>0.92</v>
      </c>
      <c r="J27" s="14" t="n">
        <v>0.93</v>
      </c>
      <c r="K27" s="14" t="n">
        <v>0.92</v>
      </c>
      <c r="L27" s="14" t="n">
        <v>0.9500000000000001</v>
      </c>
      <c r="M27" s="14" t="n">
        <v>0.87</v>
      </c>
      <c r="N27" s="14" t="n">
        <v>0.9</v>
      </c>
      <c r="O27" s="14" t="n">
        <v>0.91</v>
      </c>
      <c r="P27" s="14" t="n">
        <v>0.87</v>
      </c>
      <c r="Q27" s="14" t="n">
        <v>0.88</v>
      </c>
      <c r="R27" s="14" t="n">
        <v>0.92</v>
      </c>
      <c r="S27" s="14" t="n">
        <v>0.88</v>
      </c>
      <c r="T27" s="14" t="n">
        <v>0.87</v>
      </c>
      <c r="U27" s="14" t="n">
        <v>0.98</v>
      </c>
      <c r="V27" s="14" t="n">
        <v>0.89</v>
      </c>
      <c r="W27" s="14" t="n">
        <v>0.91</v>
      </c>
      <c r="X27" s="14" t="n">
        <v>0.99</v>
      </c>
      <c r="Y27" s="14" t="n">
        <v>0.9</v>
      </c>
      <c r="Z27" s="14" t="n">
        <v>0.89</v>
      </c>
      <c r="AA27" s="14" t="n">
        <v>0.8300000000000001</v>
      </c>
      <c r="AB27" s="14" t="n">
        <v>0.88</v>
      </c>
      <c r="AC27" s="14" t="n">
        <v>0.88</v>
      </c>
      <c r="AD27" s="14" t="n">
        <v>0.9</v>
      </c>
      <c r="AE27" s="14" t="n">
        <v>0.97</v>
      </c>
      <c r="AF27" s="14" t="n">
        <v>0.99</v>
      </c>
    </row>
  </sheetData>
  <mergeCells count="10">
    <mergeCell ref="B4:F4"/>
    <mergeCell ref="H3:L3"/>
    <mergeCell ref="C8:AF8"/>
    <mergeCell ref="A26:A27"/>
    <mergeCell ref="B3:F3"/>
    <mergeCell ref="B5:F5"/>
    <mergeCell ref="A10:A25"/>
    <mergeCell ref="H5:L5"/>
    <mergeCell ref="B10:B11"/>
    <mergeCell ref="H4:L4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12" customHeight="1" s="18">
      <c r="B3" s="21" t="inlineStr">
        <is>
          <t>D62.2. Pouvez-vous dire si… ?</t>
        </is>
      </c>
      <c r="H3" s="21" t="inlineStr">
        <is>
          <t>D62.2. Could you tell if…?</t>
        </is>
      </c>
    </row>
    <row r="4" ht="27" customHeight="1" s="18">
      <c r="B4" s="21" t="inlineStr">
        <is>
          <t>Vous utilisez Internet sur votre lieu de travail</t>
        </is>
      </c>
      <c r="H4" s="21" t="inlineStr">
        <is>
          <t>You use the Internet on your place of work</t>
        </is>
      </c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HYPERLINK("#Content!A61","&lt;&lt;Back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Tous les jours ou presque</t>
        </is>
      </c>
      <c r="C12" s="12" t="n">
        <v>12732</v>
      </c>
      <c r="D12" s="12" t="n">
        <v>528</v>
      </c>
      <c r="E12" s="12" t="n">
        <v>487</v>
      </c>
      <c r="F12" s="12" t="n">
        <v>550</v>
      </c>
      <c r="G12" s="12" t="n">
        <v>643</v>
      </c>
      <c r="H12" s="12" t="n">
        <v>570</v>
      </c>
      <c r="I12" s="12" t="n">
        <v>686</v>
      </c>
      <c r="J12" s="12" t="n">
        <v>117</v>
      </c>
      <c r="K12" s="12" t="n">
        <v>509</v>
      </c>
      <c r="L12" s="12" t="n">
        <v>568</v>
      </c>
      <c r="M12" s="12" t="n">
        <v>486</v>
      </c>
      <c r="N12" s="12" t="n">
        <v>454</v>
      </c>
      <c r="O12" s="12" t="n">
        <v>434</v>
      </c>
      <c r="P12" s="12" t="n">
        <v>590</v>
      </c>
      <c r="Q12" s="12" t="n">
        <v>455</v>
      </c>
      <c r="R12" s="12" t="n">
        <v>318</v>
      </c>
      <c r="S12" s="12" t="n">
        <v>502</v>
      </c>
      <c r="T12" s="12" t="n">
        <v>487</v>
      </c>
      <c r="U12" s="12" t="n">
        <v>324</v>
      </c>
      <c r="V12" s="12" t="n">
        <v>522</v>
      </c>
      <c r="W12" s="12" t="n">
        <v>337</v>
      </c>
      <c r="X12" s="12" t="n">
        <v>652</v>
      </c>
      <c r="Y12" s="12" t="n">
        <v>503</v>
      </c>
      <c r="Z12" s="12" t="n">
        <v>536</v>
      </c>
      <c r="AA12" s="12" t="n">
        <v>488</v>
      </c>
      <c r="AB12" s="12" t="n">
        <v>513</v>
      </c>
      <c r="AC12" s="12" t="n">
        <v>513</v>
      </c>
      <c r="AD12" s="12" t="n">
        <v>497</v>
      </c>
      <c r="AE12" s="12" t="n">
        <v>575</v>
      </c>
      <c r="AF12" s="12" t="n">
        <v>627</v>
      </c>
    </row>
    <row r="13">
      <c r="A13" s="20" t="n"/>
      <c r="B13" s="13" t="inlineStr">
        <is>
          <t>Every day or almost every day</t>
        </is>
      </c>
      <c r="C13" s="14" t="n">
        <v>0.48</v>
      </c>
      <c r="D13" s="14" t="n">
        <v>0.52</v>
      </c>
      <c r="E13" s="14" t="n">
        <v>0.48</v>
      </c>
      <c r="F13" s="14" t="n">
        <v>0.52</v>
      </c>
      <c r="G13" s="14" t="n">
        <v>0.64</v>
      </c>
      <c r="H13" s="14" t="n">
        <v>0.47</v>
      </c>
      <c r="I13" s="14" t="n">
        <v>0.46</v>
      </c>
      <c r="J13" s="14" t="n">
        <v>0.4</v>
      </c>
      <c r="K13" s="14" t="n">
        <v>0.51</v>
      </c>
      <c r="L13" s="14" t="n">
        <v>0.5600000000000001</v>
      </c>
      <c r="M13" s="14" t="n">
        <v>0.48</v>
      </c>
      <c r="N13" s="14" t="n">
        <v>0.45</v>
      </c>
      <c r="O13" s="14" t="n">
        <v>0.43</v>
      </c>
      <c r="P13" s="14" t="n">
        <v>0.59</v>
      </c>
      <c r="Q13" s="14" t="n">
        <v>0.44</v>
      </c>
      <c r="R13" s="14" t="n">
        <v>0.63</v>
      </c>
      <c r="S13" s="14" t="n">
        <v>0.5</v>
      </c>
      <c r="T13" s="14" t="n">
        <v>0.48</v>
      </c>
      <c r="U13" s="14" t="n">
        <v>0.64</v>
      </c>
      <c r="V13" s="14" t="n">
        <v>0.51</v>
      </c>
      <c r="W13" s="14" t="n">
        <v>0.67</v>
      </c>
      <c r="X13" s="14" t="n">
        <v>0.64</v>
      </c>
      <c r="Y13" s="14" t="n">
        <v>0.5</v>
      </c>
      <c r="Z13" s="14" t="n">
        <v>0.53</v>
      </c>
      <c r="AA13" s="14" t="n">
        <v>0.47</v>
      </c>
      <c r="AB13" s="14" t="n">
        <v>0.49</v>
      </c>
      <c r="AC13" s="14" t="n">
        <v>0.51</v>
      </c>
      <c r="AD13" s="14" t="n">
        <v>0.5</v>
      </c>
      <c r="AE13" s="14" t="n">
        <v>0.5700000000000001</v>
      </c>
      <c r="AF13" s="14" t="n">
        <v>0.61</v>
      </c>
    </row>
    <row r="14">
      <c r="A14" s="20" t="n"/>
      <c r="B14" s="11" t="inlineStr">
        <is>
          <t>Deux ou trois fois par semaine</t>
        </is>
      </c>
      <c r="C14" s="12" t="n">
        <v>1144</v>
      </c>
      <c r="D14" s="12" t="n">
        <v>46</v>
      </c>
      <c r="E14" s="12" t="n">
        <v>48</v>
      </c>
      <c r="F14" s="12" t="n">
        <v>40</v>
      </c>
      <c r="G14" s="12" t="n">
        <v>36</v>
      </c>
      <c r="H14" s="12" t="n">
        <v>63</v>
      </c>
      <c r="I14" s="12" t="n">
        <v>76</v>
      </c>
      <c r="J14" s="12" t="n">
        <v>13</v>
      </c>
      <c r="K14" s="12" t="n">
        <v>53</v>
      </c>
      <c r="L14" s="12" t="n">
        <v>32</v>
      </c>
      <c r="M14" s="12" t="n">
        <v>53</v>
      </c>
      <c r="N14" s="12" t="n">
        <v>29</v>
      </c>
      <c r="O14" s="12" t="n">
        <v>26</v>
      </c>
      <c r="P14" s="12" t="n">
        <v>26</v>
      </c>
      <c r="Q14" s="12" t="n">
        <v>59</v>
      </c>
      <c r="R14" s="12" t="n">
        <v>14</v>
      </c>
      <c r="S14" s="12" t="n">
        <v>21</v>
      </c>
      <c r="T14" s="12" t="n">
        <v>20</v>
      </c>
      <c r="U14" s="12" t="n">
        <v>9</v>
      </c>
      <c r="V14" s="12" t="n">
        <v>72</v>
      </c>
      <c r="W14" s="12" t="n">
        <v>4</v>
      </c>
      <c r="X14" s="12" t="n">
        <v>57</v>
      </c>
      <c r="Y14" s="12" t="n">
        <v>56</v>
      </c>
      <c r="Z14" s="12" t="n">
        <v>59</v>
      </c>
      <c r="AA14" s="12" t="n">
        <v>16</v>
      </c>
      <c r="AB14" s="12" t="n">
        <v>53</v>
      </c>
      <c r="AC14" s="12" t="n">
        <v>15</v>
      </c>
      <c r="AD14" s="12" t="n">
        <v>31</v>
      </c>
      <c r="AE14" s="12" t="n">
        <v>23</v>
      </c>
      <c r="AF14" s="12" t="n">
        <v>33</v>
      </c>
    </row>
    <row r="15">
      <c r="A15" s="20" t="n"/>
      <c r="B15" s="13" t="inlineStr">
        <is>
          <t>Two or three times a week</t>
        </is>
      </c>
      <c r="C15" s="14" t="n">
        <v>0.04</v>
      </c>
      <c r="D15" s="14" t="n">
        <v>0.05</v>
      </c>
      <c r="E15" s="14" t="n">
        <v>0.05</v>
      </c>
      <c r="F15" s="14" t="n">
        <v>0.04</v>
      </c>
      <c r="G15" s="14" t="n">
        <v>0.04</v>
      </c>
      <c r="H15" s="14" t="n">
        <v>0.05</v>
      </c>
      <c r="I15" s="14" t="n">
        <v>0.05</v>
      </c>
      <c r="J15" s="14" t="n">
        <v>0.05</v>
      </c>
      <c r="K15" s="14" t="n">
        <v>0.05</v>
      </c>
      <c r="L15" s="14" t="n">
        <v>0.03</v>
      </c>
      <c r="M15" s="14" t="n">
        <v>0.05</v>
      </c>
      <c r="N15" s="14" t="n">
        <v>0.03</v>
      </c>
      <c r="O15" s="14" t="n">
        <v>0.03</v>
      </c>
      <c r="P15" s="14" t="n">
        <v>0.03</v>
      </c>
      <c r="Q15" s="14" t="n">
        <v>0.06</v>
      </c>
      <c r="R15" s="14" t="n">
        <v>0.03</v>
      </c>
      <c r="S15" s="14" t="n">
        <v>0.02</v>
      </c>
      <c r="T15" s="14" t="n">
        <v>0.02</v>
      </c>
      <c r="U15" s="14" t="n">
        <v>0.02</v>
      </c>
      <c r="V15" s="14" t="n">
        <v>0.07000000000000001</v>
      </c>
      <c r="W15" s="14" t="n">
        <v>0.01</v>
      </c>
      <c r="X15" s="14" t="n">
        <v>0.06</v>
      </c>
      <c r="Y15" s="14" t="n">
        <v>0.06</v>
      </c>
      <c r="Z15" s="14" t="n">
        <v>0.06</v>
      </c>
      <c r="AA15" s="14" t="n">
        <v>0.02</v>
      </c>
      <c r="AB15" s="14" t="n">
        <v>0.05</v>
      </c>
      <c r="AC15" s="14" t="n">
        <v>0.01</v>
      </c>
      <c r="AD15" s="14" t="n">
        <v>0.03</v>
      </c>
      <c r="AE15" s="14" t="n">
        <v>0.02</v>
      </c>
      <c r="AF15" s="14" t="n">
        <v>0.03</v>
      </c>
    </row>
    <row r="16">
      <c r="A16" s="20" t="n"/>
      <c r="B16" s="11" t="inlineStr">
        <is>
          <t>Environ une fois par semaine</t>
        </is>
      </c>
      <c r="C16" s="12" t="n">
        <v>359</v>
      </c>
      <c r="D16" s="12" t="n">
        <v>10</v>
      </c>
      <c r="E16" s="12" t="n">
        <v>11</v>
      </c>
      <c r="F16" s="12" t="n">
        <v>20</v>
      </c>
      <c r="G16" s="12" t="n">
        <v>7</v>
      </c>
      <c r="H16" s="12" t="n">
        <v>20</v>
      </c>
      <c r="I16" s="12" t="n">
        <v>24</v>
      </c>
      <c r="J16" s="12" t="n">
        <v>4</v>
      </c>
      <c r="K16" s="12" t="n">
        <v>19</v>
      </c>
      <c r="L16" s="12" t="n">
        <v>10</v>
      </c>
      <c r="M16" s="12" t="n">
        <v>15</v>
      </c>
      <c r="N16" s="12" t="n">
        <v>13</v>
      </c>
      <c r="O16" s="12" t="n">
        <v>10</v>
      </c>
      <c r="P16" s="12" t="n">
        <v>9</v>
      </c>
      <c r="Q16" s="12" t="n">
        <v>20</v>
      </c>
      <c r="R16" s="12" t="n">
        <v>1</v>
      </c>
      <c r="S16" s="12" t="n">
        <v>6</v>
      </c>
      <c r="T16" s="12" t="n">
        <v>3</v>
      </c>
      <c r="U16" s="12" t="n">
        <v>1</v>
      </c>
      <c r="V16" s="12" t="n">
        <v>19</v>
      </c>
      <c r="W16" s="12" t="n">
        <v>0</v>
      </c>
      <c r="X16" s="12" t="n">
        <v>12</v>
      </c>
      <c r="Y16" s="12" t="n">
        <v>21</v>
      </c>
      <c r="Z16" s="12" t="n">
        <v>12</v>
      </c>
      <c r="AA16" s="12" t="n">
        <v>2</v>
      </c>
      <c r="AB16" s="12" t="n">
        <v>20</v>
      </c>
      <c r="AC16" s="12" t="n">
        <v>6</v>
      </c>
      <c r="AD16" s="12" t="n">
        <v>12</v>
      </c>
      <c r="AE16" s="12" t="n">
        <v>10</v>
      </c>
      <c r="AF16" s="12" t="n">
        <v>6</v>
      </c>
    </row>
    <row r="17">
      <c r="A17" s="20" t="n"/>
      <c r="B17" s="13" t="inlineStr">
        <is>
          <t>About once a week</t>
        </is>
      </c>
      <c r="C17" s="14" t="n">
        <v>0.01</v>
      </c>
      <c r="D17" s="14" t="n">
        <v>0.01</v>
      </c>
      <c r="E17" s="14" t="n">
        <v>0.01</v>
      </c>
      <c r="F17" s="14" t="n">
        <v>0.02</v>
      </c>
      <c r="G17" s="14" t="n">
        <v>0.01</v>
      </c>
      <c r="H17" s="14" t="n">
        <v>0.02</v>
      </c>
      <c r="I17" s="14" t="n">
        <v>0.02</v>
      </c>
      <c r="J17" s="14" t="n">
        <v>0.02</v>
      </c>
      <c r="K17" s="14" t="n">
        <v>0.02</v>
      </c>
      <c r="L17" s="14" t="n">
        <v>0.01</v>
      </c>
      <c r="M17" s="14" t="n">
        <v>0.01</v>
      </c>
      <c r="N17" s="14" t="n">
        <v>0.01</v>
      </c>
      <c r="O17" s="14" t="n">
        <v>0.01</v>
      </c>
      <c r="P17" s="14" t="n">
        <v>0.01</v>
      </c>
      <c r="Q17" s="14" t="n">
        <v>0.02</v>
      </c>
      <c r="R17" s="15" t="inlineStr">
        <is>
          <t>-</t>
        </is>
      </c>
      <c r="S17" s="14" t="n">
        <v>0.01</v>
      </c>
      <c r="T17" s="15" t="inlineStr">
        <is>
          <t>-</t>
        </is>
      </c>
      <c r="U17" s="15" t="inlineStr">
        <is>
          <t>-</t>
        </is>
      </c>
      <c r="V17" s="14" t="n">
        <v>0.02</v>
      </c>
      <c r="W17" s="15" t="inlineStr">
        <is>
          <t>-</t>
        </is>
      </c>
      <c r="X17" s="14" t="n">
        <v>0.01</v>
      </c>
      <c r="Y17" s="14" t="n">
        <v>0.02</v>
      </c>
      <c r="Z17" s="14" t="n">
        <v>0.01</v>
      </c>
      <c r="AA17" s="15" t="inlineStr">
        <is>
          <t>-</t>
        </is>
      </c>
      <c r="AB17" s="14" t="n">
        <v>0.02</v>
      </c>
      <c r="AC17" s="14" t="n">
        <v>0.01</v>
      </c>
      <c r="AD17" s="14" t="n">
        <v>0.01</v>
      </c>
      <c r="AE17" s="14" t="n">
        <v>0.01</v>
      </c>
      <c r="AF17" s="14" t="n">
        <v>0.01</v>
      </c>
    </row>
    <row r="18">
      <c r="A18" s="20" t="n"/>
      <c r="B18" s="11" t="inlineStr">
        <is>
          <t>Deux ou trois fois par mois</t>
        </is>
      </c>
      <c r="C18" s="12" t="n">
        <v>159</v>
      </c>
      <c r="D18" s="12" t="n">
        <v>3</v>
      </c>
      <c r="E18" s="12" t="n">
        <v>3</v>
      </c>
      <c r="F18" s="12" t="n">
        <v>5</v>
      </c>
      <c r="G18" s="12" t="n">
        <v>5</v>
      </c>
      <c r="H18" s="12" t="n">
        <v>19</v>
      </c>
      <c r="I18" s="12" t="n">
        <v>20</v>
      </c>
      <c r="J18" s="12" t="n">
        <v>1</v>
      </c>
      <c r="K18" s="12" t="n">
        <v>9</v>
      </c>
      <c r="L18" s="12" t="n">
        <v>1</v>
      </c>
      <c r="M18" s="12" t="n">
        <v>6</v>
      </c>
      <c r="N18" s="12" t="n">
        <v>2</v>
      </c>
      <c r="O18" s="12" t="n">
        <v>3</v>
      </c>
      <c r="P18" s="12" t="n">
        <v>2</v>
      </c>
      <c r="Q18" s="12" t="n">
        <v>7</v>
      </c>
      <c r="R18" s="12" t="n">
        <v>0</v>
      </c>
      <c r="S18" s="12" t="n">
        <v>1</v>
      </c>
      <c r="T18" s="12" t="n">
        <v>2</v>
      </c>
      <c r="U18" s="12" t="n">
        <v>1</v>
      </c>
      <c r="V18" s="12" t="n">
        <v>4</v>
      </c>
      <c r="W18" s="12" t="n">
        <v>0</v>
      </c>
      <c r="X18" s="12" t="n">
        <v>4</v>
      </c>
      <c r="Y18" s="12" t="n">
        <v>5</v>
      </c>
      <c r="Z18" s="12" t="n">
        <v>5</v>
      </c>
      <c r="AA18" s="12" t="n">
        <v>1</v>
      </c>
      <c r="AB18" s="12" t="n">
        <v>8</v>
      </c>
      <c r="AC18" s="12" t="n">
        <v>1</v>
      </c>
      <c r="AD18" s="12" t="n">
        <v>11</v>
      </c>
      <c r="AE18" s="12" t="n">
        <v>8</v>
      </c>
      <c r="AF18" s="12" t="n">
        <v>3</v>
      </c>
    </row>
    <row r="19">
      <c r="A19" s="20" t="n"/>
      <c r="B19" s="13" t="inlineStr">
        <is>
          <t>Two or three times a month</t>
        </is>
      </c>
      <c r="C19" s="14" t="n">
        <v>0.01</v>
      </c>
      <c r="D19" s="15" t="inlineStr">
        <is>
          <t>-</t>
        </is>
      </c>
      <c r="E19" s="15" t="inlineStr">
        <is>
          <t>-</t>
        </is>
      </c>
      <c r="F19" s="15" t="inlineStr">
        <is>
          <t>-</t>
        </is>
      </c>
      <c r="G19" s="15" t="inlineStr">
        <is>
          <t>-</t>
        </is>
      </c>
      <c r="H19" s="14" t="n">
        <v>0.01</v>
      </c>
      <c r="I19" s="14" t="n">
        <v>0.01</v>
      </c>
      <c r="J19" s="15" t="inlineStr">
        <is>
          <t>-</t>
        </is>
      </c>
      <c r="K19" s="14" t="n">
        <v>0.01</v>
      </c>
      <c r="L19" s="15" t="inlineStr">
        <is>
          <t>-</t>
        </is>
      </c>
      <c r="M19" s="14" t="n">
        <v>0.01</v>
      </c>
      <c r="N19" s="15" t="inlineStr">
        <is>
          <t>-</t>
        </is>
      </c>
      <c r="O19" s="15" t="inlineStr">
        <is>
          <t>-</t>
        </is>
      </c>
      <c r="P19" s="15" t="inlineStr">
        <is>
          <t>-</t>
        </is>
      </c>
      <c r="Q19" s="14" t="n">
        <v>0.01</v>
      </c>
      <c r="R19" s="15" t="inlineStr">
        <is>
          <t>-</t>
        </is>
      </c>
      <c r="S19" s="15" t="inlineStr">
        <is>
          <t>-</t>
        </is>
      </c>
      <c r="T19" s="15" t="inlineStr">
        <is>
          <t>-</t>
        </is>
      </c>
      <c r="U19" s="15" t="inlineStr">
        <is>
          <t>-</t>
        </is>
      </c>
      <c r="V19" s="15" t="inlineStr">
        <is>
          <t>-</t>
        </is>
      </c>
      <c r="W19" s="15" t="inlineStr">
        <is>
          <t>-</t>
        </is>
      </c>
      <c r="X19" s="15" t="inlineStr">
        <is>
          <t>-</t>
        </is>
      </c>
      <c r="Y19" s="15" t="inlineStr">
        <is>
          <t>-</t>
        </is>
      </c>
      <c r="Z19" s="14" t="n">
        <v>0.01</v>
      </c>
      <c r="AA19" s="15" t="inlineStr">
        <is>
          <t>-</t>
        </is>
      </c>
      <c r="AB19" s="14" t="n">
        <v>0.01</v>
      </c>
      <c r="AC19" s="15" t="inlineStr">
        <is>
          <t>-</t>
        </is>
      </c>
      <c r="AD19" s="14" t="n">
        <v>0.01</v>
      </c>
      <c r="AE19" s="14" t="n">
        <v>0.01</v>
      </c>
      <c r="AF19" s="15" t="inlineStr">
        <is>
          <t>-</t>
        </is>
      </c>
    </row>
    <row r="20">
      <c r="A20" s="20" t="n"/>
      <c r="B20" s="11" t="inlineStr">
        <is>
          <t>Moins souvent</t>
        </is>
      </c>
      <c r="C20" s="12" t="n">
        <v>683</v>
      </c>
      <c r="D20" s="12" t="n">
        <v>27</v>
      </c>
      <c r="E20" s="12" t="n">
        <v>35</v>
      </c>
      <c r="F20" s="12" t="n">
        <v>47</v>
      </c>
      <c r="G20" s="12" t="n">
        <v>12</v>
      </c>
      <c r="H20" s="12" t="n">
        <v>56</v>
      </c>
      <c r="I20" s="12" t="n">
        <v>74</v>
      </c>
      <c r="J20" s="12" t="n">
        <v>19</v>
      </c>
      <c r="K20" s="12" t="n">
        <v>45</v>
      </c>
      <c r="L20" s="12" t="n">
        <v>47</v>
      </c>
      <c r="M20" s="12" t="n">
        <v>9</v>
      </c>
      <c r="N20" s="12" t="n">
        <v>16</v>
      </c>
      <c r="O20" s="12" t="n">
        <v>15</v>
      </c>
      <c r="P20" s="12" t="n">
        <v>34</v>
      </c>
      <c r="Q20" s="12" t="n">
        <v>17</v>
      </c>
      <c r="R20" s="12" t="n">
        <v>8</v>
      </c>
      <c r="S20" s="12" t="n">
        <v>11</v>
      </c>
      <c r="T20" s="12" t="n">
        <v>14</v>
      </c>
      <c r="U20" s="12" t="n">
        <v>12</v>
      </c>
      <c r="V20" s="12" t="n">
        <v>27</v>
      </c>
      <c r="W20" s="12" t="n">
        <v>5</v>
      </c>
      <c r="X20" s="12" t="n">
        <v>19</v>
      </c>
      <c r="Y20" s="12" t="n">
        <v>16</v>
      </c>
      <c r="Z20" s="12" t="n">
        <v>33</v>
      </c>
      <c r="AA20" s="12" t="n">
        <v>20</v>
      </c>
      <c r="AB20" s="12" t="n">
        <v>19</v>
      </c>
      <c r="AC20" s="12" t="n">
        <v>17</v>
      </c>
      <c r="AD20" s="12" t="n">
        <v>41</v>
      </c>
      <c r="AE20" s="12" t="n">
        <v>12</v>
      </c>
      <c r="AF20" s="12" t="n">
        <v>21</v>
      </c>
    </row>
    <row r="21">
      <c r="A21" s="20" t="n"/>
      <c r="B21" s="13" t="inlineStr">
        <is>
          <t>Less often</t>
        </is>
      </c>
      <c r="C21" s="14" t="n">
        <v>0.03</v>
      </c>
      <c r="D21" s="14" t="n">
        <v>0.03</v>
      </c>
      <c r="E21" s="14" t="n">
        <v>0.04</v>
      </c>
      <c r="F21" s="14" t="n">
        <v>0.05</v>
      </c>
      <c r="G21" s="14" t="n">
        <v>0.01</v>
      </c>
      <c r="H21" s="14" t="n">
        <v>0.05</v>
      </c>
      <c r="I21" s="14" t="n">
        <v>0.05</v>
      </c>
      <c r="J21" s="14" t="n">
        <v>0.06</v>
      </c>
      <c r="K21" s="14" t="n">
        <v>0.04</v>
      </c>
      <c r="L21" s="14" t="n">
        <v>0.05</v>
      </c>
      <c r="M21" s="14" t="n">
        <v>0.01</v>
      </c>
      <c r="N21" s="14" t="n">
        <v>0.02</v>
      </c>
      <c r="O21" s="14" t="n">
        <v>0.01</v>
      </c>
      <c r="P21" s="14" t="n">
        <v>0.03</v>
      </c>
      <c r="Q21" s="14" t="n">
        <v>0.01</v>
      </c>
      <c r="R21" s="14" t="n">
        <v>0.02</v>
      </c>
      <c r="S21" s="14" t="n">
        <v>0.01</v>
      </c>
      <c r="T21" s="14" t="n">
        <v>0.01</v>
      </c>
      <c r="U21" s="14" t="n">
        <v>0.02</v>
      </c>
      <c r="V21" s="14" t="n">
        <v>0.03</v>
      </c>
      <c r="W21" s="14" t="n">
        <v>0.01</v>
      </c>
      <c r="X21" s="14" t="n">
        <v>0.02</v>
      </c>
      <c r="Y21" s="14" t="n">
        <v>0.02</v>
      </c>
      <c r="Z21" s="14" t="n">
        <v>0.03</v>
      </c>
      <c r="AA21" s="14" t="n">
        <v>0.02</v>
      </c>
      <c r="AB21" s="14" t="n">
        <v>0.02</v>
      </c>
      <c r="AC21" s="14" t="n">
        <v>0.02</v>
      </c>
      <c r="AD21" s="14" t="n">
        <v>0.04</v>
      </c>
      <c r="AE21" s="14" t="n">
        <v>0.01</v>
      </c>
      <c r="AF21" s="14" t="n">
        <v>0.02</v>
      </c>
    </row>
    <row r="22">
      <c r="A22" s="20" t="n"/>
      <c r="B22" s="11" t="inlineStr">
        <is>
          <t>Jamais</t>
        </is>
      </c>
      <c r="C22" s="12" t="n">
        <v>11032</v>
      </c>
      <c r="D22" s="12" t="n">
        <v>391</v>
      </c>
      <c r="E22" s="12" t="n">
        <v>397</v>
      </c>
      <c r="F22" s="12" t="n">
        <v>371</v>
      </c>
      <c r="G22" s="12" t="n">
        <v>278</v>
      </c>
      <c r="H22" s="12" t="n">
        <v>470</v>
      </c>
      <c r="I22" s="12" t="n">
        <v>609</v>
      </c>
      <c r="J22" s="12" t="n">
        <v>139</v>
      </c>
      <c r="K22" s="12" t="n">
        <v>365</v>
      </c>
      <c r="L22" s="12" t="n">
        <v>348</v>
      </c>
      <c r="M22" s="12" t="n">
        <v>382</v>
      </c>
      <c r="N22" s="12" t="n">
        <v>475</v>
      </c>
      <c r="O22" s="12" t="n">
        <v>527</v>
      </c>
      <c r="P22" s="12" t="n">
        <v>326</v>
      </c>
      <c r="Q22" s="12" t="n">
        <v>461</v>
      </c>
      <c r="R22" s="12" t="n">
        <v>163</v>
      </c>
      <c r="S22" s="12" t="n">
        <v>450</v>
      </c>
      <c r="T22" s="12" t="n">
        <v>484</v>
      </c>
      <c r="U22" s="12" t="n">
        <v>148</v>
      </c>
      <c r="V22" s="12" t="n">
        <v>375</v>
      </c>
      <c r="W22" s="12" t="n">
        <v>156</v>
      </c>
      <c r="X22" s="12" t="n">
        <v>276</v>
      </c>
      <c r="Y22" s="12" t="n">
        <v>345</v>
      </c>
      <c r="Z22" s="12" t="n">
        <v>369</v>
      </c>
      <c r="AA22" s="12" t="n">
        <v>475</v>
      </c>
      <c r="AB22" s="12" t="n">
        <v>418</v>
      </c>
      <c r="AC22" s="12" t="n">
        <v>446</v>
      </c>
      <c r="AD22" s="12" t="n">
        <v>405</v>
      </c>
      <c r="AE22" s="12" t="n">
        <v>383</v>
      </c>
      <c r="AF22" s="12" t="n">
        <v>341</v>
      </c>
    </row>
    <row r="23">
      <c r="A23" s="20" t="n"/>
      <c r="B23" s="13" t="inlineStr">
        <is>
          <t>Never</t>
        </is>
      </c>
      <c r="C23" s="14" t="n">
        <v>0.42</v>
      </c>
      <c r="D23" s="14" t="n">
        <v>0.38</v>
      </c>
      <c r="E23" s="14" t="n">
        <v>0.39</v>
      </c>
      <c r="F23" s="14" t="n">
        <v>0.35</v>
      </c>
      <c r="G23" s="14" t="n">
        <v>0.28</v>
      </c>
      <c r="H23" s="14" t="n">
        <v>0.39</v>
      </c>
      <c r="I23" s="14" t="n">
        <v>0.4</v>
      </c>
      <c r="J23" s="14" t="n">
        <v>0.47</v>
      </c>
      <c r="K23" s="14" t="n">
        <v>0.36</v>
      </c>
      <c r="L23" s="14" t="n">
        <v>0.35</v>
      </c>
      <c r="M23" s="14" t="n">
        <v>0.38</v>
      </c>
      <c r="N23" s="14" t="n">
        <v>0.47</v>
      </c>
      <c r="O23" s="14" t="n">
        <v>0.52</v>
      </c>
      <c r="P23" s="14" t="n">
        <v>0.32</v>
      </c>
      <c r="Q23" s="14" t="n">
        <v>0.45</v>
      </c>
      <c r="R23" s="14" t="n">
        <v>0.32</v>
      </c>
      <c r="S23" s="14" t="n">
        <v>0.45</v>
      </c>
      <c r="T23" s="14" t="n">
        <v>0.48</v>
      </c>
      <c r="U23" s="14" t="n">
        <v>0.29</v>
      </c>
      <c r="V23" s="14" t="n">
        <v>0.37</v>
      </c>
      <c r="W23" s="14" t="n">
        <v>0.31</v>
      </c>
      <c r="X23" s="14" t="n">
        <v>0.27</v>
      </c>
      <c r="Y23" s="14" t="n">
        <v>0.34</v>
      </c>
      <c r="Z23" s="14" t="n">
        <v>0.36</v>
      </c>
      <c r="AA23" s="14" t="n">
        <v>0.46</v>
      </c>
      <c r="AB23" s="14" t="n">
        <v>0.4</v>
      </c>
      <c r="AC23" s="14" t="n">
        <v>0.44</v>
      </c>
      <c r="AD23" s="14" t="n">
        <v>0.4</v>
      </c>
      <c r="AE23" s="14" t="n">
        <v>0.38</v>
      </c>
      <c r="AF23" s="14" t="n">
        <v>0.33</v>
      </c>
    </row>
    <row r="24">
      <c r="A24" s="20" t="n"/>
      <c r="B24" s="11" t="inlineStr">
        <is>
          <t>Pas d'accès à Internet (SPONTANÉ)</t>
        </is>
      </c>
      <c r="C24" s="12" t="n">
        <v>312</v>
      </c>
      <c r="D24" s="12" t="n">
        <v>15</v>
      </c>
      <c r="E24" s="12" t="n">
        <v>33</v>
      </c>
      <c r="F24" s="12" t="n">
        <v>16</v>
      </c>
      <c r="G24" s="12" t="n">
        <v>25</v>
      </c>
      <c r="H24" s="12" t="n">
        <v>17</v>
      </c>
      <c r="I24" s="12" t="n">
        <v>17</v>
      </c>
      <c r="J24" s="12" t="n">
        <v>0</v>
      </c>
      <c r="K24" s="12" t="n">
        <v>6</v>
      </c>
      <c r="L24" s="12" t="n">
        <v>4</v>
      </c>
      <c r="M24" s="12" t="n">
        <v>56</v>
      </c>
      <c r="N24" s="12" t="n">
        <v>18</v>
      </c>
      <c r="O24" s="12" t="n">
        <v>1</v>
      </c>
      <c r="P24" s="12" t="n">
        <v>21</v>
      </c>
      <c r="Q24" s="12" t="n">
        <v>9</v>
      </c>
      <c r="R24" s="12" t="n">
        <v>0</v>
      </c>
      <c r="S24" s="12" t="n">
        <v>14</v>
      </c>
      <c r="T24" s="12" t="n">
        <v>7</v>
      </c>
      <c r="U24" s="12" t="n">
        <v>13</v>
      </c>
      <c r="V24" s="12" t="n">
        <v>0</v>
      </c>
      <c r="W24" s="12" t="n">
        <v>3</v>
      </c>
      <c r="X24" s="12" t="n">
        <v>3</v>
      </c>
      <c r="Y24" s="12" t="n">
        <v>56</v>
      </c>
      <c r="Z24" s="12" t="n">
        <v>5</v>
      </c>
      <c r="AA24" s="12" t="n">
        <v>28</v>
      </c>
      <c r="AB24" s="12" t="n">
        <v>16</v>
      </c>
      <c r="AC24" s="12" t="n">
        <v>8</v>
      </c>
      <c r="AD24" s="12" t="n">
        <v>4</v>
      </c>
      <c r="AE24" s="12" t="n">
        <v>4</v>
      </c>
      <c r="AF24" s="12" t="n">
        <v>5</v>
      </c>
    </row>
    <row r="25">
      <c r="A25" s="23" t="n"/>
      <c r="B25" s="13" t="inlineStr">
        <is>
          <t>No internet access (SPONTANEOUS)</t>
        </is>
      </c>
      <c r="C25" s="14" t="n">
        <v>0.01</v>
      </c>
      <c r="D25" s="14" t="n">
        <v>0.01</v>
      </c>
      <c r="E25" s="14" t="n">
        <v>0.03</v>
      </c>
      <c r="F25" s="14" t="n">
        <v>0.02</v>
      </c>
      <c r="G25" s="14" t="n">
        <v>0.02</v>
      </c>
      <c r="H25" s="14" t="n">
        <v>0.01</v>
      </c>
      <c r="I25" s="14" t="n">
        <v>0.01</v>
      </c>
      <c r="J25" s="15" t="inlineStr">
        <is>
          <t>-</t>
        </is>
      </c>
      <c r="K25" s="14" t="n">
        <v>0.01</v>
      </c>
      <c r="L25" s="15" t="inlineStr">
        <is>
          <t>-</t>
        </is>
      </c>
      <c r="M25" s="14" t="n">
        <v>0.06</v>
      </c>
      <c r="N25" s="14" t="n">
        <v>0.02</v>
      </c>
      <c r="O25" s="15" t="inlineStr">
        <is>
          <t>-</t>
        </is>
      </c>
      <c r="P25" s="14" t="n">
        <v>0.02</v>
      </c>
      <c r="Q25" s="14" t="n">
        <v>0.01</v>
      </c>
      <c r="R25" s="15" t="inlineStr">
        <is>
          <t>-</t>
        </is>
      </c>
      <c r="S25" s="14" t="n">
        <v>0.01</v>
      </c>
      <c r="T25" s="14" t="n">
        <v>0.01</v>
      </c>
      <c r="U25" s="14" t="n">
        <v>0.03</v>
      </c>
      <c r="V25" s="15" t="inlineStr">
        <is>
          <t>-</t>
        </is>
      </c>
      <c r="W25" s="15" t="inlineStr">
        <is>
          <t>-</t>
        </is>
      </c>
      <c r="X25" s="15" t="inlineStr">
        <is>
          <t>-</t>
        </is>
      </c>
      <c r="Y25" s="14" t="n">
        <v>0.06</v>
      </c>
      <c r="Z25" s="15" t="inlineStr">
        <is>
          <t>-</t>
        </is>
      </c>
      <c r="AA25" s="14" t="n">
        <v>0.03</v>
      </c>
      <c r="AB25" s="14" t="n">
        <v>0.01</v>
      </c>
      <c r="AC25" s="14" t="n">
        <v>0.01</v>
      </c>
      <c r="AD25" s="14" t="n">
        <v>0.01</v>
      </c>
      <c r="AE25" s="15" t="inlineStr">
        <is>
          <t>-</t>
        </is>
      </c>
      <c r="AF25" s="15" t="inlineStr">
        <is>
          <t>-</t>
        </is>
      </c>
    </row>
    <row r="26">
      <c r="A26" s="19" t="n"/>
      <c r="B26" s="11" t="inlineStr">
        <is>
          <t>Total 'Utilise internet'</t>
        </is>
      </c>
      <c r="C26" s="12" t="n">
        <v>15077</v>
      </c>
      <c r="D26" s="12" t="n">
        <v>614</v>
      </c>
      <c r="E26" s="12" t="n">
        <v>584</v>
      </c>
      <c r="F26" s="12" t="n">
        <v>662</v>
      </c>
      <c r="G26" s="12" t="n">
        <v>703</v>
      </c>
      <c r="H26" s="12" t="n">
        <v>728</v>
      </c>
      <c r="I26" s="12" t="n">
        <v>880</v>
      </c>
      <c r="J26" s="12" t="n">
        <v>154</v>
      </c>
      <c r="K26" s="12" t="n">
        <v>635</v>
      </c>
      <c r="L26" s="12" t="n">
        <v>658</v>
      </c>
      <c r="M26" s="12" t="n">
        <v>569</v>
      </c>
      <c r="N26" s="12" t="n">
        <v>514</v>
      </c>
      <c r="O26" s="12" t="n">
        <v>488</v>
      </c>
      <c r="P26" s="12" t="n">
        <v>661</v>
      </c>
      <c r="Q26" s="12" t="n">
        <v>558</v>
      </c>
      <c r="R26" s="12" t="n">
        <v>341</v>
      </c>
      <c r="S26" s="12" t="n">
        <v>541</v>
      </c>
      <c r="T26" s="12" t="n">
        <v>526</v>
      </c>
      <c r="U26" s="12" t="n">
        <v>347</v>
      </c>
      <c r="V26" s="12" t="n">
        <v>644</v>
      </c>
      <c r="W26" s="12" t="n">
        <v>346</v>
      </c>
      <c r="X26" s="12" t="n">
        <v>744</v>
      </c>
      <c r="Y26" s="12" t="n">
        <v>601</v>
      </c>
      <c r="Z26" s="12" t="n">
        <v>645</v>
      </c>
      <c r="AA26" s="12" t="n">
        <v>527</v>
      </c>
      <c r="AB26" s="12" t="n">
        <v>613</v>
      </c>
      <c r="AC26" s="12" t="n">
        <v>552</v>
      </c>
      <c r="AD26" s="12" t="n">
        <v>592</v>
      </c>
      <c r="AE26" s="12" t="n">
        <v>628</v>
      </c>
      <c r="AF26" s="12" t="n">
        <v>690</v>
      </c>
    </row>
    <row r="27">
      <c r="A27" s="23" t="n"/>
      <c r="B27" s="13" t="inlineStr">
        <is>
          <t>Total 'Use the internet'</t>
        </is>
      </c>
      <c r="C27" s="14" t="n">
        <v>0.5700000000000001</v>
      </c>
      <c r="D27" s="14" t="n">
        <v>0.61</v>
      </c>
      <c r="E27" s="14" t="n">
        <v>0.58</v>
      </c>
      <c r="F27" s="14" t="n">
        <v>0.63</v>
      </c>
      <c r="G27" s="14" t="n">
        <v>0.7000000000000001</v>
      </c>
      <c r="H27" s="14" t="n">
        <v>0.6</v>
      </c>
      <c r="I27" s="14" t="n">
        <v>0.59</v>
      </c>
      <c r="J27" s="14" t="n">
        <v>0.53</v>
      </c>
      <c r="K27" s="14" t="n">
        <v>0.63</v>
      </c>
      <c r="L27" s="14" t="n">
        <v>0.65</v>
      </c>
      <c r="M27" s="14" t="n">
        <v>0.5600000000000001</v>
      </c>
      <c r="N27" s="14" t="n">
        <v>0.51</v>
      </c>
      <c r="O27" s="14" t="n">
        <v>0.48</v>
      </c>
      <c r="P27" s="14" t="n">
        <v>0.66</v>
      </c>
      <c r="Q27" s="14" t="n">
        <v>0.54</v>
      </c>
      <c r="R27" s="14" t="n">
        <v>0.68</v>
      </c>
      <c r="S27" s="14" t="n">
        <v>0.54</v>
      </c>
      <c r="T27" s="14" t="n">
        <v>0.51</v>
      </c>
      <c r="U27" s="14" t="n">
        <v>0.68</v>
      </c>
      <c r="V27" s="14" t="n">
        <v>0.63</v>
      </c>
      <c r="W27" s="14" t="n">
        <v>0.6900000000000001</v>
      </c>
      <c r="X27" s="14" t="n">
        <v>0.73</v>
      </c>
      <c r="Y27" s="14" t="n">
        <v>0.6</v>
      </c>
      <c r="Z27" s="14" t="n">
        <v>0.64</v>
      </c>
      <c r="AA27" s="14" t="n">
        <v>0.51</v>
      </c>
      <c r="AB27" s="14" t="n">
        <v>0.59</v>
      </c>
      <c r="AC27" s="14" t="n">
        <v>0.55</v>
      </c>
      <c r="AD27" s="14" t="n">
        <v>0.59</v>
      </c>
      <c r="AE27" s="14" t="n">
        <v>0.62</v>
      </c>
      <c r="AF27" s="14" t="n">
        <v>0.67</v>
      </c>
    </row>
  </sheetData>
  <mergeCells count="10">
    <mergeCell ref="B4:F4"/>
    <mergeCell ref="H3:L3"/>
    <mergeCell ref="C8:AF8"/>
    <mergeCell ref="A26:A27"/>
    <mergeCell ref="B3:F3"/>
    <mergeCell ref="B5:F5"/>
    <mergeCell ref="A10:A25"/>
    <mergeCell ref="H5:L5"/>
    <mergeCell ref="B10:B11"/>
    <mergeCell ref="H4:L4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12" customHeight="1" s="18">
      <c r="B3" s="21" t="inlineStr">
        <is>
          <t>D62.3. Pouvez-vous dire si… ?</t>
        </is>
      </c>
      <c r="H3" s="21" t="inlineStr">
        <is>
          <t>D62.3. Could you tell if…?</t>
        </is>
      </c>
    </row>
    <row r="4" ht="27" customHeight="1" s="18">
      <c r="B4" s="21" t="inlineStr">
        <is>
          <t>Vous utilisez Internet sur votre appareil mobile (ordinateur portable, smartphone, tablette, etc.)</t>
        </is>
      </c>
      <c r="H4" s="21" t="inlineStr">
        <is>
          <t>You use the Internet on your mobile device (laptop, smartphone, tablet, etc.)</t>
        </is>
      </c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HYPERLINK("#Content!A62","&lt;&lt;Back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Tous les jours ou presque</t>
        </is>
      </c>
      <c r="C12" s="12" t="n">
        <v>21791</v>
      </c>
      <c r="D12" s="12" t="n">
        <v>880</v>
      </c>
      <c r="E12" s="12" t="n">
        <v>812</v>
      </c>
      <c r="F12" s="12" t="n">
        <v>782</v>
      </c>
      <c r="G12" s="12" t="n">
        <v>937</v>
      </c>
      <c r="H12" s="12" t="n">
        <v>1029</v>
      </c>
      <c r="I12" s="12" t="n">
        <v>1264</v>
      </c>
      <c r="J12" s="12" t="n">
        <v>235</v>
      </c>
      <c r="K12" s="12" t="n">
        <v>836</v>
      </c>
      <c r="L12" s="12" t="n">
        <v>884</v>
      </c>
      <c r="M12" s="12" t="n">
        <v>801</v>
      </c>
      <c r="N12" s="12" t="n">
        <v>845</v>
      </c>
      <c r="O12" s="12" t="n">
        <v>837</v>
      </c>
      <c r="P12" s="12" t="n">
        <v>772</v>
      </c>
      <c r="Q12" s="12" t="n">
        <v>838</v>
      </c>
      <c r="R12" s="12" t="n">
        <v>377</v>
      </c>
      <c r="S12" s="12" t="n">
        <v>865</v>
      </c>
      <c r="T12" s="12" t="n">
        <v>860</v>
      </c>
      <c r="U12" s="12" t="n">
        <v>472</v>
      </c>
      <c r="V12" s="12" t="n">
        <v>714</v>
      </c>
      <c r="W12" s="12" t="n">
        <v>450</v>
      </c>
      <c r="X12" s="12" t="n">
        <v>971</v>
      </c>
      <c r="Y12" s="12" t="n">
        <v>763</v>
      </c>
      <c r="Z12" s="12" t="n">
        <v>804</v>
      </c>
      <c r="AA12" s="12" t="n">
        <v>779</v>
      </c>
      <c r="AB12" s="12" t="n">
        <v>802</v>
      </c>
      <c r="AC12" s="12" t="n">
        <v>833</v>
      </c>
      <c r="AD12" s="12" t="n">
        <v>761</v>
      </c>
      <c r="AE12" s="12" t="n">
        <v>943</v>
      </c>
      <c r="AF12" s="12" t="n">
        <v>986</v>
      </c>
    </row>
    <row r="13">
      <c r="A13" s="20" t="n"/>
      <c r="B13" s="13" t="inlineStr">
        <is>
          <t>Every day or almost every day</t>
        </is>
      </c>
      <c r="C13" s="14" t="n">
        <v>0.8200000000000001</v>
      </c>
      <c r="D13" s="14" t="n">
        <v>0.86</v>
      </c>
      <c r="E13" s="14" t="n">
        <v>0.8</v>
      </c>
      <c r="F13" s="14" t="n">
        <v>0.74</v>
      </c>
      <c r="G13" s="14" t="n">
        <v>0.93</v>
      </c>
      <c r="H13" s="14" t="n">
        <v>0.85</v>
      </c>
      <c r="I13" s="14" t="n">
        <v>0.84</v>
      </c>
      <c r="J13" s="14" t="n">
        <v>0.8</v>
      </c>
      <c r="K13" s="14" t="n">
        <v>0.8300000000000001</v>
      </c>
      <c r="L13" s="14" t="n">
        <v>0.88</v>
      </c>
      <c r="M13" s="14" t="n">
        <v>0.79</v>
      </c>
      <c r="N13" s="14" t="n">
        <v>0.84</v>
      </c>
      <c r="O13" s="14" t="n">
        <v>0.8200000000000001</v>
      </c>
      <c r="P13" s="14" t="n">
        <v>0.77</v>
      </c>
      <c r="Q13" s="14" t="n">
        <v>0.8200000000000001</v>
      </c>
      <c r="R13" s="14" t="n">
        <v>0.75</v>
      </c>
      <c r="S13" s="14" t="n">
        <v>0.86</v>
      </c>
      <c r="T13" s="14" t="n">
        <v>0.85</v>
      </c>
      <c r="U13" s="14" t="n">
        <v>0.93</v>
      </c>
      <c r="V13" s="14" t="n">
        <v>0.7000000000000001</v>
      </c>
      <c r="W13" s="14" t="n">
        <v>0.89</v>
      </c>
      <c r="X13" s="14" t="n">
        <v>0.9500000000000001</v>
      </c>
      <c r="Y13" s="14" t="n">
        <v>0.76</v>
      </c>
      <c r="Z13" s="14" t="n">
        <v>0.79</v>
      </c>
      <c r="AA13" s="14" t="n">
        <v>0.76</v>
      </c>
      <c r="AB13" s="14" t="n">
        <v>0.77</v>
      </c>
      <c r="AC13" s="14" t="n">
        <v>0.8300000000000001</v>
      </c>
      <c r="AD13" s="14" t="n">
        <v>0.76</v>
      </c>
      <c r="AE13" s="14" t="n">
        <v>0.93</v>
      </c>
      <c r="AF13" s="14" t="n">
        <v>0.9500000000000001</v>
      </c>
    </row>
    <row r="14">
      <c r="A14" s="20" t="n"/>
      <c r="B14" s="11" t="inlineStr">
        <is>
          <t>Deux ou trois fois par semaine</t>
        </is>
      </c>
      <c r="C14" s="12" t="n">
        <v>1455</v>
      </c>
      <c r="D14" s="12" t="n">
        <v>48</v>
      </c>
      <c r="E14" s="12" t="n">
        <v>45</v>
      </c>
      <c r="F14" s="12" t="n">
        <v>72</v>
      </c>
      <c r="G14" s="12" t="n">
        <v>22</v>
      </c>
      <c r="H14" s="12" t="n">
        <v>79</v>
      </c>
      <c r="I14" s="12" t="n">
        <v>103</v>
      </c>
      <c r="J14" s="12" t="n">
        <v>23</v>
      </c>
      <c r="K14" s="12" t="n">
        <v>37</v>
      </c>
      <c r="L14" s="12" t="n">
        <v>46</v>
      </c>
      <c r="M14" s="12" t="n">
        <v>46</v>
      </c>
      <c r="N14" s="12" t="n">
        <v>43</v>
      </c>
      <c r="O14" s="12" t="n">
        <v>40</v>
      </c>
      <c r="P14" s="12" t="n">
        <v>59</v>
      </c>
      <c r="Q14" s="12" t="n">
        <v>86</v>
      </c>
      <c r="R14" s="12" t="n">
        <v>33</v>
      </c>
      <c r="S14" s="12" t="n">
        <v>19</v>
      </c>
      <c r="T14" s="12" t="n">
        <v>25</v>
      </c>
      <c r="U14" s="12" t="n">
        <v>16</v>
      </c>
      <c r="V14" s="12" t="n">
        <v>66</v>
      </c>
      <c r="W14" s="12" t="n">
        <v>7</v>
      </c>
      <c r="X14" s="12" t="n">
        <v>19</v>
      </c>
      <c r="Y14" s="12" t="n">
        <v>96</v>
      </c>
      <c r="Z14" s="12" t="n">
        <v>58</v>
      </c>
      <c r="AA14" s="12" t="n">
        <v>52</v>
      </c>
      <c r="AB14" s="12" t="n">
        <v>62</v>
      </c>
      <c r="AC14" s="12" t="n">
        <v>46</v>
      </c>
      <c r="AD14" s="12" t="n">
        <v>57</v>
      </c>
      <c r="AE14" s="12" t="n">
        <v>21</v>
      </c>
      <c r="AF14" s="12" t="n">
        <v>22</v>
      </c>
    </row>
    <row r="15">
      <c r="A15" s="20" t="n"/>
      <c r="B15" s="13" t="inlineStr">
        <is>
          <t>Two or three times a week</t>
        </is>
      </c>
      <c r="C15" s="14" t="n">
        <v>0.06</v>
      </c>
      <c r="D15" s="14" t="n">
        <v>0.05</v>
      </c>
      <c r="E15" s="14" t="n">
        <v>0.04</v>
      </c>
      <c r="F15" s="14" t="n">
        <v>0.07000000000000001</v>
      </c>
      <c r="G15" s="14" t="n">
        <v>0.02</v>
      </c>
      <c r="H15" s="14" t="n">
        <v>0.07000000000000001</v>
      </c>
      <c r="I15" s="14" t="n">
        <v>0.07000000000000001</v>
      </c>
      <c r="J15" s="14" t="n">
        <v>0.08</v>
      </c>
      <c r="K15" s="14" t="n">
        <v>0.04</v>
      </c>
      <c r="L15" s="14" t="n">
        <v>0.05</v>
      </c>
      <c r="M15" s="14" t="n">
        <v>0.05</v>
      </c>
      <c r="N15" s="14" t="n">
        <v>0.04</v>
      </c>
      <c r="O15" s="14" t="n">
        <v>0.04</v>
      </c>
      <c r="P15" s="14" t="n">
        <v>0.06</v>
      </c>
      <c r="Q15" s="14" t="n">
        <v>0.08</v>
      </c>
      <c r="R15" s="14" t="n">
        <v>0.07000000000000001</v>
      </c>
      <c r="S15" s="14" t="n">
        <v>0.02</v>
      </c>
      <c r="T15" s="14" t="n">
        <v>0.02</v>
      </c>
      <c r="U15" s="14" t="n">
        <v>0.03</v>
      </c>
      <c r="V15" s="14" t="n">
        <v>0.06</v>
      </c>
      <c r="W15" s="14" t="n">
        <v>0.01</v>
      </c>
      <c r="X15" s="14" t="n">
        <v>0.02</v>
      </c>
      <c r="Y15" s="14" t="n">
        <v>0.1</v>
      </c>
      <c r="Z15" s="14" t="n">
        <v>0.06</v>
      </c>
      <c r="AA15" s="14" t="n">
        <v>0.05</v>
      </c>
      <c r="AB15" s="14" t="n">
        <v>0.06</v>
      </c>
      <c r="AC15" s="14" t="n">
        <v>0.05</v>
      </c>
      <c r="AD15" s="14" t="n">
        <v>0.06</v>
      </c>
      <c r="AE15" s="14" t="n">
        <v>0.02</v>
      </c>
      <c r="AF15" s="14" t="n">
        <v>0.02</v>
      </c>
    </row>
    <row r="16">
      <c r="A16" s="20" t="n"/>
      <c r="B16" s="11" t="inlineStr">
        <is>
          <t>Environ une fois par semaine</t>
        </is>
      </c>
      <c r="C16" s="12" t="n">
        <v>344</v>
      </c>
      <c r="D16" s="12" t="n">
        <v>13</v>
      </c>
      <c r="E16" s="12" t="n">
        <v>14</v>
      </c>
      <c r="F16" s="12" t="n">
        <v>18</v>
      </c>
      <c r="G16" s="12" t="n">
        <v>6</v>
      </c>
      <c r="H16" s="12" t="n">
        <v>4</v>
      </c>
      <c r="I16" s="12" t="n">
        <v>8</v>
      </c>
      <c r="J16" s="12" t="n">
        <v>4</v>
      </c>
      <c r="K16" s="12" t="n">
        <v>11</v>
      </c>
      <c r="L16" s="12" t="n">
        <v>14</v>
      </c>
      <c r="M16" s="12" t="n">
        <v>8</v>
      </c>
      <c r="N16" s="12" t="n">
        <v>10</v>
      </c>
      <c r="O16" s="12" t="n">
        <v>15</v>
      </c>
      <c r="P16" s="12" t="n">
        <v>10</v>
      </c>
      <c r="Q16" s="12" t="n">
        <v>28</v>
      </c>
      <c r="R16" s="12" t="n">
        <v>4</v>
      </c>
      <c r="S16" s="12" t="n">
        <v>4</v>
      </c>
      <c r="T16" s="12" t="n">
        <v>0</v>
      </c>
      <c r="U16" s="12" t="n">
        <v>6</v>
      </c>
      <c r="V16" s="12" t="n">
        <v>39</v>
      </c>
      <c r="W16" s="12" t="n">
        <v>1</v>
      </c>
      <c r="X16" s="12" t="n">
        <v>8</v>
      </c>
      <c r="Y16" s="12" t="n">
        <v>33</v>
      </c>
      <c r="Z16" s="12" t="n">
        <v>9</v>
      </c>
      <c r="AA16" s="12" t="n">
        <v>4</v>
      </c>
      <c r="AB16" s="12" t="n">
        <v>13</v>
      </c>
      <c r="AC16" s="12" t="n">
        <v>12</v>
      </c>
      <c r="AD16" s="12" t="n">
        <v>17</v>
      </c>
      <c r="AE16" s="12" t="n">
        <v>5</v>
      </c>
      <c r="AF16" s="12" t="n">
        <v>2</v>
      </c>
    </row>
    <row r="17">
      <c r="A17" s="20" t="n"/>
      <c r="B17" s="13" t="inlineStr">
        <is>
          <t>About once a week</t>
        </is>
      </c>
      <c r="C17" s="14" t="n">
        <v>0.01</v>
      </c>
      <c r="D17" s="14" t="n">
        <v>0.01</v>
      </c>
      <c r="E17" s="14" t="n">
        <v>0.01</v>
      </c>
      <c r="F17" s="14" t="n">
        <v>0.02</v>
      </c>
      <c r="G17" s="14" t="n">
        <v>0.01</v>
      </c>
      <c r="H17" s="15" t="inlineStr">
        <is>
          <t>-</t>
        </is>
      </c>
      <c r="I17" s="14" t="n">
        <v>0.01</v>
      </c>
      <c r="J17" s="14" t="n">
        <v>0.01</v>
      </c>
      <c r="K17" s="14" t="n">
        <v>0.01</v>
      </c>
      <c r="L17" s="14" t="n">
        <v>0.01</v>
      </c>
      <c r="M17" s="14" t="n">
        <v>0.01</v>
      </c>
      <c r="N17" s="14" t="n">
        <v>0.01</v>
      </c>
      <c r="O17" s="14" t="n">
        <v>0.02</v>
      </c>
      <c r="P17" s="14" t="n">
        <v>0.01</v>
      </c>
      <c r="Q17" s="14" t="n">
        <v>0.03</v>
      </c>
      <c r="R17" s="14" t="n">
        <v>0.01</v>
      </c>
      <c r="S17" s="14" t="n">
        <v>0.01</v>
      </c>
      <c r="T17" s="15" t="inlineStr">
        <is>
          <t>-</t>
        </is>
      </c>
      <c r="U17" s="14" t="n">
        <v>0.01</v>
      </c>
      <c r="V17" s="14" t="n">
        <v>0.04</v>
      </c>
      <c r="W17" s="15" t="inlineStr">
        <is>
          <t>-</t>
        </is>
      </c>
      <c r="X17" s="14" t="n">
        <v>0.01</v>
      </c>
      <c r="Y17" s="14" t="n">
        <v>0.03</v>
      </c>
      <c r="Z17" s="14" t="n">
        <v>0.01</v>
      </c>
      <c r="AA17" s="15" t="inlineStr">
        <is>
          <t>-</t>
        </is>
      </c>
      <c r="AB17" s="14" t="n">
        <v>0.01</v>
      </c>
      <c r="AC17" s="14" t="n">
        <v>0.01</v>
      </c>
      <c r="AD17" s="14" t="n">
        <v>0.02</v>
      </c>
      <c r="AE17" s="14" t="n">
        <v>0.01</v>
      </c>
      <c r="AF17" s="15" t="inlineStr">
        <is>
          <t>-</t>
        </is>
      </c>
    </row>
    <row r="18">
      <c r="A18" s="20" t="n"/>
      <c r="B18" s="11" t="inlineStr">
        <is>
          <t>Deux ou trois fois par mois</t>
        </is>
      </c>
      <c r="C18" s="12" t="n">
        <v>146</v>
      </c>
      <c r="D18" s="12" t="n">
        <v>2</v>
      </c>
      <c r="E18" s="12" t="n">
        <v>6</v>
      </c>
      <c r="F18" s="12" t="n">
        <v>10</v>
      </c>
      <c r="G18" s="12" t="n">
        <v>5</v>
      </c>
      <c r="H18" s="12" t="n">
        <v>3</v>
      </c>
      <c r="I18" s="12" t="n">
        <v>5</v>
      </c>
      <c r="J18" s="12" t="n">
        <v>2</v>
      </c>
      <c r="K18" s="12" t="n">
        <v>2</v>
      </c>
      <c r="L18" s="12" t="n">
        <v>2</v>
      </c>
      <c r="M18" s="12" t="n">
        <v>4</v>
      </c>
      <c r="N18" s="12" t="n">
        <v>4</v>
      </c>
      <c r="O18" s="12" t="n">
        <v>8</v>
      </c>
      <c r="P18" s="12" t="n">
        <v>13</v>
      </c>
      <c r="Q18" s="12" t="n">
        <v>6</v>
      </c>
      <c r="R18" s="12" t="n">
        <v>5</v>
      </c>
      <c r="S18" s="12" t="n">
        <v>3</v>
      </c>
      <c r="T18" s="12" t="n">
        <v>2</v>
      </c>
      <c r="U18" s="12" t="n">
        <v>1</v>
      </c>
      <c r="V18" s="12" t="n">
        <v>15</v>
      </c>
      <c r="W18" s="12" t="n">
        <v>0</v>
      </c>
      <c r="X18" s="12" t="n">
        <v>10</v>
      </c>
      <c r="Y18" s="12" t="n">
        <v>10</v>
      </c>
      <c r="Z18" s="12" t="n">
        <v>3</v>
      </c>
      <c r="AA18" s="12" t="n">
        <v>3</v>
      </c>
      <c r="AB18" s="12" t="n">
        <v>6</v>
      </c>
      <c r="AC18" s="12" t="n">
        <v>5</v>
      </c>
      <c r="AD18" s="12" t="n">
        <v>14</v>
      </c>
      <c r="AE18" s="12" t="n">
        <v>3</v>
      </c>
      <c r="AF18" s="12" t="n">
        <v>2</v>
      </c>
    </row>
    <row r="19">
      <c r="A19" s="20" t="n"/>
      <c r="B19" s="13" t="inlineStr">
        <is>
          <t>Two or three times a month</t>
        </is>
      </c>
      <c r="C19" s="14" t="n">
        <v>0.01</v>
      </c>
      <c r="D19" s="15" t="inlineStr">
        <is>
          <t>-</t>
        </is>
      </c>
      <c r="E19" s="14" t="n">
        <v>0.01</v>
      </c>
      <c r="F19" s="14" t="n">
        <v>0.01</v>
      </c>
      <c r="G19" s="15" t="inlineStr">
        <is>
          <t>-</t>
        </is>
      </c>
      <c r="H19" s="15" t="inlineStr">
        <is>
          <t>-</t>
        </is>
      </c>
      <c r="I19" s="15" t="inlineStr">
        <is>
          <t>-</t>
        </is>
      </c>
      <c r="J19" s="14" t="n">
        <v>0.01</v>
      </c>
      <c r="K19" s="15" t="inlineStr">
        <is>
          <t>-</t>
        </is>
      </c>
      <c r="L19" s="15" t="inlineStr">
        <is>
          <t>-</t>
        </is>
      </c>
      <c r="M19" s="15" t="inlineStr">
        <is>
          <t>-</t>
        </is>
      </c>
      <c r="N19" s="15" t="inlineStr">
        <is>
          <t>-</t>
        </is>
      </c>
      <c r="O19" s="14" t="n">
        <v>0.01</v>
      </c>
      <c r="P19" s="14" t="n">
        <v>0.01</v>
      </c>
      <c r="Q19" s="14" t="n">
        <v>0.01</v>
      </c>
      <c r="R19" s="14" t="n">
        <v>0.01</v>
      </c>
      <c r="S19" s="15" t="inlineStr">
        <is>
          <t>-</t>
        </is>
      </c>
      <c r="T19" s="15" t="inlineStr">
        <is>
          <t>-</t>
        </is>
      </c>
      <c r="U19" s="15" t="inlineStr">
        <is>
          <t>-</t>
        </is>
      </c>
      <c r="V19" s="14" t="n">
        <v>0.02</v>
      </c>
      <c r="W19" s="15" t="inlineStr">
        <is>
          <t>-</t>
        </is>
      </c>
      <c r="X19" s="14" t="n">
        <v>0.01</v>
      </c>
      <c r="Y19" s="14" t="n">
        <v>0.01</v>
      </c>
      <c r="Z19" s="15" t="inlineStr">
        <is>
          <t>-</t>
        </is>
      </c>
      <c r="AA19" s="15" t="inlineStr">
        <is>
          <t>-</t>
        </is>
      </c>
      <c r="AB19" s="14" t="n">
        <v>0.01</v>
      </c>
      <c r="AC19" s="15" t="inlineStr">
        <is>
          <t>-</t>
        </is>
      </c>
      <c r="AD19" s="14" t="n">
        <v>0.01</v>
      </c>
      <c r="AE19" s="15" t="inlineStr">
        <is>
          <t>-</t>
        </is>
      </c>
      <c r="AF19" s="15" t="inlineStr">
        <is>
          <t>-</t>
        </is>
      </c>
    </row>
    <row r="20">
      <c r="A20" s="20" t="n"/>
      <c r="B20" s="11" t="inlineStr">
        <is>
          <t>Moins souvent</t>
        </is>
      </c>
      <c r="C20" s="12" t="n">
        <v>273</v>
      </c>
      <c r="D20" s="12" t="n">
        <v>12</v>
      </c>
      <c r="E20" s="12" t="n">
        <v>16</v>
      </c>
      <c r="F20" s="12" t="n">
        <v>28</v>
      </c>
      <c r="G20" s="12" t="n">
        <v>7</v>
      </c>
      <c r="H20" s="12" t="n">
        <v>14</v>
      </c>
      <c r="I20" s="12" t="n">
        <v>21</v>
      </c>
      <c r="J20" s="12" t="n">
        <v>8</v>
      </c>
      <c r="K20" s="12" t="n">
        <v>15</v>
      </c>
      <c r="L20" s="12" t="n">
        <v>20</v>
      </c>
      <c r="M20" s="12" t="n">
        <v>4</v>
      </c>
      <c r="N20" s="12" t="n">
        <v>7</v>
      </c>
      <c r="O20" s="12" t="n">
        <v>9</v>
      </c>
      <c r="P20" s="12" t="n">
        <v>49</v>
      </c>
      <c r="Q20" s="12" t="n">
        <v>10</v>
      </c>
      <c r="R20" s="12" t="n">
        <v>12</v>
      </c>
      <c r="S20" s="12" t="n">
        <v>5</v>
      </c>
      <c r="T20" s="12" t="n">
        <v>8</v>
      </c>
      <c r="U20" s="12" t="n">
        <v>4</v>
      </c>
      <c r="V20" s="12" t="n">
        <v>17</v>
      </c>
      <c r="W20" s="12" t="n">
        <v>1</v>
      </c>
      <c r="X20" s="12" t="n">
        <v>5</v>
      </c>
      <c r="Y20" s="12" t="n">
        <v>8</v>
      </c>
      <c r="Z20" s="12" t="n">
        <v>3</v>
      </c>
      <c r="AA20" s="12" t="n">
        <v>8</v>
      </c>
      <c r="AB20" s="12" t="n">
        <v>10</v>
      </c>
      <c r="AC20" s="12" t="n">
        <v>16</v>
      </c>
      <c r="AD20" s="12" t="n">
        <v>15</v>
      </c>
      <c r="AE20" s="12" t="n">
        <v>4</v>
      </c>
      <c r="AF20" s="12" t="n">
        <v>7</v>
      </c>
    </row>
    <row r="21">
      <c r="A21" s="20" t="n"/>
      <c r="B21" s="13" t="inlineStr">
        <is>
          <t>Less often</t>
        </is>
      </c>
      <c r="C21" s="14" t="n">
        <v>0.01</v>
      </c>
      <c r="D21" s="14" t="n">
        <v>0.01</v>
      </c>
      <c r="E21" s="14" t="n">
        <v>0.02</v>
      </c>
      <c r="F21" s="14" t="n">
        <v>0.03</v>
      </c>
      <c r="G21" s="14" t="n">
        <v>0.01</v>
      </c>
      <c r="H21" s="14" t="n">
        <v>0.01</v>
      </c>
      <c r="I21" s="14" t="n">
        <v>0.01</v>
      </c>
      <c r="J21" s="14" t="n">
        <v>0.03</v>
      </c>
      <c r="K21" s="14" t="n">
        <v>0.02</v>
      </c>
      <c r="L21" s="14" t="n">
        <v>0.02</v>
      </c>
      <c r="M21" s="15" t="inlineStr">
        <is>
          <t>-</t>
        </is>
      </c>
      <c r="N21" s="14" t="n">
        <v>0.01</v>
      </c>
      <c r="O21" s="14" t="n">
        <v>0.01</v>
      </c>
      <c r="P21" s="14" t="n">
        <v>0.05</v>
      </c>
      <c r="Q21" s="14" t="n">
        <v>0.01</v>
      </c>
      <c r="R21" s="14" t="n">
        <v>0.02</v>
      </c>
      <c r="S21" s="14" t="n">
        <v>0.01</v>
      </c>
      <c r="T21" s="14" t="n">
        <v>0.01</v>
      </c>
      <c r="U21" s="14" t="n">
        <v>0.01</v>
      </c>
      <c r="V21" s="14" t="n">
        <v>0.02</v>
      </c>
      <c r="W21" s="15" t="inlineStr">
        <is>
          <t>-</t>
        </is>
      </c>
      <c r="X21" s="15" t="inlineStr">
        <is>
          <t>-</t>
        </is>
      </c>
      <c r="Y21" s="14" t="n">
        <v>0.01</v>
      </c>
      <c r="Z21" s="15" t="inlineStr">
        <is>
          <t>-</t>
        </is>
      </c>
      <c r="AA21" s="14" t="n">
        <v>0.01</v>
      </c>
      <c r="AB21" s="14" t="n">
        <v>0.01</v>
      </c>
      <c r="AC21" s="14" t="n">
        <v>0.02</v>
      </c>
      <c r="AD21" s="14" t="n">
        <v>0.01</v>
      </c>
      <c r="AE21" s="15" t="inlineStr">
        <is>
          <t>-</t>
        </is>
      </c>
      <c r="AF21" s="14" t="n">
        <v>0.01</v>
      </c>
    </row>
    <row r="22">
      <c r="A22" s="20" t="n"/>
      <c r="B22" s="11" t="inlineStr">
        <is>
          <t>Jamais</t>
        </is>
      </c>
      <c r="C22" s="12" t="n">
        <v>2234</v>
      </c>
      <c r="D22" s="12" t="n">
        <v>62</v>
      </c>
      <c r="E22" s="12" t="n">
        <v>95</v>
      </c>
      <c r="F22" s="12" t="n">
        <v>123</v>
      </c>
      <c r="G22" s="12" t="n">
        <v>27</v>
      </c>
      <c r="H22" s="12" t="n">
        <v>76</v>
      </c>
      <c r="I22" s="12" t="n">
        <v>98</v>
      </c>
      <c r="J22" s="12" t="n">
        <v>22</v>
      </c>
      <c r="K22" s="12" t="n">
        <v>91</v>
      </c>
      <c r="L22" s="12" t="n">
        <v>43</v>
      </c>
      <c r="M22" s="12" t="n">
        <v>128</v>
      </c>
      <c r="N22" s="12" t="n">
        <v>90</v>
      </c>
      <c r="O22" s="12" t="n">
        <v>104</v>
      </c>
      <c r="P22" s="12" t="n">
        <v>85</v>
      </c>
      <c r="Q22" s="12" t="n">
        <v>56</v>
      </c>
      <c r="R22" s="12" t="n">
        <v>72</v>
      </c>
      <c r="S22" s="12" t="n">
        <v>104</v>
      </c>
      <c r="T22" s="12" t="n">
        <v>113</v>
      </c>
      <c r="U22" s="12" t="n">
        <v>7</v>
      </c>
      <c r="V22" s="12" t="n">
        <v>167</v>
      </c>
      <c r="W22" s="12" t="n">
        <v>28</v>
      </c>
      <c r="X22" s="12" t="n">
        <v>11</v>
      </c>
      <c r="Y22" s="12" t="n">
        <v>48</v>
      </c>
      <c r="Z22" s="12" t="n">
        <v>138</v>
      </c>
      <c r="AA22" s="12" t="n">
        <v>163</v>
      </c>
      <c r="AB22" s="12" t="n">
        <v>137</v>
      </c>
      <c r="AC22" s="12" t="n">
        <v>84</v>
      </c>
      <c r="AD22" s="12" t="n">
        <v>132</v>
      </c>
      <c r="AE22" s="12" t="n">
        <v>31</v>
      </c>
      <c r="AF22" s="12" t="n">
        <v>18</v>
      </c>
    </row>
    <row r="23">
      <c r="A23" s="20" t="n"/>
      <c r="B23" s="13" t="inlineStr">
        <is>
          <t>Never</t>
        </is>
      </c>
      <c r="C23" s="14" t="n">
        <v>0.08</v>
      </c>
      <c r="D23" s="14" t="n">
        <v>0.06</v>
      </c>
      <c r="E23" s="14" t="n">
        <v>0.09</v>
      </c>
      <c r="F23" s="14" t="n">
        <v>0.12</v>
      </c>
      <c r="G23" s="14" t="n">
        <v>0.03</v>
      </c>
      <c r="H23" s="14" t="n">
        <v>0.06</v>
      </c>
      <c r="I23" s="14" t="n">
        <v>0.07000000000000001</v>
      </c>
      <c r="J23" s="14" t="n">
        <v>0.07000000000000001</v>
      </c>
      <c r="K23" s="14" t="n">
        <v>0.09</v>
      </c>
      <c r="L23" s="14" t="n">
        <v>0.04</v>
      </c>
      <c r="M23" s="14" t="n">
        <v>0.13</v>
      </c>
      <c r="N23" s="14" t="n">
        <v>0.09</v>
      </c>
      <c r="O23" s="14" t="n">
        <v>0.1</v>
      </c>
      <c r="P23" s="14" t="n">
        <v>0.08</v>
      </c>
      <c r="Q23" s="14" t="n">
        <v>0.05</v>
      </c>
      <c r="R23" s="14" t="n">
        <v>0.14</v>
      </c>
      <c r="S23" s="14" t="n">
        <v>0.1</v>
      </c>
      <c r="T23" s="14" t="n">
        <v>0.11</v>
      </c>
      <c r="U23" s="14" t="n">
        <v>0.02</v>
      </c>
      <c r="V23" s="14" t="n">
        <v>0.16</v>
      </c>
      <c r="W23" s="14" t="n">
        <v>0.06</v>
      </c>
      <c r="X23" s="14" t="n">
        <v>0.01</v>
      </c>
      <c r="Y23" s="14" t="n">
        <v>0.05</v>
      </c>
      <c r="Z23" s="14" t="n">
        <v>0.14</v>
      </c>
      <c r="AA23" s="14" t="n">
        <v>0.16</v>
      </c>
      <c r="AB23" s="14" t="n">
        <v>0.13</v>
      </c>
      <c r="AC23" s="14" t="n">
        <v>0.08</v>
      </c>
      <c r="AD23" s="14" t="n">
        <v>0.13</v>
      </c>
      <c r="AE23" s="14" t="n">
        <v>0.03</v>
      </c>
      <c r="AF23" s="14" t="n">
        <v>0.02</v>
      </c>
    </row>
    <row r="24">
      <c r="A24" s="20" t="n"/>
      <c r="B24" s="11" t="inlineStr">
        <is>
          <t>Pas d'accès à Internet (SPONTANÉ)</t>
        </is>
      </c>
      <c r="C24" s="12" t="n">
        <v>177</v>
      </c>
      <c r="D24" s="12" t="n">
        <v>4</v>
      </c>
      <c r="E24" s="12" t="n">
        <v>25</v>
      </c>
      <c r="F24" s="12" t="n">
        <v>16</v>
      </c>
      <c r="G24" s="12" t="n">
        <v>3</v>
      </c>
      <c r="H24" s="12" t="n">
        <v>7</v>
      </c>
      <c r="I24" s="12" t="n">
        <v>7</v>
      </c>
      <c r="J24" s="12" t="n">
        <v>0</v>
      </c>
      <c r="K24" s="12" t="n">
        <v>14</v>
      </c>
      <c r="L24" s="12" t="n">
        <v>1</v>
      </c>
      <c r="M24" s="12" t="n">
        <v>18</v>
      </c>
      <c r="N24" s="12" t="n">
        <v>8</v>
      </c>
      <c r="O24" s="12" t="n">
        <v>1</v>
      </c>
      <c r="P24" s="12" t="n">
        <v>18</v>
      </c>
      <c r="Q24" s="12" t="n">
        <v>4</v>
      </c>
      <c r="R24" s="12" t="n">
        <v>2</v>
      </c>
      <c r="S24" s="12" t="n">
        <v>4</v>
      </c>
      <c r="T24" s="12" t="n">
        <v>8</v>
      </c>
      <c r="U24" s="12" t="n">
        <v>1</v>
      </c>
      <c r="V24" s="12" t="n">
        <v>2</v>
      </c>
      <c r="W24" s="12" t="n">
        <v>18</v>
      </c>
      <c r="X24" s="12" t="n">
        <v>0</v>
      </c>
      <c r="Y24" s="12" t="n">
        <v>43</v>
      </c>
      <c r="Z24" s="12" t="n">
        <v>4</v>
      </c>
      <c r="AA24" s="12" t="n">
        <v>22</v>
      </c>
      <c r="AB24" s="12" t="n">
        <v>16</v>
      </c>
      <c r="AC24" s="12" t="n">
        <v>10</v>
      </c>
      <c r="AD24" s="12" t="n">
        <v>5</v>
      </c>
      <c r="AE24" s="12" t="n">
        <v>8</v>
      </c>
      <c r="AF24" s="12" t="n">
        <v>0</v>
      </c>
    </row>
    <row r="25">
      <c r="A25" s="23" t="n"/>
      <c r="B25" s="13" t="inlineStr">
        <is>
          <t>No internet access (SPONTANEOUS)</t>
        </is>
      </c>
      <c r="C25" s="14" t="n">
        <v>0.01</v>
      </c>
      <c r="D25" s="14" t="n">
        <v>0.01</v>
      </c>
      <c r="E25" s="14" t="n">
        <v>0.03</v>
      </c>
      <c r="F25" s="14" t="n">
        <v>0.01</v>
      </c>
      <c r="G25" s="15" t="inlineStr">
        <is>
          <t>-</t>
        </is>
      </c>
      <c r="H25" s="14" t="n">
        <v>0.01</v>
      </c>
      <c r="I25" s="15" t="inlineStr">
        <is>
          <t>-</t>
        </is>
      </c>
      <c r="J25" s="15" t="inlineStr">
        <is>
          <t>-</t>
        </is>
      </c>
      <c r="K25" s="14" t="n">
        <v>0.01</v>
      </c>
      <c r="L25" s="15" t="inlineStr">
        <is>
          <t>-</t>
        </is>
      </c>
      <c r="M25" s="14" t="n">
        <v>0.02</v>
      </c>
      <c r="N25" s="14" t="n">
        <v>0.01</v>
      </c>
      <c r="O25" s="15" t="inlineStr">
        <is>
          <t>-</t>
        </is>
      </c>
      <c r="P25" s="14" t="n">
        <v>0.02</v>
      </c>
      <c r="Q25" s="15" t="inlineStr">
        <is>
          <t>-</t>
        </is>
      </c>
      <c r="R25" s="15" t="inlineStr">
        <is>
          <t>-</t>
        </is>
      </c>
      <c r="S25" s="15" t="inlineStr">
        <is>
          <t>-</t>
        </is>
      </c>
      <c r="T25" s="14" t="n">
        <v>0.01</v>
      </c>
      <c r="U25" s="15" t="inlineStr">
        <is>
          <t>-</t>
        </is>
      </c>
      <c r="V25" s="15" t="inlineStr">
        <is>
          <t>-</t>
        </is>
      </c>
      <c r="W25" s="14" t="n">
        <v>0.04</v>
      </c>
      <c r="X25" s="15" t="inlineStr">
        <is>
          <t>-</t>
        </is>
      </c>
      <c r="Y25" s="14" t="n">
        <v>0.04</v>
      </c>
      <c r="Z25" s="15" t="inlineStr">
        <is>
          <t>-</t>
        </is>
      </c>
      <c r="AA25" s="14" t="n">
        <v>0.02</v>
      </c>
      <c r="AB25" s="14" t="n">
        <v>0.01</v>
      </c>
      <c r="AC25" s="14" t="n">
        <v>0.01</v>
      </c>
      <c r="AD25" s="14" t="n">
        <v>0.01</v>
      </c>
      <c r="AE25" s="14" t="n">
        <v>0.01</v>
      </c>
      <c r="AF25" s="15" t="inlineStr">
        <is>
          <t>-</t>
        </is>
      </c>
    </row>
    <row r="26">
      <c r="A26" s="19" t="n"/>
      <c r="B26" s="11" t="inlineStr">
        <is>
          <t>Total 'Utilise internet'</t>
        </is>
      </c>
      <c r="C26" s="12" t="n">
        <v>24009</v>
      </c>
      <c r="D26" s="12" t="n">
        <v>955</v>
      </c>
      <c r="E26" s="12" t="n">
        <v>893</v>
      </c>
      <c r="F26" s="12" t="n">
        <v>910</v>
      </c>
      <c r="G26" s="12" t="n">
        <v>977</v>
      </c>
      <c r="H26" s="12" t="n">
        <v>1129</v>
      </c>
      <c r="I26" s="12" t="n">
        <v>1401</v>
      </c>
      <c r="J26" s="12" t="n">
        <v>272</v>
      </c>
      <c r="K26" s="12" t="n">
        <v>901</v>
      </c>
      <c r="L26" s="12" t="n">
        <v>966</v>
      </c>
      <c r="M26" s="12" t="n">
        <v>863</v>
      </c>
      <c r="N26" s="12" t="n">
        <v>909</v>
      </c>
      <c r="O26" s="12" t="n">
        <v>909</v>
      </c>
      <c r="P26" s="12" t="n">
        <v>903</v>
      </c>
      <c r="Q26" s="12" t="n">
        <v>968</v>
      </c>
      <c r="R26" s="12" t="n">
        <v>431</v>
      </c>
      <c r="S26" s="12" t="n">
        <v>896</v>
      </c>
      <c r="T26" s="12" t="n">
        <v>895</v>
      </c>
      <c r="U26" s="12" t="n">
        <v>499</v>
      </c>
      <c r="V26" s="12" t="n">
        <v>851</v>
      </c>
      <c r="W26" s="12" t="n">
        <v>459</v>
      </c>
      <c r="X26" s="12" t="n">
        <v>1013</v>
      </c>
      <c r="Y26" s="12" t="n">
        <v>910</v>
      </c>
      <c r="Z26" s="12" t="n">
        <v>877</v>
      </c>
      <c r="AA26" s="12" t="n">
        <v>846</v>
      </c>
      <c r="AB26" s="12" t="n">
        <v>893</v>
      </c>
      <c r="AC26" s="12" t="n">
        <v>912</v>
      </c>
      <c r="AD26" s="12" t="n">
        <v>864</v>
      </c>
      <c r="AE26" s="12" t="n">
        <v>976</v>
      </c>
      <c r="AF26" s="12" t="n">
        <v>1019</v>
      </c>
    </row>
    <row r="27">
      <c r="A27" s="23" t="n"/>
      <c r="B27" s="13" t="inlineStr">
        <is>
          <t>Total 'Use the internet'</t>
        </is>
      </c>
      <c r="C27" s="14" t="n">
        <v>0.91</v>
      </c>
      <c r="D27" s="14" t="n">
        <v>0.93</v>
      </c>
      <c r="E27" s="14" t="n">
        <v>0.88</v>
      </c>
      <c r="F27" s="14" t="n">
        <v>0.87</v>
      </c>
      <c r="G27" s="14" t="n">
        <v>0.97</v>
      </c>
      <c r="H27" s="14" t="n">
        <v>0.93</v>
      </c>
      <c r="I27" s="14" t="n">
        <v>0.93</v>
      </c>
      <c r="J27" s="14" t="n">
        <v>0.93</v>
      </c>
      <c r="K27" s="14" t="n">
        <v>0.9</v>
      </c>
      <c r="L27" s="14" t="n">
        <v>0.96</v>
      </c>
      <c r="M27" s="14" t="n">
        <v>0.85</v>
      </c>
      <c r="N27" s="14" t="n">
        <v>0.9</v>
      </c>
      <c r="O27" s="14" t="n">
        <v>0.9</v>
      </c>
      <c r="P27" s="14" t="n">
        <v>0.9</v>
      </c>
      <c r="Q27" s="14" t="n">
        <v>0.9500000000000001</v>
      </c>
      <c r="R27" s="14" t="n">
        <v>0.86</v>
      </c>
      <c r="S27" s="14" t="n">
        <v>0.9</v>
      </c>
      <c r="T27" s="14" t="n">
        <v>0.88</v>
      </c>
      <c r="U27" s="14" t="n">
        <v>0.98</v>
      </c>
      <c r="V27" s="14" t="n">
        <v>0.84</v>
      </c>
      <c r="W27" s="14" t="n">
        <v>0.9</v>
      </c>
      <c r="X27" s="14" t="n">
        <v>0.99</v>
      </c>
      <c r="Y27" s="14" t="n">
        <v>0.91</v>
      </c>
      <c r="Z27" s="14" t="n">
        <v>0.86</v>
      </c>
      <c r="AA27" s="14" t="n">
        <v>0.8200000000000001</v>
      </c>
      <c r="AB27" s="14" t="n">
        <v>0.86</v>
      </c>
      <c r="AC27" s="14" t="n">
        <v>0.91</v>
      </c>
      <c r="AD27" s="14" t="n">
        <v>0.86</v>
      </c>
      <c r="AE27" s="14" t="n">
        <v>0.96</v>
      </c>
      <c r="AF27" s="14" t="n">
        <v>0.98</v>
      </c>
    </row>
  </sheetData>
  <mergeCells count="10">
    <mergeCell ref="B4:F4"/>
    <mergeCell ref="H3:L3"/>
    <mergeCell ref="C8:AF8"/>
    <mergeCell ref="A26:A27"/>
    <mergeCell ref="B3:F3"/>
    <mergeCell ref="B5:F5"/>
    <mergeCell ref="A10:A25"/>
    <mergeCell ref="H5:L5"/>
    <mergeCell ref="B10:B11"/>
    <mergeCell ref="H4:L4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12" customHeight="1" s="18">
      <c r="B3" s="21" t="inlineStr">
        <is>
          <t>D62.4. Pouvez-vous dire si… ?</t>
        </is>
      </c>
      <c r="H3" s="21" t="inlineStr">
        <is>
          <t>D62.4. Could you tell if…?</t>
        </is>
      </c>
    </row>
    <row r="4" ht="27" customHeight="1" s="18">
      <c r="B4" s="21" t="inlineStr">
        <is>
          <t>Vous utilisez Internet ailleurs (école, université, cyber-cafés, etc.)</t>
        </is>
      </c>
      <c r="H4" s="21" t="inlineStr">
        <is>
          <t>You use the Internet somewhere else (school, university, cyber-café, etc.)</t>
        </is>
      </c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HYPERLINK("#Content!A63","&lt;&lt;Back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Tous les jours ou presque</t>
        </is>
      </c>
      <c r="C12" s="12" t="n">
        <v>5736</v>
      </c>
      <c r="D12" s="12" t="n">
        <v>274</v>
      </c>
      <c r="E12" s="12" t="n">
        <v>196</v>
      </c>
      <c r="F12" s="12" t="n">
        <v>211</v>
      </c>
      <c r="G12" s="12" t="n">
        <v>178</v>
      </c>
      <c r="H12" s="12" t="n">
        <v>257</v>
      </c>
      <c r="I12" s="12" t="n">
        <v>301</v>
      </c>
      <c r="J12" s="12" t="n">
        <v>45</v>
      </c>
      <c r="K12" s="12" t="n">
        <v>288</v>
      </c>
      <c r="L12" s="12" t="n">
        <v>267</v>
      </c>
      <c r="M12" s="12" t="n">
        <v>223</v>
      </c>
      <c r="N12" s="12" t="n">
        <v>215</v>
      </c>
      <c r="O12" s="12" t="n">
        <v>168</v>
      </c>
      <c r="P12" s="12" t="n">
        <v>312</v>
      </c>
      <c r="Q12" s="12" t="n">
        <v>201</v>
      </c>
      <c r="R12" s="12" t="n">
        <v>183</v>
      </c>
      <c r="S12" s="12" t="n">
        <v>284</v>
      </c>
      <c r="T12" s="12" t="n">
        <v>259</v>
      </c>
      <c r="U12" s="12" t="n">
        <v>209</v>
      </c>
      <c r="V12" s="12" t="n">
        <v>270</v>
      </c>
      <c r="W12" s="12" t="n">
        <v>209</v>
      </c>
      <c r="X12" s="12" t="n">
        <v>348</v>
      </c>
      <c r="Y12" s="12" t="n">
        <v>205</v>
      </c>
      <c r="Z12" s="12" t="n">
        <v>182</v>
      </c>
      <c r="AA12" s="12" t="n">
        <v>381</v>
      </c>
      <c r="AB12" s="12" t="n">
        <v>414</v>
      </c>
      <c r="AC12" s="12" t="n">
        <v>258</v>
      </c>
      <c r="AD12" s="12" t="n">
        <v>204</v>
      </c>
      <c r="AE12" s="12" t="n">
        <v>149</v>
      </c>
      <c r="AF12" s="12" t="n">
        <v>152</v>
      </c>
    </row>
    <row r="13">
      <c r="A13" s="20" t="n"/>
      <c r="B13" s="13" t="inlineStr">
        <is>
          <t>Every day or almost every day</t>
        </is>
      </c>
      <c r="C13" s="14" t="n">
        <v>0.22</v>
      </c>
      <c r="D13" s="14" t="n">
        <v>0.27</v>
      </c>
      <c r="E13" s="14" t="n">
        <v>0.19</v>
      </c>
      <c r="F13" s="14" t="n">
        <v>0.2</v>
      </c>
      <c r="G13" s="14" t="n">
        <v>0.18</v>
      </c>
      <c r="H13" s="14" t="n">
        <v>0.21</v>
      </c>
      <c r="I13" s="14" t="n">
        <v>0.2</v>
      </c>
      <c r="J13" s="14" t="n">
        <v>0.15</v>
      </c>
      <c r="K13" s="14" t="n">
        <v>0.29</v>
      </c>
      <c r="L13" s="14" t="n">
        <v>0.26</v>
      </c>
      <c r="M13" s="14" t="n">
        <v>0.22</v>
      </c>
      <c r="N13" s="14" t="n">
        <v>0.21</v>
      </c>
      <c r="O13" s="14" t="n">
        <v>0.17</v>
      </c>
      <c r="P13" s="14" t="n">
        <v>0.31</v>
      </c>
      <c r="Q13" s="14" t="n">
        <v>0.19</v>
      </c>
      <c r="R13" s="14" t="n">
        <v>0.36</v>
      </c>
      <c r="S13" s="14" t="n">
        <v>0.28</v>
      </c>
      <c r="T13" s="14" t="n">
        <v>0.26</v>
      </c>
      <c r="U13" s="14" t="n">
        <v>0.41</v>
      </c>
      <c r="V13" s="14" t="n">
        <v>0.27</v>
      </c>
      <c r="W13" s="14" t="n">
        <v>0.42</v>
      </c>
      <c r="X13" s="14" t="n">
        <v>0.34</v>
      </c>
      <c r="Y13" s="14" t="n">
        <v>0.21</v>
      </c>
      <c r="Z13" s="14" t="n">
        <v>0.18</v>
      </c>
      <c r="AA13" s="14" t="n">
        <v>0.37</v>
      </c>
      <c r="AB13" s="14" t="n">
        <v>0.4</v>
      </c>
      <c r="AC13" s="14" t="n">
        <v>0.26</v>
      </c>
      <c r="AD13" s="14" t="n">
        <v>0.2</v>
      </c>
      <c r="AE13" s="14" t="n">
        <v>0.15</v>
      </c>
      <c r="AF13" s="14" t="n">
        <v>0.15</v>
      </c>
    </row>
    <row r="14">
      <c r="A14" s="20" t="n"/>
      <c r="B14" s="11" t="inlineStr">
        <is>
          <t>Deux ou trois fois par semaine</t>
        </is>
      </c>
      <c r="C14" s="12" t="n">
        <v>1543</v>
      </c>
      <c r="D14" s="12" t="n">
        <v>52</v>
      </c>
      <c r="E14" s="12" t="n">
        <v>51</v>
      </c>
      <c r="F14" s="12" t="n">
        <v>94</v>
      </c>
      <c r="G14" s="12" t="n">
        <v>27</v>
      </c>
      <c r="H14" s="12" t="n">
        <v>64</v>
      </c>
      <c r="I14" s="12" t="n">
        <v>79</v>
      </c>
      <c r="J14" s="12" t="n">
        <v>15</v>
      </c>
      <c r="K14" s="12" t="n">
        <v>84</v>
      </c>
      <c r="L14" s="12" t="n">
        <v>88</v>
      </c>
      <c r="M14" s="12" t="n">
        <v>93</v>
      </c>
      <c r="N14" s="12" t="n">
        <v>84</v>
      </c>
      <c r="O14" s="12" t="n">
        <v>29</v>
      </c>
      <c r="P14" s="12" t="n">
        <v>58</v>
      </c>
      <c r="Q14" s="12" t="n">
        <v>84</v>
      </c>
      <c r="R14" s="12" t="n">
        <v>33</v>
      </c>
      <c r="S14" s="12" t="n">
        <v>24</v>
      </c>
      <c r="T14" s="12" t="n">
        <v>53</v>
      </c>
      <c r="U14" s="12" t="n">
        <v>9</v>
      </c>
      <c r="V14" s="12" t="n">
        <v>66</v>
      </c>
      <c r="W14" s="12" t="n">
        <v>62</v>
      </c>
      <c r="X14" s="12" t="n">
        <v>82</v>
      </c>
      <c r="Y14" s="12" t="n">
        <v>85</v>
      </c>
      <c r="Z14" s="12" t="n">
        <v>32</v>
      </c>
      <c r="AA14" s="12" t="n">
        <v>60</v>
      </c>
      <c r="AB14" s="12" t="n">
        <v>54</v>
      </c>
      <c r="AC14" s="12" t="n">
        <v>48</v>
      </c>
      <c r="AD14" s="12" t="n">
        <v>64</v>
      </c>
      <c r="AE14" s="12" t="n">
        <v>20</v>
      </c>
      <c r="AF14" s="12" t="n">
        <v>58</v>
      </c>
    </row>
    <row r="15">
      <c r="A15" s="20" t="n"/>
      <c r="B15" s="13" t="inlineStr">
        <is>
          <t>Two or three times a week</t>
        </is>
      </c>
      <c r="C15" s="14" t="n">
        <v>0.06</v>
      </c>
      <c r="D15" s="14" t="n">
        <v>0.05</v>
      </c>
      <c r="E15" s="14" t="n">
        <v>0.05</v>
      </c>
      <c r="F15" s="14" t="n">
        <v>0.09</v>
      </c>
      <c r="G15" s="14" t="n">
        <v>0.03</v>
      </c>
      <c r="H15" s="14" t="n">
        <v>0.05</v>
      </c>
      <c r="I15" s="14" t="n">
        <v>0.05</v>
      </c>
      <c r="J15" s="14" t="n">
        <v>0.05</v>
      </c>
      <c r="K15" s="14" t="n">
        <v>0.08</v>
      </c>
      <c r="L15" s="14" t="n">
        <v>0.09</v>
      </c>
      <c r="M15" s="14" t="n">
        <v>0.09</v>
      </c>
      <c r="N15" s="14" t="n">
        <v>0.08</v>
      </c>
      <c r="O15" s="14" t="n">
        <v>0.03</v>
      </c>
      <c r="P15" s="14" t="n">
        <v>0.06</v>
      </c>
      <c r="Q15" s="14" t="n">
        <v>0.08</v>
      </c>
      <c r="R15" s="14" t="n">
        <v>0.07000000000000001</v>
      </c>
      <c r="S15" s="14" t="n">
        <v>0.02</v>
      </c>
      <c r="T15" s="14" t="n">
        <v>0.05</v>
      </c>
      <c r="U15" s="14" t="n">
        <v>0.02</v>
      </c>
      <c r="V15" s="14" t="n">
        <v>0.06</v>
      </c>
      <c r="W15" s="14" t="n">
        <v>0.12</v>
      </c>
      <c r="X15" s="14" t="n">
        <v>0.08</v>
      </c>
      <c r="Y15" s="14" t="n">
        <v>0.08</v>
      </c>
      <c r="Z15" s="14" t="n">
        <v>0.03</v>
      </c>
      <c r="AA15" s="14" t="n">
        <v>0.06</v>
      </c>
      <c r="AB15" s="14" t="n">
        <v>0.05</v>
      </c>
      <c r="AC15" s="14" t="n">
        <v>0.05</v>
      </c>
      <c r="AD15" s="14" t="n">
        <v>0.06</v>
      </c>
      <c r="AE15" s="14" t="n">
        <v>0.02</v>
      </c>
      <c r="AF15" s="14" t="n">
        <v>0.06</v>
      </c>
    </row>
    <row r="16">
      <c r="A16" s="20" t="n"/>
      <c r="B16" s="11" t="inlineStr">
        <is>
          <t>Environ une fois par semaine</t>
        </is>
      </c>
      <c r="C16" s="12" t="n">
        <v>1019</v>
      </c>
      <c r="D16" s="12" t="n">
        <v>33</v>
      </c>
      <c r="E16" s="12" t="n">
        <v>36</v>
      </c>
      <c r="F16" s="12" t="n">
        <v>61</v>
      </c>
      <c r="G16" s="12" t="n">
        <v>16</v>
      </c>
      <c r="H16" s="12" t="n">
        <v>29</v>
      </c>
      <c r="I16" s="12" t="n">
        <v>47</v>
      </c>
      <c r="J16" s="12" t="n">
        <v>17</v>
      </c>
      <c r="K16" s="12" t="n">
        <v>47</v>
      </c>
      <c r="L16" s="12" t="n">
        <v>57</v>
      </c>
      <c r="M16" s="12" t="n">
        <v>69</v>
      </c>
      <c r="N16" s="12" t="n">
        <v>41</v>
      </c>
      <c r="O16" s="12" t="n">
        <v>15</v>
      </c>
      <c r="P16" s="12" t="n">
        <v>39</v>
      </c>
      <c r="Q16" s="12" t="n">
        <v>58</v>
      </c>
      <c r="R16" s="12" t="n">
        <v>21</v>
      </c>
      <c r="S16" s="12" t="n">
        <v>25</v>
      </c>
      <c r="T16" s="12" t="n">
        <v>34</v>
      </c>
      <c r="U16" s="12" t="n">
        <v>8</v>
      </c>
      <c r="V16" s="12" t="n">
        <v>61</v>
      </c>
      <c r="W16" s="12" t="n">
        <v>52</v>
      </c>
      <c r="X16" s="12" t="n">
        <v>41</v>
      </c>
      <c r="Y16" s="12" t="n">
        <v>80</v>
      </c>
      <c r="Z16" s="12" t="n">
        <v>37</v>
      </c>
      <c r="AA16" s="12" t="n">
        <v>23</v>
      </c>
      <c r="AB16" s="12" t="n">
        <v>43</v>
      </c>
      <c r="AC16" s="12" t="n">
        <v>32</v>
      </c>
      <c r="AD16" s="12" t="n">
        <v>78</v>
      </c>
      <c r="AE16" s="12" t="n">
        <v>29</v>
      </c>
      <c r="AF16" s="12" t="n">
        <v>56</v>
      </c>
    </row>
    <row r="17">
      <c r="A17" s="20" t="n"/>
      <c r="B17" s="13" t="inlineStr">
        <is>
          <t>About once a week</t>
        </is>
      </c>
      <c r="C17" s="14" t="n">
        <v>0.04</v>
      </c>
      <c r="D17" s="14" t="n">
        <v>0.03</v>
      </c>
      <c r="E17" s="14" t="n">
        <v>0.04</v>
      </c>
      <c r="F17" s="14" t="n">
        <v>0.06</v>
      </c>
      <c r="G17" s="14" t="n">
        <v>0.01</v>
      </c>
      <c r="H17" s="14" t="n">
        <v>0.03</v>
      </c>
      <c r="I17" s="14" t="n">
        <v>0.03</v>
      </c>
      <c r="J17" s="14" t="n">
        <v>0.06</v>
      </c>
      <c r="K17" s="14" t="n">
        <v>0.05</v>
      </c>
      <c r="L17" s="14" t="n">
        <v>0.06</v>
      </c>
      <c r="M17" s="14" t="n">
        <v>0.07000000000000001</v>
      </c>
      <c r="N17" s="14" t="n">
        <v>0.04</v>
      </c>
      <c r="O17" s="14" t="n">
        <v>0.01</v>
      </c>
      <c r="P17" s="14" t="n">
        <v>0.04</v>
      </c>
      <c r="Q17" s="14" t="n">
        <v>0.06</v>
      </c>
      <c r="R17" s="14" t="n">
        <v>0.04</v>
      </c>
      <c r="S17" s="14" t="n">
        <v>0.03</v>
      </c>
      <c r="T17" s="14" t="n">
        <v>0.03</v>
      </c>
      <c r="U17" s="14" t="n">
        <v>0.02</v>
      </c>
      <c r="V17" s="14" t="n">
        <v>0.06</v>
      </c>
      <c r="W17" s="14" t="n">
        <v>0.1</v>
      </c>
      <c r="X17" s="14" t="n">
        <v>0.04</v>
      </c>
      <c r="Y17" s="14" t="n">
        <v>0.08</v>
      </c>
      <c r="Z17" s="14" t="n">
        <v>0.04</v>
      </c>
      <c r="AA17" s="14" t="n">
        <v>0.02</v>
      </c>
      <c r="AB17" s="14" t="n">
        <v>0.04</v>
      </c>
      <c r="AC17" s="14" t="n">
        <v>0.03</v>
      </c>
      <c r="AD17" s="14" t="n">
        <v>0.08</v>
      </c>
      <c r="AE17" s="14" t="n">
        <v>0.03</v>
      </c>
      <c r="AF17" s="14" t="n">
        <v>0.05</v>
      </c>
    </row>
    <row r="18">
      <c r="A18" s="20" t="n"/>
      <c r="B18" s="11" t="inlineStr">
        <is>
          <t>Deux ou trois fois par mois</t>
        </is>
      </c>
      <c r="C18" s="12" t="n">
        <v>917</v>
      </c>
      <c r="D18" s="12" t="n">
        <v>24</v>
      </c>
      <c r="E18" s="12" t="n">
        <v>28</v>
      </c>
      <c r="F18" s="12" t="n">
        <v>42</v>
      </c>
      <c r="G18" s="12" t="n">
        <v>46</v>
      </c>
      <c r="H18" s="12" t="n">
        <v>37</v>
      </c>
      <c r="I18" s="12" t="n">
        <v>47</v>
      </c>
      <c r="J18" s="12" t="n">
        <v>11</v>
      </c>
      <c r="K18" s="12" t="n">
        <v>70</v>
      </c>
      <c r="L18" s="12" t="n">
        <v>51</v>
      </c>
      <c r="M18" s="12" t="n">
        <v>60</v>
      </c>
      <c r="N18" s="12" t="n">
        <v>26</v>
      </c>
      <c r="O18" s="12" t="n">
        <v>13</v>
      </c>
      <c r="P18" s="12" t="n">
        <v>25</v>
      </c>
      <c r="Q18" s="12" t="n">
        <v>54</v>
      </c>
      <c r="R18" s="12" t="n">
        <v>22</v>
      </c>
      <c r="S18" s="12" t="n">
        <v>27</v>
      </c>
      <c r="T18" s="12" t="n">
        <v>35</v>
      </c>
      <c r="U18" s="12" t="n">
        <v>4</v>
      </c>
      <c r="V18" s="12" t="n">
        <v>69</v>
      </c>
      <c r="W18" s="12" t="n">
        <v>12</v>
      </c>
      <c r="X18" s="12" t="n">
        <v>31</v>
      </c>
      <c r="Y18" s="12" t="n">
        <v>95</v>
      </c>
      <c r="Z18" s="12" t="n">
        <v>27</v>
      </c>
      <c r="AA18" s="12" t="n">
        <v>9</v>
      </c>
      <c r="AB18" s="12" t="n">
        <v>59</v>
      </c>
      <c r="AC18" s="12" t="n">
        <v>35</v>
      </c>
      <c r="AD18" s="12" t="n">
        <v>79</v>
      </c>
      <c r="AE18" s="12" t="n">
        <v>29</v>
      </c>
      <c r="AF18" s="12" t="n">
        <v>34</v>
      </c>
    </row>
    <row r="19">
      <c r="A19" s="20" t="n"/>
      <c r="B19" s="13" t="inlineStr">
        <is>
          <t>Two or three times a month</t>
        </is>
      </c>
      <c r="C19" s="14" t="n">
        <v>0.03</v>
      </c>
      <c r="D19" s="14" t="n">
        <v>0.02</v>
      </c>
      <c r="E19" s="14" t="n">
        <v>0.03</v>
      </c>
      <c r="F19" s="14" t="n">
        <v>0.04</v>
      </c>
      <c r="G19" s="14" t="n">
        <v>0.05</v>
      </c>
      <c r="H19" s="14" t="n">
        <v>0.03</v>
      </c>
      <c r="I19" s="14" t="n">
        <v>0.03</v>
      </c>
      <c r="J19" s="14" t="n">
        <v>0.04</v>
      </c>
      <c r="K19" s="14" t="n">
        <v>0.07000000000000001</v>
      </c>
      <c r="L19" s="14" t="n">
        <v>0.05</v>
      </c>
      <c r="M19" s="14" t="n">
        <v>0.06</v>
      </c>
      <c r="N19" s="14" t="n">
        <v>0.03</v>
      </c>
      <c r="O19" s="14" t="n">
        <v>0.01</v>
      </c>
      <c r="P19" s="14" t="n">
        <v>0.02</v>
      </c>
      <c r="Q19" s="14" t="n">
        <v>0.05</v>
      </c>
      <c r="R19" s="14" t="n">
        <v>0.04</v>
      </c>
      <c r="S19" s="14" t="n">
        <v>0.03</v>
      </c>
      <c r="T19" s="14" t="n">
        <v>0.03</v>
      </c>
      <c r="U19" s="14" t="n">
        <v>0.01</v>
      </c>
      <c r="V19" s="14" t="n">
        <v>0.07000000000000001</v>
      </c>
      <c r="W19" s="14" t="n">
        <v>0.02</v>
      </c>
      <c r="X19" s="14" t="n">
        <v>0.03</v>
      </c>
      <c r="Y19" s="14" t="n">
        <v>0.1</v>
      </c>
      <c r="Z19" s="14" t="n">
        <v>0.03</v>
      </c>
      <c r="AA19" s="14" t="n">
        <v>0.01</v>
      </c>
      <c r="AB19" s="14" t="n">
        <v>0.06</v>
      </c>
      <c r="AC19" s="14" t="n">
        <v>0.03</v>
      </c>
      <c r="AD19" s="14" t="n">
        <v>0.08</v>
      </c>
      <c r="AE19" s="14" t="n">
        <v>0.03</v>
      </c>
      <c r="AF19" s="14" t="n">
        <v>0.03</v>
      </c>
    </row>
    <row r="20">
      <c r="A20" s="20" t="n"/>
      <c r="B20" s="11" t="inlineStr">
        <is>
          <t>Moins souvent</t>
        </is>
      </c>
      <c r="C20" s="12" t="n">
        <v>3207</v>
      </c>
      <c r="D20" s="12" t="n">
        <v>138</v>
      </c>
      <c r="E20" s="12" t="n">
        <v>156</v>
      </c>
      <c r="F20" s="12" t="n">
        <v>218</v>
      </c>
      <c r="G20" s="12" t="n">
        <v>161</v>
      </c>
      <c r="H20" s="12" t="n">
        <v>210</v>
      </c>
      <c r="I20" s="12" t="n">
        <v>271</v>
      </c>
      <c r="J20" s="12" t="n">
        <v>60</v>
      </c>
      <c r="K20" s="12" t="n">
        <v>209</v>
      </c>
      <c r="L20" s="12" t="n">
        <v>156</v>
      </c>
      <c r="M20" s="12" t="n">
        <v>92</v>
      </c>
      <c r="N20" s="12" t="n">
        <v>80</v>
      </c>
      <c r="O20" s="12" t="n">
        <v>56</v>
      </c>
      <c r="P20" s="12" t="n">
        <v>161</v>
      </c>
      <c r="Q20" s="12" t="n">
        <v>134</v>
      </c>
      <c r="R20" s="12" t="n">
        <v>55</v>
      </c>
      <c r="S20" s="12" t="n">
        <v>97</v>
      </c>
      <c r="T20" s="12" t="n">
        <v>134</v>
      </c>
      <c r="U20" s="12" t="n">
        <v>39</v>
      </c>
      <c r="V20" s="12" t="n">
        <v>123</v>
      </c>
      <c r="W20" s="12" t="n">
        <v>40</v>
      </c>
      <c r="X20" s="12" t="n">
        <v>142</v>
      </c>
      <c r="Y20" s="12" t="n">
        <v>135</v>
      </c>
      <c r="Z20" s="12" t="n">
        <v>80</v>
      </c>
      <c r="AA20" s="12" t="n">
        <v>61</v>
      </c>
      <c r="AB20" s="12" t="n">
        <v>103</v>
      </c>
      <c r="AC20" s="12" t="n">
        <v>159</v>
      </c>
      <c r="AD20" s="12" t="n">
        <v>171</v>
      </c>
      <c r="AE20" s="12" t="n">
        <v>183</v>
      </c>
      <c r="AF20" s="12" t="n">
        <v>232</v>
      </c>
    </row>
    <row r="21">
      <c r="A21" s="20" t="n"/>
      <c r="B21" s="13" t="inlineStr">
        <is>
          <t>Less often</t>
        </is>
      </c>
      <c r="C21" s="14" t="n">
        <v>0.12</v>
      </c>
      <c r="D21" s="14" t="n">
        <v>0.14</v>
      </c>
      <c r="E21" s="14" t="n">
        <v>0.15</v>
      </c>
      <c r="F21" s="14" t="n">
        <v>0.21</v>
      </c>
      <c r="G21" s="14" t="n">
        <v>0.16</v>
      </c>
      <c r="H21" s="14" t="n">
        <v>0.17</v>
      </c>
      <c r="I21" s="14" t="n">
        <v>0.18</v>
      </c>
      <c r="J21" s="14" t="n">
        <v>0.2</v>
      </c>
      <c r="K21" s="14" t="n">
        <v>0.21</v>
      </c>
      <c r="L21" s="14" t="n">
        <v>0.15</v>
      </c>
      <c r="M21" s="14" t="n">
        <v>0.09</v>
      </c>
      <c r="N21" s="14" t="n">
        <v>0.08</v>
      </c>
      <c r="O21" s="14" t="n">
        <v>0.06</v>
      </c>
      <c r="P21" s="14" t="n">
        <v>0.16</v>
      </c>
      <c r="Q21" s="14" t="n">
        <v>0.13</v>
      </c>
      <c r="R21" s="14" t="n">
        <v>0.11</v>
      </c>
      <c r="S21" s="14" t="n">
        <v>0.1</v>
      </c>
      <c r="T21" s="14" t="n">
        <v>0.13</v>
      </c>
      <c r="U21" s="14" t="n">
        <v>0.07000000000000001</v>
      </c>
      <c r="V21" s="14" t="n">
        <v>0.12</v>
      </c>
      <c r="W21" s="14" t="n">
        <v>0.08</v>
      </c>
      <c r="X21" s="14" t="n">
        <v>0.14</v>
      </c>
      <c r="Y21" s="14" t="n">
        <v>0.13</v>
      </c>
      <c r="Z21" s="14" t="n">
        <v>0.08</v>
      </c>
      <c r="AA21" s="14" t="n">
        <v>0.06</v>
      </c>
      <c r="AB21" s="14" t="n">
        <v>0.1</v>
      </c>
      <c r="AC21" s="14" t="n">
        <v>0.16</v>
      </c>
      <c r="AD21" s="14" t="n">
        <v>0.17</v>
      </c>
      <c r="AE21" s="14" t="n">
        <v>0.18</v>
      </c>
      <c r="AF21" s="14" t="n">
        <v>0.22</v>
      </c>
    </row>
    <row r="22">
      <c r="A22" s="20" t="n"/>
      <c r="B22" s="11" t="inlineStr">
        <is>
          <t>Jamais</t>
        </is>
      </c>
      <c r="C22" s="12" t="n">
        <v>13808</v>
      </c>
      <c r="D22" s="12" t="n">
        <v>487</v>
      </c>
      <c r="E22" s="12" t="n">
        <v>527</v>
      </c>
      <c r="F22" s="12" t="n">
        <v>406</v>
      </c>
      <c r="G22" s="12" t="n">
        <v>575</v>
      </c>
      <c r="H22" s="12" t="n">
        <v>606</v>
      </c>
      <c r="I22" s="12" t="n">
        <v>750</v>
      </c>
      <c r="J22" s="12" t="n">
        <v>144</v>
      </c>
      <c r="K22" s="12" t="n">
        <v>305</v>
      </c>
      <c r="L22" s="12" t="n">
        <v>392</v>
      </c>
      <c r="M22" s="12" t="n">
        <v>440</v>
      </c>
      <c r="N22" s="12" t="n">
        <v>555</v>
      </c>
      <c r="O22" s="12" t="n">
        <v>735</v>
      </c>
      <c r="P22" s="12" t="n">
        <v>395</v>
      </c>
      <c r="Q22" s="12" t="n">
        <v>491</v>
      </c>
      <c r="R22" s="12" t="n">
        <v>189</v>
      </c>
      <c r="S22" s="12" t="n">
        <v>547</v>
      </c>
      <c r="T22" s="12" t="n">
        <v>497</v>
      </c>
      <c r="U22" s="12" t="n">
        <v>237</v>
      </c>
      <c r="V22" s="12" t="n">
        <v>432</v>
      </c>
      <c r="W22" s="12" t="n">
        <v>112</v>
      </c>
      <c r="X22" s="12" t="n">
        <v>379</v>
      </c>
      <c r="Y22" s="12" t="n">
        <v>375</v>
      </c>
      <c r="Z22" s="12" t="n">
        <v>656</v>
      </c>
      <c r="AA22" s="12" t="n">
        <v>473</v>
      </c>
      <c r="AB22" s="12" t="n">
        <v>357</v>
      </c>
      <c r="AC22" s="12" t="n">
        <v>466</v>
      </c>
      <c r="AD22" s="12" t="n">
        <v>401</v>
      </c>
      <c r="AE22" s="12" t="n">
        <v>605</v>
      </c>
      <c r="AF22" s="12" t="n">
        <v>505</v>
      </c>
    </row>
    <row r="23">
      <c r="A23" s="20" t="n"/>
      <c r="B23" s="13" t="inlineStr">
        <is>
          <t>Never</t>
        </is>
      </c>
      <c r="C23" s="14" t="n">
        <v>0.52</v>
      </c>
      <c r="D23" s="14" t="n">
        <v>0.48</v>
      </c>
      <c r="E23" s="14" t="n">
        <v>0.52</v>
      </c>
      <c r="F23" s="14" t="n">
        <v>0.39</v>
      </c>
      <c r="G23" s="14" t="n">
        <v>0.5700000000000001</v>
      </c>
      <c r="H23" s="14" t="n">
        <v>0.5</v>
      </c>
      <c r="I23" s="14" t="n">
        <v>0.5</v>
      </c>
      <c r="J23" s="14" t="n">
        <v>0.49</v>
      </c>
      <c r="K23" s="14" t="n">
        <v>0.3</v>
      </c>
      <c r="L23" s="14" t="n">
        <v>0.39</v>
      </c>
      <c r="M23" s="14" t="n">
        <v>0.44</v>
      </c>
      <c r="N23" s="14" t="n">
        <v>0.55</v>
      </c>
      <c r="O23" s="14" t="n">
        <v>0.72</v>
      </c>
      <c r="P23" s="14" t="n">
        <v>0.39</v>
      </c>
      <c r="Q23" s="14" t="n">
        <v>0.48</v>
      </c>
      <c r="R23" s="14" t="n">
        <v>0.38</v>
      </c>
      <c r="S23" s="14" t="n">
        <v>0.54</v>
      </c>
      <c r="T23" s="14" t="n">
        <v>0.49</v>
      </c>
      <c r="U23" s="14" t="n">
        <v>0.47</v>
      </c>
      <c r="V23" s="14" t="n">
        <v>0.42</v>
      </c>
      <c r="W23" s="14" t="n">
        <v>0.22</v>
      </c>
      <c r="X23" s="14" t="n">
        <v>0.37</v>
      </c>
      <c r="Y23" s="14" t="n">
        <v>0.37</v>
      </c>
      <c r="Z23" s="14" t="n">
        <v>0.64</v>
      </c>
      <c r="AA23" s="14" t="n">
        <v>0.46</v>
      </c>
      <c r="AB23" s="14" t="n">
        <v>0.34</v>
      </c>
      <c r="AC23" s="14" t="n">
        <v>0.46</v>
      </c>
      <c r="AD23" s="14" t="n">
        <v>0.4</v>
      </c>
      <c r="AE23" s="14" t="n">
        <v>0.59</v>
      </c>
      <c r="AF23" s="14" t="n">
        <v>0.49</v>
      </c>
    </row>
    <row r="24">
      <c r="A24" s="20" t="n"/>
      <c r="B24" s="11" t="inlineStr">
        <is>
          <t>Pas d'accès à Internet (SPONTANÉ)</t>
        </is>
      </c>
      <c r="C24" s="12" t="n">
        <v>192</v>
      </c>
      <c r="D24" s="12" t="n">
        <v>14</v>
      </c>
      <c r="E24" s="12" t="n">
        <v>19</v>
      </c>
      <c r="F24" s="12" t="n">
        <v>16</v>
      </c>
      <c r="G24" s="12" t="n">
        <v>4</v>
      </c>
      <c r="H24" s="12" t="n">
        <v>10</v>
      </c>
      <c r="I24" s="12" t="n">
        <v>12</v>
      </c>
      <c r="J24" s="12" t="n">
        <v>2</v>
      </c>
      <c r="K24" s="12" t="n">
        <v>3</v>
      </c>
      <c r="L24" s="12" t="n">
        <v>0</v>
      </c>
      <c r="M24" s="12" t="n">
        <v>31</v>
      </c>
      <c r="N24" s="12" t="n">
        <v>6</v>
      </c>
      <c r="O24" s="12" t="n">
        <v>0</v>
      </c>
      <c r="P24" s="12" t="n">
        <v>18</v>
      </c>
      <c r="Q24" s="12" t="n">
        <v>6</v>
      </c>
      <c r="R24" s="12" t="n">
        <v>0</v>
      </c>
      <c r="S24" s="12" t="n">
        <v>1</v>
      </c>
      <c r="T24" s="12" t="n">
        <v>6</v>
      </c>
      <c r="U24" s="12" t="n">
        <v>1</v>
      </c>
      <c r="V24" s="12" t="n">
        <v>0</v>
      </c>
      <c r="W24" s="12" t="n">
        <v>18</v>
      </c>
      <c r="X24" s="12" t="n">
        <v>0</v>
      </c>
      <c r="Y24" s="12" t="n">
        <v>28</v>
      </c>
      <c r="Z24" s="12" t="n">
        <v>5</v>
      </c>
      <c r="AA24" s="12" t="n">
        <v>23</v>
      </c>
      <c r="AB24" s="12" t="n">
        <v>16</v>
      </c>
      <c r="AC24" s="12" t="n">
        <v>8</v>
      </c>
      <c r="AD24" s="12" t="n">
        <v>4</v>
      </c>
      <c r="AE24" s="12" t="n">
        <v>1</v>
      </c>
      <c r="AF24" s="12" t="n">
        <v>0</v>
      </c>
    </row>
    <row r="25">
      <c r="A25" s="23" t="n"/>
      <c r="B25" s="13" t="inlineStr">
        <is>
          <t>No internet access (SPONTANEOUS)</t>
        </is>
      </c>
      <c r="C25" s="14" t="n">
        <v>0.01</v>
      </c>
      <c r="D25" s="14" t="n">
        <v>0.01</v>
      </c>
      <c r="E25" s="14" t="n">
        <v>0.02</v>
      </c>
      <c r="F25" s="14" t="n">
        <v>0.01</v>
      </c>
      <c r="G25" s="15" t="inlineStr">
        <is>
          <t>-</t>
        </is>
      </c>
      <c r="H25" s="14" t="n">
        <v>0.01</v>
      </c>
      <c r="I25" s="14" t="n">
        <v>0.01</v>
      </c>
      <c r="J25" s="14" t="n">
        <v>0.01</v>
      </c>
      <c r="K25" s="15" t="inlineStr">
        <is>
          <t>-</t>
        </is>
      </c>
      <c r="L25" s="15" t="inlineStr">
        <is>
          <t>-</t>
        </is>
      </c>
      <c r="M25" s="14" t="n">
        <v>0.03</v>
      </c>
      <c r="N25" s="14" t="n">
        <v>0.01</v>
      </c>
      <c r="O25" s="15" t="inlineStr">
        <is>
          <t>-</t>
        </is>
      </c>
      <c r="P25" s="14" t="n">
        <v>0.02</v>
      </c>
      <c r="Q25" s="14" t="n">
        <v>0.01</v>
      </c>
      <c r="R25" s="15" t="inlineStr">
        <is>
          <t>-</t>
        </is>
      </c>
      <c r="S25" s="15" t="inlineStr">
        <is>
          <t>-</t>
        </is>
      </c>
      <c r="T25" s="14" t="n">
        <v>0.01</v>
      </c>
      <c r="U25" s="15" t="inlineStr">
        <is>
          <t>-</t>
        </is>
      </c>
      <c r="V25" s="15" t="inlineStr">
        <is>
          <t>-</t>
        </is>
      </c>
      <c r="W25" s="14" t="n">
        <v>0.04</v>
      </c>
      <c r="X25" s="15" t="inlineStr">
        <is>
          <t>-</t>
        </is>
      </c>
      <c r="Y25" s="14" t="n">
        <v>0.03</v>
      </c>
      <c r="Z25" s="15" t="inlineStr">
        <is>
          <t>-</t>
        </is>
      </c>
      <c r="AA25" s="14" t="n">
        <v>0.02</v>
      </c>
      <c r="AB25" s="14" t="n">
        <v>0.01</v>
      </c>
      <c r="AC25" s="14" t="n">
        <v>0.01</v>
      </c>
      <c r="AD25" s="14" t="n">
        <v>0.01</v>
      </c>
      <c r="AE25" s="15" t="inlineStr">
        <is>
          <t>-</t>
        </is>
      </c>
      <c r="AF25" s="15" t="inlineStr">
        <is>
          <t>-</t>
        </is>
      </c>
    </row>
    <row r="26">
      <c r="A26" s="19" t="n"/>
      <c r="B26" s="11" t="inlineStr">
        <is>
          <t>Total 'Utilise internet'</t>
        </is>
      </c>
      <c r="C26" s="12" t="n">
        <v>12422</v>
      </c>
      <c r="D26" s="12" t="n">
        <v>521</v>
      </c>
      <c r="E26" s="12" t="n">
        <v>467</v>
      </c>
      <c r="F26" s="12" t="n">
        <v>626</v>
      </c>
      <c r="G26" s="12" t="n">
        <v>428</v>
      </c>
      <c r="H26" s="12" t="n">
        <v>597</v>
      </c>
      <c r="I26" s="12" t="n">
        <v>745</v>
      </c>
      <c r="J26" s="12" t="n">
        <v>148</v>
      </c>
      <c r="K26" s="12" t="n">
        <v>698</v>
      </c>
      <c r="L26" s="12" t="n">
        <v>619</v>
      </c>
      <c r="M26" s="12" t="n">
        <v>537</v>
      </c>
      <c r="N26" s="12" t="n">
        <v>446</v>
      </c>
      <c r="O26" s="12" t="n">
        <v>281</v>
      </c>
      <c r="P26" s="12" t="n">
        <v>595</v>
      </c>
      <c r="Q26" s="12" t="n">
        <v>531</v>
      </c>
      <c r="R26" s="12" t="n">
        <v>314</v>
      </c>
      <c r="S26" s="12" t="n">
        <v>457</v>
      </c>
      <c r="T26" s="12" t="n">
        <v>515</v>
      </c>
      <c r="U26" s="12" t="n">
        <v>269</v>
      </c>
      <c r="V26" s="12" t="n">
        <v>589</v>
      </c>
      <c r="W26" s="12" t="n">
        <v>375</v>
      </c>
      <c r="X26" s="12" t="n">
        <v>644</v>
      </c>
      <c r="Y26" s="12" t="n">
        <v>600</v>
      </c>
      <c r="Z26" s="12" t="n">
        <v>358</v>
      </c>
      <c r="AA26" s="12" t="n">
        <v>534</v>
      </c>
      <c r="AB26" s="12" t="n">
        <v>673</v>
      </c>
      <c r="AC26" s="12" t="n">
        <v>532</v>
      </c>
      <c r="AD26" s="12" t="n">
        <v>596</v>
      </c>
      <c r="AE26" s="12" t="n">
        <v>410</v>
      </c>
      <c r="AF26" s="12" t="n">
        <v>532</v>
      </c>
    </row>
    <row r="27">
      <c r="A27" s="23" t="n"/>
      <c r="B27" s="13" t="inlineStr">
        <is>
          <t>Total 'Use the internet'</t>
        </is>
      </c>
      <c r="C27" s="14" t="n">
        <v>0.47</v>
      </c>
      <c r="D27" s="14" t="n">
        <v>0.51</v>
      </c>
      <c r="E27" s="14" t="n">
        <v>0.46</v>
      </c>
      <c r="F27" s="14" t="n">
        <v>0.6</v>
      </c>
      <c r="G27" s="14" t="n">
        <v>0.43</v>
      </c>
      <c r="H27" s="14" t="n">
        <v>0.49</v>
      </c>
      <c r="I27" s="14" t="n">
        <v>0.49</v>
      </c>
      <c r="J27" s="14" t="n">
        <v>0.5</v>
      </c>
      <c r="K27" s="14" t="n">
        <v>0.7000000000000001</v>
      </c>
      <c r="L27" s="14" t="n">
        <v>0.61</v>
      </c>
      <c r="M27" s="14" t="n">
        <v>0.53</v>
      </c>
      <c r="N27" s="14" t="n">
        <v>0.44</v>
      </c>
      <c r="O27" s="14" t="n">
        <v>0.28</v>
      </c>
      <c r="P27" s="14" t="n">
        <v>0.59</v>
      </c>
      <c r="Q27" s="14" t="n">
        <v>0.51</v>
      </c>
      <c r="R27" s="14" t="n">
        <v>0.62</v>
      </c>
      <c r="S27" s="14" t="n">
        <v>0.46</v>
      </c>
      <c r="T27" s="14" t="n">
        <v>0.5</v>
      </c>
      <c r="U27" s="14" t="n">
        <v>0.53</v>
      </c>
      <c r="V27" s="14" t="n">
        <v>0.58</v>
      </c>
      <c r="W27" s="14" t="n">
        <v>0.74</v>
      </c>
      <c r="X27" s="14" t="n">
        <v>0.63</v>
      </c>
      <c r="Y27" s="14" t="n">
        <v>0.6</v>
      </c>
      <c r="Z27" s="14" t="n">
        <v>0.36</v>
      </c>
      <c r="AA27" s="14" t="n">
        <v>0.52</v>
      </c>
      <c r="AB27" s="14" t="n">
        <v>0.65</v>
      </c>
      <c r="AC27" s="14" t="n">
        <v>0.53</v>
      </c>
      <c r="AD27" s="14" t="n">
        <v>0.59</v>
      </c>
      <c r="AE27" s="14" t="n">
        <v>0.41</v>
      </c>
      <c r="AF27" s="14" t="n">
        <v>0.51</v>
      </c>
    </row>
  </sheetData>
  <mergeCells count="10">
    <mergeCell ref="B4:F4"/>
    <mergeCell ref="H3:L3"/>
    <mergeCell ref="C8:AF8"/>
    <mergeCell ref="A26:A27"/>
    <mergeCell ref="B3:F3"/>
    <mergeCell ref="B5:F5"/>
    <mergeCell ref="A10:A25"/>
    <mergeCell ref="H5:L5"/>
    <mergeCell ref="B10:B11"/>
    <mergeCell ref="H4:L4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12" customHeight="1" s="18">
      <c r="B3" s="21" t="inlineStr">
        <is>
          <t>D62R. Utilisation Internet</t>
        </is>
      </c>
      <c r="H3" s="21" t="inlineStr">
        <is>
          <t>D62R. Use of the Internet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HYPERLINK("#Content!A64","&lt;&lt;Back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Tous les jours</t>
        </is>
      </c>
      <c r="C12" s="12" t="n">
        <v>22881</v>
      </c>
      <c r="D12" s="12" t="n">
        <v>942</v>
      </c>
      <c r="E12" s="12" t="n">
        <v>847</v>
      </c>
      <c r="F12" s="12" t="n">
        <v>851</v>
      </c>
      <c r="G12" s="12" t="n">
        <v>983</v>
      </c>
      <c r="H12" s="12" t="n">
        <v>1074</v>
      </c>
      <c r="I12" s="12" t="n">
        <v>1327</v>
      </c>
      <c r="J12" s="12" t="n">
        <v>253</v>
      </c>
      <c r="K12" s="12" t="n">
        <v>882</v>
      </c>
      <c r="L12" s="12" t="n">
        <v>927</v>
      </c>
      <c r="M12" s="12" t="n">
        <v>839</v>
      </c>
      <c r="N12" s="12" t="n">
        <v>886</v>
      </c>
      <c r="O12" s="12" t="n">
        <v>868</v>
      </c>
      <c r="P12" s="12" t="n">
        <v>865</v>
      </c>
      <c r="Q12" s="12" t="n">
        <v>871</v>
      </c>
      <c r="R12" s="12" t="n">
        <v>438</v>
      </c>
      <c r="S12" s="12" t="n">
        <v>900</v>
      </c>
      <c r="T12" s="12" t="n">
        <v>878</v>
      </c>
      <c r="U12" s="12" t="n">
        <v>479</v>
      </c>
      <c r="V12" s="12" t="n">
        <v>845</v>
      </c>
      <c r="W12" s="12" t="n">
        <v>459</v>
      </c>
      <c r="X12" s="12" t="n">
        <v>999</v>
      </c>
      <c r="Y12" s="12" t="n">
        <v>827</v>
      </c>
      <c r="Z12" s="12" t="n">
        <v>842</v>
      </c>
      <c r="AA12" s="12" t="n">
        <v>818</v>
      </c>
      <c r="AB12" s="12" t="n">
        <v>855</v>
      </c>
      <c r="AC12" s="12" t="n">
        <v>861</v>
      </c>
      <c r="AD12" s="12" t="n">
        <v>834</v>
      </c>
      <c r="AE12" s="12" t="n">
        <v>966</v>
      </c>
      <c r="AF12" s="12" t="n">
        <v>1016</v>
      </c>
    </row>
    <row r="13">
      <c r="A13" s="20" t="n"/>
      <c r="B13" s="13" t="inlineStr">
        <is>
          <t>Everyday</t>
        </is>
      </c>
      <c r="C13" s="14" t="n">
        <v>0.87</v>
      </c>
      <c r="D13" s="14" t="n">
        <v>0.92</v>
      </c>
      <c r="E13" s="14" t="n">
        <v>0.84</v>
      </c>
      <c r="F13" s="14" t="n">
        <v>0.8100000000000001</v>
      </c>
      <c r="G13" s="14" t="n">
        <v>0.98</v>
      </c>
      <c r="H13" s="14" t="n">
        <v>0.89</v>
      </c>
      <c r="I13" s="14" t="n">
        <v>0.88</v>
      </c>
      <c r="J13" s="14" t="n">
        <v>0.86</v>
      </c>
      <c r="K13" s="14" t="n">
        <v>0.88</v>
      </c>
      <c r="L13" s="14" t="n">
        <v>0.92</v>
      </c>
      <c r="M13" s="14" t="n">
        <v>0.8300000000000001</v>
      </c>
      <c r="N13" s="14" t="n">
        <v>0.88</v>
      </c>
      <c r="O13" s="14" t="n">
        <v>0.86</v>
      </c>
      <c r="P13" s="14" t="n">
        <v>0.86</v>
      </c>
      <c r="Q13" s="14" t="n">
        <v>0.85</v>
      </c>
      <c r="R13" s="14" t="n">
        <v>0.87</v>
      </c>
      <c r="S13" s="14" t="n">
        <v>0.9</v>
      </c>
      <c r="T13" s="14" t="n">
        <v>0.86</v>
      </c>
      <c r="U13" s="14" t="n">
        <v>0.9400000000000001</v>
      </c>
      <c r="V13" s="14" t="n">
        <v>0.8300000000000001</v>
      </c>
      <c r="W13" s="14" t="n">
        <v>0.91</v>
      </c>
      <c r="X13" s="14" t="n">
        <v>0.98</v>
      </c>
      <c r="Y13" s="14" t="n">
        <v>0.8300000000000001</v>
      </c>
      <c r="Z13" s="14" t="n">
        <v>0.8300000000000001</v>
      </c>
      <c r="AA13" s="14" t="n">
        <v>0.79</v>
      </c>
      <c r="AB13" s="14" t="n">
        <v>0.8200000000000001</v>
      </c>
      <c r="AC13" s="14" t="n">
        <v>0.86</v>
      </c>
      <c r="AD13" s="14" t="n">
        <v>0.8300000000000001</v>
      </c>
      <c r="AE13" s="14" t="n">
        <v>0.9500000000000001</v>
      </c>
      <c r="AF13" s="14" t="n">
        <v>0.98</v>
      </c>
    </row>
    <row r="14">
      <c r="A14" s="20" t="n"/>
      <c r="B14" s="11" t="inlineStr">
        <is>
          <t>Souvent / Parfois</t>
        </is>
      </c>
      <c r="C14" s="12" t="n">
        <v>1709</v>
      </c>
      <c r="D14" s="12" t="n">
        <v>50</v>
      </c>
      <c r="E14" s="12" t="n">
        <v>61</v>
      </c>
      <c r="F14" s="12" t="n">
        <v>108</v>
      </c>
      <c r="G14" s="12" t="n">
        <v>12</v>
      </c>
      <c r="H14" s="12" t="n">
        <v>74</v>
      </c>
      <c r="I14" s="12" t="n">
        <v>98</v>
      </c>
      <c r="J14" s="12" t="n">
        <v>24</v>
      </c>
      <c r="K14" s="12" t="n">
        <v>61</v>
      </c>
      <c r="L14" s="12" t="n">
        <v>52</v>
      </c>
      <c r="M14" s="12" t="n">
        <v>39</v>
      </c>
      <c r="N14" s="12" t="n">
        <v>45</v>
      </c>
      <c r="O14" s="12" t="n">
        <v>74</v>
      </c>
      <c r="P14" s="12" t="n">
        <v>65</v>
      </c>
      <c r="Q14" s="12" t="n">
        <v>106</v>
      </c>
      <c r="R14" s="12" t="n">
        <v>29</v>
      </c>
      <c r="S14" s="12" t="n">
        <v>23</v>
      </c>
      <c r="T14" s="12" t="n">
        <v>25</v>
      </c>
      <c r="U14" s="12" t="n">
        <v>23</v>
      </c>
      <c r="V14" s="12" t="n">
        <v>76</v>
      </c>
      <c r="W14" s="12" t="n">
        <v>8</v>
      </c>
      <c r="X14" s="12" t="n">
        <v>20</v>
      </c>
      <c r="Y14" s="12" t="n">
        <v>98</v>
      </c>
      <c r="Z14" s="12" t="n">
        <v>70</v>
      </c>
      <c r="AA14" s="12" t="n">
        <v>46</v>
      </c>
      <c r="AB14" s="12" t="n">
        <v>69</v>
      </c>
      <c r="AC14" s="12" t="n">
        <v>62</v>
      </c>
      <c r="AD14" s="12" t="n">
        <v>69</v>
      </c>
      <c r="AE14" s="12" t="n">
        <v>24</v>
      </c>
      <c r="AF14" s="12" t="n">
        <v>12</v>
      </c>
    </row>
    <row r="15">
      <c r="A15" s="20" t="n"/>
      <c r="B15" s="13" t="inlineStr">
        <is>
          <t>Often / Sometimes</t>
        </is>
      </c>
      <c r="C15" s="14" t="n">
        <v>0.06</v>
      </c>
      <c r="D15" s="14" t="n">
        <v>0.05</v>
      </c>
      <c r="E15" s="14" t="n">
        <v>0.06</v>
      </c>
      <c r="F15" s="14" t="n">
        <v>0.1</v>
      </c>
      <c r="G15" s="14" t="n">
        <v>0.01</v>
      </c>
      <c r="H15" s="14" t="n">
        <v>0.06</v>
      </c>
      <c r="I15" s="14" t="n">
        <v>0.07000000000000001</v>
      </c>
      <c r="J15" s="14" t="n">
        <v>0.08</v>
      </c>
      <c r="K15" s="14" t="n">
        <v>0.06</v>
      </c>
      <c r="L15" s="14" t="n">
        <v>0.05</v>
      </c>
      <c r="M15" s="14" t="n">
        <v>0.04</v>
      </c>
      <c r="N15" s="14" t="n">
        <v>0.04</v>
      </c>
      <c r="O15" s="14" t="n">
        <v>0.07000000000000001</v>
      </c>
      <c r="P15" s="14" t="n">
        <v>0.06</v>
      </c>
      <c r="Q15" s="14" t="n">
        <v>0.1</v>
      </c>
      <c r="R15" s="14" t="n">
        <v>0.06</v>
      </c>
      <c r="S15" s="14" t="n">
        <v>0.02</v>
      </c>
      <c r="T15" s="14" t="n">
        <v>0.03</v>
      </c>
      <c r="U15" s="14" t="n">
        <v>0.05</v>
      </c>
      <c r="V15" s="14" t="n">
        <v>0.07000000000000001</v>
      </c>
      <c r="W15" s="14" t="n">
        <v>0.02</v>
      </c>
      <c r="X15" s="14" t="n">
        <v>0.02</v>
      </c>
      <c r="Y15" s="14" t="n">
        <v>0.1</v>
      </c>
      <c r="Z15" s="14" t="n">
        <v>0.07000000000000001</v>
      </c>
      <c r="AA15" s="14" t="n">
        <v>0.05</v>
      </c>
      <c r="AB15" s="14" t="n">
        <v>0.07000000000000001</v>
      </c>
      <c r="AC15" s="14" t="n">
        <v>0.06</v>
      </c>
      <c r="AD15" s="14" t="n">
        <v>0.07000000000000001</v>
      </c>
      <c r="AE15" s="14" t="n">
        <v>0.02</v>
      </c>
      <c r="AF15" s="14" t="n">
        <v>0.01</v>
      </c>
    </row>
    <row r="16">
      <c r="A16" s="20" t="n"/>
      <c r="B16" s="11" t="inlineStr">
        <is>
          <t>Jamais</t>
        </is>
      </c>
      <c r="C16" s="12" t="n">
        <v>1728</v>
      </c>
      <c r="D16" s="12" t="n">
        <v>27</v>
      </c>
      <c r="E16" s="12" t="n">
        <v>92</v>
      </c>
      <c r="F16" s="12" t="n">
        <v>76</v>
      </c>
      <c r="G16" s="12" t="n">
        <v>11</v>
      </c>
      <c r="H16" s="12" t="n">
        <v>61</v>
      </c>
      <c r="I16" s="12" t="n">
        <v>78</v>
      </c>
      <c r="J16" s="12" t="n">
        <v>17</v>
      </c>
      <c r="K16" s="12" t="n">
        <v>59</v>
      </c>
      <c r="L16" s="12" t="n">
        <v>31</v>
      </c>
      <c r="M16" s="12" t="n">
        <v>118</v>
      </c>
      <c r="N16" s="12" t="n">
        <v>70</v>
      </c>
      <c r="O16" s="12" t="n">
        <v>74</v>
      </c>
      <c r="P16" s="12" t="n">
        <v>66</v>
      </c>
      <c r="Q16" s="12" t="n">
        <v>51</v>
      </c>
      <c r="R16" s="12" t="n">
        <v>38</v>
      </c>
      <c r="S16" s="12" t="n">
        <v>82</v>
      </c>
      <c r="T16" s="12" t="n">
        <v>110</v>
      </c>
      <c r="U16" s="12" t="n">
        <v>5</v>
      </c>
      <c r="V16" s="12" t="n">
        <v>100</v>
      </c>
      <c r="W16" s="12" t="n">
        <v>36</v>
      </c>
      <c r="X16" s="12" t="n">
        <v>3</v>
      </c>
      <c r="Y16" s="12" t="n">
        <v>54</v>
      </c>
      <c r="Z16" s="12" t="n">
        <v>107</v>
      </c>
      <c r="AA16" s="12" t="n">
        <v>146</v>
      </c>
      <c r="AB16" s="12" t="n">
        <v>108</v>
      </c>
      <c r="AC16" s="12" t="n">
        <v>75</v>
      </c>
      <c r="AD16" s="12" t="n">
        <v>94</v>
      </c>
      <c r="AE16" s="12" t="n">
        <v>25</v>
      </c>
      <c r="AF16" s="12" t="n">
        <v>10</v>
      </c>
    </row>
    <row r="17">
      <c r="A17" s="20" t="n"/>
      <c r="B17" s="13" t="inlineStr">
        <is>
          <t>Never</t>
        </is>
      </c>
      <c r="C17" s="14" t="n">
        <v>0.07000000000000001</v>
      </c>
      <c r="D17" s="14" t="n">
        <v>0.03</v>
      </c>
      <c r="E17" s="14" t="n">
        <v>0.09</v>
      </c>
      <c r="F17" s="14" t="n">
        <v>0.07000000000000001</v>
      </c>
      <c r="G17" s="14" t="n">
        <v>0.01</v>
      </c>
      <c r="H17" s="14" t="n">
        <v>0.05</v>
      </c>
      <c r="I17" s="14" t="n">
        <v>0.05</v>
      </c>
      <c r="J17" s="14" t="n">
        <v>0.06</v>
      </c>
      <c r="K17" s="14" t="n">
        <v>0.06</v>
      </c>
      <c r="L17" s="14" t="n">
        <v>0.03</v>
      </c>
      <c r="M17" s="14" t="n">
        <v>0.12</v>
      </c>
      <c r="N17" s="14" t="n">
        <v>0.07000000000000001</v>
      </c>
      <c r="O17" s="14" t="n">
        <v>0.07000000000000001</v>
      </c>
      <c r="P17" s="14" t="n">
        <v>0.07000000000000001</v>
      </c>
      <c r="Q17" s="14" t="n">
        <v>0.05</v>
      </c>
      <c r="R17" s="14" t="n">
        <v>0.07000000000000001</v>
      </c>
      <c r="S17" s="14" t="n">
        <v>0.08</v>
      </c>
      <c r="T17" s="14" t="n">
        <v>0.11</v>
      </c>
      <c r="U17" s="14" t="n">
        <v>0.01</v>
      </c>
      <c r="V17" s="14" t="n">
        <v>0.1</v>
      </c>
      <c r="W17" s="14" t="n">
        <v>0.07000000000000001</v>
      </c>
      <c r="X17" s="15" t="inlineStr">
        <is>
          <t>-</t>
        </is>
      </c>
      <c r="Y17" s="14" t="n">
        <v>0.05</v>
      </c>
      <c r="Z17" s="14" t="n">
        <v>0.1</v>
      </c>
      <c r="AA17" s="14" t="n">
        <v>0.14</v>
      </c>
      <c r="AB17" s="14" t="n">
        <v>0.1</v>
      </c>
      <c r="AC17" s="14" t="n">
        <v>0.07000000000000001</v>
      </c>
      <c r="AD17" s="14" t="n">
        <v>0.09</v>
      </c>
      <c r="AE17" s="14" t="n">
        <v>0.03</v>
      </c>
      <c r="AF17" s="14" t="n">
        <v>0.01</v>
      </c>
    </row>
    <row r="18">
      <c r="A18" s="20" t="n"/>
      <c r="B18" s="11" t="inlineStr">
        <is>
          <t>Pas d'accès à Internet (SPONTANE)</t>
        </is>
      </c>
      <c r="C18" s="12" t="n">
        <v>104</v>
      </c>
      <c r="D18" s="12" t="n">
        <v>2</v>
      </c>
      <c r="E18" s="12" t="n">
        <v>14</v>
      </c>
      <c r="F18" s="12" t="n">
        <v>14</v>
      </c>
      <c r="G18" s="12" t="n">
        <v>1</v>
      </c>
      <c r="H18" s="12" t="n">
        <v>4</v>
      </c>
      <c r="I18" s="12" t="n">
        <v>4</v>
      </c>
      <c r="J18" s="12" t="n">
        <v>0</v>
      </c>
      <c r="K18" s="12" t="n">
        <v>3</v>
      </c>
      <c r="L18" s="12" t="n">
        <v>0</v>
      </c>
      <c r="M18" s="12" t="n">
        <v>12</v>
      </c>
      <c r="N18" s="12" t="n">
        <v>5</v>
      </c>
      <c r="O18" s="12" t="n">
        <v>0</v>
      </c>
      <c r="P18" s="12" t="n">
        <v>11</v>
      </c>
      <c r="Q18" s="12" t="n">
        <v>1</v>
      </c>
      <c r="R18" s="12" t="n">
        <v>0</v>
      </c>
      <c r="S18" s="12" t="n">
        <v>1</v>
      </c>
      <c r="T18" s="12" t="n">
        <v>4</v>
      </c>
      <c r="U18" s="12" t="n">
        <v>1</v>
      </c>
      <c r="V18" s="12" t="n">
        <v>0</v>
      </c>
      <c r="W18" s="12" t="n">
        <v>1</v>
      </c>
      <c r="X18" s="12" t="n">
        <v>0</v>
      </c>
      <c r="Y18" s="12" t="n">
        <v>24</v>
      </c>
      <c r="Z18" s="12" t="n">
        <v>2</v>
      </c>
      <c r="AA18" s="12" t="n">
        <v>20</v>
      </c>
      <c r="AB18" s="12" t="n">
        <v>13</v>
      </c>
      <c r="AC18" s="12" t="n">
        <v>8</v>
      </c>
      <c r="AD18" s="12" t="n">
        <v>4</v>
      </c>
      <c r="AE18" s="12" t="n">
        <v>1</v>
      </c>
      <c r="AF18" s="12" t="n">
        <v>0</v>
      </c>
    </row>
    <row r="19">
      <c r="A19" s="23" t="n"/>
      <c r="B19" s="13" t="inlineStr">
        <is>
          <t>No Internet access (SPONTANEOUS)</t>
        </is>
      </c>
      <c r="C19" s="15" t="inlineStr">
        <is>
          <t>-</t>
        </is>
      </c>
      <c r="D19" s="15" t="inlineStr">
        <is>
          <t>-</t>
        </is>
      </c>
      <c r="E19" s="14" t="n">
        <v>0.01</v>
      </c>
      <c r="F19" s="14" t="n">
        <v>0.02</v>
      </c>
      <c r="G19" s="15" t="inlineStr">
        <is>
          <t>-</t>
        </is>
      </c>
      <c r="H19" s="15" t="inlineStr">
        <is>
          <t>-</t>
        </is>
      </c>
      <c r="I19" s="15" t="inlineStr">
        <is>
          <t>-</t>
        </is>
      </c>
      <c r="J19" s="15" t="inlineStr">
        <is>
          <t>-</t>
        </is>
      </c>
      <c r="K19" s="15" t="inlineStr">
        <is>
          <t>-</t>
        </is>
      </c>
      <c r="L19" s="15" t="inlineStr">
        <is>
          <t>-</t>
        </is>
      </c>
      <c r="M19" s="14" t="n">
        <v>0.01</v>
      </c>
      <c r="N19" s="14" t="n">
        <v>0.01</v>
      </c>
      <c r="O19" s="15" t="inlineStr">
        <is>
          <t>-</t>
        </is>
      </c>
      <c r="P19" s="14" t="n">
        <v>0.01</v>
      </c>
      <c r="Q19" s="15" t="inlineStr">
        <is>
          <t>-</t>
        </is>
      </c>
      <c r="R19" s="15" t="inlineStr">
        <is>
          <t>-</t>
        </is>
      </c>
      <c r="S19" s="15" t="inlineStr">
        <is>
          <t>-</t>
        </is>
      </c>
      <c r="T19" s="15" t="inlineStr">
        <is>
          <t>-</t>
        </is>
      </c>
      <c r="U19" s="15" t="inlineStr">
        <is>
          <t>-</t>
        </is>
      </c>
      <c r="V19" s="15" t="inlineStr">
        <is>
          <t>-</t>
        </is>
      </c>
      <c r="W19" s="15" t="inlineStr">
        <is>
          <t>-</t>
        </is>
      </c>
      <c r="X19" s="15" t="inlineStr">
        <is>
          <t>-</t>
        </is>
      </c>
      <c r="Y19" s="14" t="n">
        <v>0.02</v>
      </c>
      <c r="Z19" s="15" t="inlineStr">
        <is>
          <t>-</t>
        </is>
      </c>
      <c r="AA19" s="14" t="n">
        <v>0.02</v>
      </c>
      <c r="AB19" s="14" t="n">
        <v>0.01</v>
      </c>
      <c r="AC19" s="14" t="n">
        <v>0.01</v>
      </c>
      <c r="AD19" s="14" t="n">
        <v>0.01</v>
      </c>
      <c r="AE19" s="15" t="inlineStr">
        <is>
          <t>-</t>
        </is>
      </c>
      <c r="AF19" s="15" t="inlineStr">
        <is>
          <t>-</t>
        </is>
      </c>
    </row>
    <row r="20">
      <c r="A20" s="19" t="n"/>
      <c r="B20" s="11" t="inlineStr">
        <is>
          <t>Total 'Utilise internet'</t>
        </is>
      </c>
      <c r="C20" s="12" t="n">
        <v>24590</v>
      </c>
      <c r="D20" s="12" t="n">
        <v>992</v>
      </c>
      <c r="E20" s="12" t="n">
        <v>908</v>
      </c>
      <c r="F20" s="12" t="n">
        <v>959</v>
      </c>
      <c r="G20" s="12" t="n">
        <v>995</v>
      </c>
      <c r="H20" s="12" t="n">
        <v>1148</v>
      </c>
      <c r="I20" s="12" t="n">
        <v>1425</v>
      </c>
      <c r="J20" s="12" t="n">
        <v>277</v>
      </c>
      <c r="K20" s="12" t="n">
        <v>943</v>
      </c>
      <c r="L20" s="12" t="n">
        <v>979</v>
      </c>
      <c r="M20" s="12" t="n">
        <v>878</v>
      </c>
      <c r="N20" s="12" t="n">
        <v>931</v>
      </c>
      <c r="O20" s="12" t="n">
        <v>942</v>
      </c>
      <c r="P20" s="12" t="n">
        <v>930</v>
      </c>
      <c r="Q20" s="12" t="n">
        <v>977</v>
      </c>
      <c r="R20" s="12" t="n">
        <v>467</v>
      </c>
      <c r="S20" s="12" t="n">
        <v>923</v>
      </c>
      <c r="T20" s="12" t="n">
        <v>903</v>
      </c>
      <c r="U20" s="12" t="n">
        <v>502</v>
      </c>
      <c r="V20" s="12" t="n">
        <v>921</v>
      </c>
      <c r="W20" s="12" t="n">
        <v>467</v>
      </c>
      <c r="X20" s="12" t="n">
        <v>1019</v>
      </c>
      <c r="Y20" s="12" t="n">
        <v>925</v>
      </c>
      <c r="Z20" s="12" t="n">
        <v>912</v>
      </c>
      <c r="AA20" s="12" t="n">
        <v>864</v>
      </c>
      <c r="AB20" s="12" t="n">
        <v>924</v>
      </c>
      <c r="AC20" s="12" t="n">
        <v>923</v>
      </c>
      <c r="AD20" s="12" t="n">
        <v>903</v>
      </c>
      <c r="AE20" s="12" t="n">
        <v>990</v>
      </c>
      <c r="AF20" s="12" t="n">
        <v>1028</v>
      </c>
    </row>
    <row r="21">
      <c r="A21" s="23" t="n"/>
      <c r="B21" s="13" t="inlineStr">
        <is>
          <t>Total 'Use the internet'</t>
        </is>
      </c>
      <c r="C21" s="14" t="n">
        <v>0.93</v>
      </c>
      <c r="D21" s="14" t="n">
        <v>0.97</v>
      </c>
      <c r="E21" s="14" t="n">
        <v>0.9</v>
      </c>
      <c r="F21" s="14" t="n">
        <v>0.91</v>
      </c>
      <c r="G21" s="14" t="n">
        <v>0.99</v>
      </c>
      <c r="H21" s="14" t="n">
        <v>0.9500000000000001</v>
      </c>
      <c r="I21" s="14" t="n">
        <v>0.9500000000000001</v>
      </c>
      <c r="J21" s="14" t="n">
        <v>0.9400000000000001</v>
      </c>
      <c r="K21" s="14" t="n">
        <v>0.9400000000000001</v>
      </c>
      <c r="L21" s="14" t="n">
        <v>0.97</v>
      </c>
      <c r="M21" s="14" t="n">
        <v>0.87</v>
      </c>
      <c r="N21" s="14" t="n">
        <v>0.92</v>
      </c>
      <c r="O21" s="14" t="n">
        <v>0.93</v>
      </c>
      <c r="P21" s="14" t="n">
        <v>0.92</v>
      </c>
      <c r="Q21" s="14" t="n">
        <v>0.9500000000000001</v>
      </c>
      <c r="R21" s="14" t="n">
        <v>0.93</v>
      </c>
      <c r="S21" s="14" t="n">
        <v>0.92</v>
      </c>
      <c r="T21" s="14" t="n">
        <v>0.89</v>
      </c>
      <c r="U21" s="14" t="n">
        <v>0.99</v>
      </c>
      <c r="V21" s="14" t="n">
        <v>0.9</v>
      </c>
      <c r="W21" s="14" t="n">
        <v>0.93</v>
      </c>
      <c r="X21" s="14" t="n">
        <v>1</v>
      </c>
      <c r="Y21" s="14" t="n">
        <v>0.93</v>
      </c>
      <c r="Z21" s="14" t="n">
        <v>0.9</v>
      </c>
      <c r="AA21" s="14" t="n">
        <v>0.84</v>
      </c>
      <c r="AB21" s="14" t="n">
        <v>0.89</v>
      </c>
      <c r="AC21" s="14" t="n">
        <v>0.92</v>
      </c>
      <c r="AD21" s="14" t="n">
        <v>0.9</v>
      </c>
      <c r="AE21" s="14" t="n">
        <v>0.97</v>
      </c>
      <c r="AF21" s="14" t="n">
        <v>0.99</v>
      </c>
    </row>
  </sheetData>
  <mergeCells count="10">
    <mergeCell ref="B4:F4"/>
    <mergeCell ref="H3:L3"/>
    <mergeCell ref="C8:AF8"/>
    <mergeCell ref="B3:F3"/>
    <mergeCell ref="B5:F5"/>
    <mergeCell ref="A10:A19"/>
    <mergeCell ref="A20:A21"/>
    <mergeCell ref="H5:L5"/>
    <mergeCell ref="B10:B11"/>
    <mergeCell ref="H4:L4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F29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12" customHeight="1" s="18">
      <c r="B3" s="21" t="inlineStr">
        <is>
          <t>D63. Vous considérez-vous, vous et votre foyer, comme appartenant à … ?</t>
        </is>
      </c>
      <c r="H3" s="21" t="inlineStr">
        <is>
          <t>D63. Do you see yourself and your household belonging to…?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HYPERLINK("#Content!A65","&lt;&lt;Back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La classe ouvrière de la société</t>
        </is>
      </c>
      <c r="C12" s="12" t="n">
        <v>6003</v>
      </c>
      <c r="D12" s="12" t="n">
        <v>135</v>
      </c>
      <c r="E12" s="12" t="n">
        <v>422</v>
      </c>
      <c r="F12" s="12" t="n">
        <v>204</v>
      </c>
      <c r="G12" s="12" t="n">
        <v>114</v>
      </c>
      <c r="H12" s="12" t="n">
        <v>164</v>
      </c>
      <c r="I12" s="12" t="n">
        <v>246</v>
      </c>
      <c r="J12" s="12" t="n">
        <v>82</v>
      </c>
      <c r="K12" s="12" t="n">
        <v>237</v>
      </c>
      <c r="L12" s="12" t="n">
        <v>427</v>
      </c>
      <c r="M12" s="12" t="n">
        <v>249</v>
      </c>
      <c r="N12" s="12" t="n">
        <v>438</v>
      </c>
      <c r="O12" s="12" t="n">
        <v>238</v>
      </c>
      <c r="P12" s="12" t="n">
        <v>280</v>
      </c>
      <c r="Q12" s="12" t="n">
        <v>100</v>
      </c>
      <c r="R12" s="12" t="n">
        <v>124</v>
      </c>
      <c r="S12" s="12" t="n">
        <v>354</v>
      </c>
      <c r="T12" s="12" t="n">
        <v>288</v>
      </c>
      <c r="U12" s="12" t="n">
        <v>37</v>
      </c>
      <c r="V12" s="12" t="n">
        <v>228</v>
      </c>
      <c r="W12" s="12" t="n">
        <v>118</v>
      </c>
      <c r="X12" s="12" t="n">
        <v>70</v>
      </c>
      <c r="Y12" s="12" t="n">
        <v>210</v>
      </c>
      <c r="Z12" s="12" t="n">
        <v>360</v>
      </c>
      <c r="AA12" s="12" t="n">
        <v>466</v>
      </c>
      <c r="AB12" s="12" t="n">
        <v>188</v>
      </c>
      <c r="AC12" s="12" t="n">
        <v>190</v>
      </c>
      <c r="AD12" s="12" t="n">
        <v>187</v>
      </c>
      <c r="AE12" s="12" t="n">
        <v>197</v>
      </c>
      <c r="AF12" s="12" t="n">
        <v>136</v>
      </c>
    </row>
    <row r="13">
      <c r="A13" s="20" t="n"/>
      <c r="B13" s="13" t="inlineStr">
        <is>
          <t>The working class of society</t>
        </is>
      </c>
      <c r="C13" s="14" t="n">
        <v>0.23</v>
      </c>
      <c r="D13" s="14" t="n">
        <v>0.13</v>
      </c>
      <c r="E13" s="14" t="n">
        <v>0.42</v>
      </c>
      <c r="F13" s="14" t="n">
        <v>0.2</v>
      </c>
      <c r="G13" s="14" t="n">
        <v>0.11</v>
      </c>
      <c r="H13" s="14" t="n">
        <v>0.14</v>
      </c>
      <c r="I13" s="14" t="n">
        <v>0.16</v>
      </c>
      <c r="J13" s="14" t="n">
        <v>0.28</v>
      </c>
      <c r="K13" s="14" t="n">
        <v>0.24</v>
      </c>
      <c r="L13" s="14" t="n">
        <v>0.42</v>
      </c>
      <c r="M13" s="14" t="n">
        <v>0.25</v>
      </c>
      <c r="N13" s="14" t="n">
        <v>0.44</v>
      </c>
      <c r="O13" s="14" t="n">
        <v>0.23</v>
      </c>
      <c r="P13" s="14" t="n">
        <v>0.28</v>
      </c>
      <c r="Q13" s="14" t="n">
        <v>0.1</v>
      </c>
      <c r="R13" s="14" t="n">
        <v>0.25</v>
      </c>
      <c r="S13" s="14" t="n">
        <v>0.35</v>
      </c>
      <c r="T13" s="14" t="n">
        <v>0.28</v>
      </c>
      <c r="U13" s="14" t="n">
        <v>0.07000000000000001</v>
      </c>
      <c r="V13" s="14" t="n">
        <v>0.22</v>
      </c>
      <c r="W13" s="14" t="n">
        <v>0.23</v>
      </c>
      <c r="X13" s="14" t="n">
        <v>0.07000000000000001</v>
      </c>
      <c r="Y13" s="14" t="n">
        <v>0.21</v>
      </c>
      <c r="Z13" s="14" t="n">
        <v>0.35</v>
      </c>
      <c r="AA13" s="14" t="n">
        <v>0.45</v>
      </c>
      <c r="AB13" s="14" t="n">
        <v>0.18</v>
      </c>
      <c r="AC13" s="14" t="n">
        <v>0.19</v>
      </c>
      <c r="AD13" s="14" t="n">
        <v>0.19</v>
      </c>
      <c r="AE13" s="14" t="n">
        <v>0.19</v>
      </c>
      <c r="AF13" s="14" t="n">
        <v>0.13</v>
      </c>
    </row>
    <row r="14">
      <c r="A14" s="20" t="n"/>
      <c r="B14" s="11" t="inlineStr">
        <is>
          <t>La classe moyenne inférieure de la société</t>
        </is>
      </c>
      <c r="C14" s="12" t="n">
        <v>4464</v>
      </c>
      <c r="D14" s="12" t="n">
        <v>217</v>
      </c>
      <c r="E14" s="12" t="n">
        <v>139</v>
      </c>
      <c r="F14" s="12" t="n">
        <v>149</v>
      </c>
      <c r="G14" s="12" t="n">
        <v>83</v>
      </c>
      <c r="H14" s="12" t="n">
        <v>255</v>
      </c>
      <c r="I14" s="12" t="n">
        <v>326</v>
      </c>
      <c r="J14" s="12" t="n">
        <v>72</v>
      </c>
      <c r="K14" s="12" t="n">
        <v>187</v>
      </c>
      <c r="L14" s="12" t="n">
        <v>110</v>
      </c>
      <c r="M14" s="12" t="n">
        <v>176</v>
      </c>
      <c r="N14" s="12" t="n">
        <v>130</v>
      </c>
      <c r="O14" s="12" t="n">
        <v>203</v>
      </c>
      <c r="P14" s="12" t="n">
        <v>147</v>
      </c>
      <c r="Q14" s="12" t="n">
        <v>165</v>
      </c>
      <c r="R14" s="12" t="n">
        <v>51</v>
      </c>
      <c r="S14" s="12" t="n">
        <v>80</v>
      </c>
      <c r="T14" s="12" t="n">
        <v>151</v>
      </c>
      <c r="U14" s="12" t="n">
        <v>54</v>
      </c>
      <c r="V14" s="12" t="n">
        <v>249</v>
      </c>
      <c r="W14" s="12" t="n">
        <v>41</v>
      </c>
      <c r="X14" s="12" t="n">
        <v>112</v>
      </c>
      <c r="Y14" s="12" t="n">
        <v>140</v>
      </c>
      <c r="Z14" s="12" t="n">
        <v>148</v>
      </c>
      <c r="AA14" s="12" t="n">
        <v>242</v>
      </c>
      <c r="AB14" s="12" t="n">
        <v>117</v>
      </c>
      <c r="AC14" s="12" t="n">
        <v>121</v>
      </c>
      <c r="AD14" s="12" t="n">
        <v>220</v>
      </c>
      <c r="AE14" s="12" t="n">
        <v>131</v>
      </c>
      <c r="AF14" s="12" t="n">
        <v>124</v>
      </c>
    </row>
    <row r="15">
      <c r="A15" s="20" t="n"/>
      <c r="B15" s="13" t="inlineStr">
        <is>
          <t>The lower middle class of society</t>
        </is>
      </c>
      <c r="C15" s="14" t="n">
        <v>0.17</v>
      </c>
      <c r="D15" s="14" t="n">
        <v>0.21</v>
      </c>
      <c r="E15" s="14" t="n">
        <v>0.14</v>
      </c>
      <c r="F15" s="14" t="n">
        <v>0.14</v>
      </c>
      <c r="G15" s="14" t="n">
        <v>0.08</v>
      </c>
      <c r="H15" s="14" t="n">
        <v>0.21</v>
      </c>
      <c r="I15" s="14" t="n">
        <v>0.22</v>
      </c>
      <c r="J15" s="14" t="n">
        <v>0.25</v>
      </c>
      <c r="K15" s="14" t="n">
        <v>0.19</v>
      </c>
      <c r="L15" s="14" t="n">
        <v>0.11</v>
      </c>
      <c r="M15" s="14" t="n">
        <v>0.17</v>
      </c>
      <c r="N15" s="14" t="n">
        <v>0.13</v>
      </c>
      <c r="O15" s="14" t="n">
        <v>0.2</v>
      </c>
      <c r="P15" s="14" t="n">
        <v>0.15</v>
      </c>
      <c r="Q15" s="14" t="n">
        <v>0.16</v>
      </c>
      <c r="R15" s="14" t="n">
        <v>0.1</v>
      </c>
      <c r="S15" s="14" t="n">
        <v>0.08</v>
      </c>
      <c r="T15" s="14" t="n">
        <v>0.15</v>
      </c>
      <c r="U15" s="14" t="n">
        <v>0.11</v>
      </c>
      <c r="V15" s="14" t="n">
        <v>0.25</v>
      </c>
      <c r="W15" s="14" t="n">
        <v>0.08</v>
      </c>
      <c r="X15" s="14" t="n">
        <v>0.11</v>
      </c>
      <c r="Y15" s="14" t="n">
        <v>0.14</v>
      </c>
      <c r="Z15" s="14" t="n">
        <v>0.15</v>
      </c>
      <c r="AA15" s="14" t="n">
        <v>0.24</v>
      </c>
      <c r="AB15" s="14" t="n">
        <v>0.11</v>
      </c>
      <c r="AC15" s="14" t="n">
        <v>0.12</v>
      </c>
      <c r="AD15" s="14" t="n">
        <v>0.22</v>
      </c>
      <c r="AE15" s="14" t="n">
        <v>0.13</v>
      </c>
      <c r="AF15" s="14" t="n">
        <v>0.12</v>
      </c>
    </row>
    <row r="16">
      <c r="A16" s="20" t="n"/>
      <c r="B16" s="11" t="inlineStr">
        <is>
          <t>La classe moyenne de la société</t>
        </is>
      </c>
      <c r="C16" s="12" t="n">
        <v>13194</v>
      </c>
      <c r="D16" s="12" t="n">
        <v>573</v>
      </c>
      <c r="E16" s="12" t="n">
        <v>380</v>
      </c>
      <c r="F16" s="12" t="n">
        <v>600</v>
      </c>
      <c r="G16" s="12" t="n">
        <v>539</v>
      </c>
      <c r="H16" s="12" t="n">
        <v>641</v>
      </c>
      <c r="I16" s="12" t="n">
        <v>768</v>
      </c>
      <c r="J16" s="12" t="n">
        <v>127</v>
      </c>
      <c r="K16" s="12" t="n">
        <v>401</v>
      </c>
      <c r="L16" s="12" t="n">
        <v>383</v>
      </c>
      <c r="M16" s="12" t="n">
        <v>545</v>
      </c>
      <c r="N16" s="12" t="n">
        <v>391</v>
      </c>
      <c r="O16" s="12" t="n">
        <v>476</v>
      </c>
      <c r="P16" s="12" t="n">
        <v>494</v>
      </c>
      <c r="Q16" s="12" t="n">
        <v>655</v>
      </c>
      <c r="R16" s="12" t="n">
        <v>309</v>
      </c>
      <c r="S16" s="12" t="n">
        <v>473</v>
      </c>
      <c r="T16" s="12" t="n">
        <v>520</v>
      </c>
      <c r="U16" s="12" t="n">
        <v>283</v>
      </c>
      <c r="V16" s="12" t="n">
        <v>505</v>
      </c>
      <c r="W16" s="12" t="n">
        <v>284</v>
      </c>
      <c r="X16" s="12" t="n">
        <v>524</v>
      </c>
      <c r="Y16" s="12" t="n">
        <v>516</v>
      </c>
      <c r="Z16" s="12" t="n">
        <v>432</v>
      </c>
      <c r="AA16" s="12" t="n">
        <v>280</v>
      </c>
      <c r="AB16" s="12" t="n">
        <v>625</v>
      </c>
      <c r="AC16" s="12" t="n">
        <v>634</v>
      </c>
      <c r="AD16" s="12" t="n">
        <v>525</v>
      </c>
      <c r="AE16" s="12" t="n">
        <v>491</v>
      </c>
      <c r="AF16" s="12" t="n">
        <v>549</v>
      </c>
    </row>
    <row r="17">
      <c r="A17" s="20" t="n"/>
      <c r="B17" s="13" t="inlineStr">
        <is>
          <t>The middle class of society</t>
        </is>
      </c>
      <c r="C17" s="14" t="n">
        <v>0.5</v>
      </c>
      <c r="D17" s="14" t="n">
        <v>0.5600000000000001</v>
      </c>
      <c r="E17" s="14" t="n">
        <v>0.38</v>
      </c>
      <c r="F17" s="14" t="n">
        <v>0.5700000000000001</v>
      </c>
      <c r="G17" s="14" t="n">
        <v>0.54</v>
      </c>
      <c r="H17" s="14" t="n">
        <v>0.53</v>
      </c>
      <c r="I17" s="14" t="n">
        <v>0.51</v>
      </c>
      <c r="J17" s="14" t="n">
        <v>0.43</v>
      </c>
      <c r="K17" s="14" t="n">
        <v>0.4</v>
      </c>
      <c r="L17" s="14" t="n">
        <v>0.38</v>
      </c>
      <c r="M17" s="14" t="n">
        <v>0.54</v>
      </c>
      <c r="N17" s="14" t="n">
        <v>0.39</v>
      </c>
      <c r="O17" s="14" t="n">
        <v>0.47</v>
      </c>
      <c r="P17" s="14" t="n">
        <v>0.49</v>
      </c>
      <c r="Q17" s="14" t="n">
        <v>0.64</v>
      </c>
      <c r="R17" s="14" t="n">
        <v>0.61</v>
      </c>
      <c r="S17" s="14" t="n">
        <v>0.47</v>
      </c>
      <c r="T17" s="14" t="n">
        <v>0.51</v>
      </c>
      <c r="U17" s="14" t="n">
        <v>0.5600000000000001</v>
      </c>
      <c r="V17" s="14" t="n">
        <v>0.5</v>
      </c>
      <c r="W17" s="14" t="n">
        <v>0.5600000000000001</v>
      </c>
      <c r="X17" s="14" t="n">
        <v>0.51</v>
      </c>
      <c r="Y17" s="14" t="n">
        <v>0.52</v>
      </c>
      <c r="Z17" s="14" t="n">
        <v>0.42</v>
      </c>
      <c r="AA17" s="14" t="n">
        <v>0.27</v>
      </c>
      <c r="AB17" s="14" t="n">
        <v>0.6</v>
      </c>
      <c r="AC17" s="14" t="n">
        <v>0.63</v>
      </c>
      <c r="AD17" s="14" t="n">
        <v>0.53</v>
      </c>
      <c r="AE17" s="14" t="n">
        <v>0.48</v>
      </c>
      <c r="AF17" s="14" t="n">
        <v>0.53</v>
      </c>
    </row>
    <row r="18">
      <c r="A18" s="20" t="n"/>
      <c r="B18" s="11" t="inlineStr">
        <is>
          <t>La classe moyenne supérieure de la société</t>
        </is>
      </c>
      <c r="C18" s="12" t="n">
        <v>2237</v>
      </c>
      <c r="D18" s="12" t="n">
        <v>81</v>
      </c>
      <c r="E18" s="12" t="n">
        <v>22</v>
      </c>
      <c r="F18" s="12" t="n">
        <v>77</v>
      </c>
      <c r="G18" s="12" t="n">
        <v>234</v>
      </c>
      <c r="H18" s="12" t="n">
        <v>134</v>
      </c>
      <c r="I18" s="12" t="n">
        <v>143</v>
      </c>
      <c r="J18" s="12" t="n">
        <v>9</v>
      </c>
      <c r="K18" s="12" t="n">
        <v>44</v>
      </c>
      <c r="L18" s="12" t="n">
        <v>39</v>
      </c>
      <c r="M18" s="12" t="n">
        <v>17</v>
      </c>
      <c r="N18" s="12" t="n">
        <v>37</v>
      </c>
      <c r="O18" s="12" t="n">
        <v>84</v>
      </c>
      <c r="P18" s="12" t="n">
        <v>76</v>
      </c>
      <c r="Q18" s="12" t="n">
        <v>97</v>
      </c>
      <c r="R18" s="12" t="n">
        <v>17</v>
      </c>
      <c r="S18" s="12" t="n">
        <v>27</v>
      </c>
      <c r="T18" s="12" t="n">
        <v>42</v>
      </c>
      <c r="U18" s="12" t="n">
        <v>125</v>
      </c>
      <c r="V18" s="12" t="n">
        <v>29</v>
      </c>
      <c r="W18" s="12" t="n">
        <v>60</v>
      </c>
      <c r="X18" s="12" t="n">
        <v>278</v>
      </c>
      <c r="Y18" s="12" t="n">
        <v>85</v>
      </c>
      <c r="Z18" s="12" t="n">
        <v>42</v>
      </c>
      <c r="AA18" s="12" t="n">
        <v>35</v>
      </c>
      <c r="AB18" s="12" t="n">
        <v>100</v>
      </c>
      <c r="AC18" s="12" t="n">
        <v>52</v>
      </c>
      <c r="AD18" s="12" t="n">
        <v>64</v>
      </c>
      <c r="AE18" s="12" t="n">
        <v>124</v>
      </c>
      <c r="AF18" s="12" t="n">
        <v>200</v>
      </c>
    </row>
    <row r="19">
      <c r="A19" s="20" t="n"/>
      <c r="B19" s="13" t="inlineStr">
        <is>
          <t>The upper middle class of society</t>
        </is>
      </c>
      <c r="C19" s="14" t="n">
        <v>0.08</v>
      </c>
      <c r="D19" s="14" t="n">
        <v>0.08</v>
      </c>
      <c r="E19" s="14" t="n">
        <v>0.02</v>
      </c>
      <c r="F19" s="14" t="n">
        <v>0.07000000000000001</v>
      </c>
      <c r="G19" s="14" t="n">
        <v>0.23</v>
      </c>
      <c r="H19" s="14" t="n">
        <v>0.11</v>
      </c>
      <c r="I19" s="14" t="n">
        <v>0.1</v>
      </c>
      <c r="J19" s="14" t="n">
        <v>0.03</v>
      </c>
      <c r="K19" s="14" t="n">
        <v>0.04</v>
      </c>
      <c r="L19" s="14" t="n">
        <v>0.04</v>
      </c>
      <c r="M19" s="14" t="n">
        <v>0.02</v>
      </c>
      <c r="N19" s="14" t="n">
        <v>0.04</v>
      </c>
      <c r="O19" s="14" t="n">
        <v>0.08</v>
      </c>
      <c r="P19" s="14" t="n">
        <v>0.07000000000000001</v>
      </c>
      <c r="Q19" s="14" t="n">
        <v>0.09</v>
      </c>
      <c r="R19" s="14" t="n">
        <v>0.04</v>
      </c>
      <c r="S19" s="14" t="n">
        <v>0.03</v>
      </c>
      <c r="T19" s="14" t="n">
        <v>0.04</v>
      </c>
      <c r="U19" s="14" t="n">
        <v>0.24</v>
      </c>
      <c r="V19" s="14" t="n">
        <v>0.03</v>
      </c>
      <c r="W19" s="14" t="n">
        <v>0.12</v>
      </c>
      <c r="X19" s="14" t="n">
        <v>0.27</v>
      </c>
      <c r="Y19" s="14" t="n">
        <v>0.08</v>
      </c>
      <c r="Z19" s="14" t="n">
        <v>0.04</v>
      </c>
      <c r="AA19" s="14" t="n">
        <v>0.04</v>
      </c>
      <c r="AB19" s="14" t="n">
        <v>0.1</v>
      </c>
      <c r="AC19" s="14" t="n">
        <v>0.05</v>
      </c>
      <c r="AD19" s="14" t="n">
        <v>0.06</v>
      </c>
      <c r="AE19" s="14" t="n">
        <v>0.12</v>
      </c>
      <c r="AF19" s="14" t="n">
        <v>0.19</v>
      </c>
    </row>
    <row r="20">
      <c r="A20" s="20" t="n"/>
      <c r="B20" s="11" t="inlineStr">
        <is>
          <t>La classe la plus élevée de la société</t>
        </is>
      </c>
      <c r="C20" s="12" t="n">
        <v>199</v>
      </c>
      <c r="D20" s="12" t="n">
        <v>11</v>
      </c>
      <c r="E20" s="12" t="n">
        <v>1</v>
      </c>
      <c r="F20" s="12" t="n">
        <v>17</v>
      </c>
      <c r="G20" s="12" t="n">
        <v>19</v>
      </c>
      <c r="H20" s="12" t="n">
        <v>4</v>
      </c>
      <c r="I20" s="12" t="n">
        <v>4</v>
      </c>
      <c r="J20" s="12" t="n">
        <v>0</v>
      </c>
      <c r="K20" s="12" t="n">
        <v>5</v>
      </c>
      <c r="L20" s="12" t="n">
        <v>3</v>
      </c>
      <c r="M20" s="12" t="n">
        <v>1</v>
      </c>
      <c r="N20" s="12" t="n">
        <v>1</v>
      </c>
      <c r="O20" s="12" t="n">
        <v>6</v>
      </c>
      <c r="P20" s="12" t="n">
        <v>9</v>
      </c>
      <c r="Q20" s="12" t="n">
        <v>5</v>
      </c>
      <c r="R20" s="12" t="n">
        <v>0</v>
      </c>
      <c r="S20" s="12" t="n">
        <v>16</v>
      </c>
      <c r="T20" s="12" t="n">
        <v>6</v>
      </c>
      <c r="U20" s="12" t="n">
        <v>8</v>
      </c>
      <c r="V20" s="12" t="n">
        <v>3</v>
      </c>
      <c r="W20" s="12" t="n">
        <v>1</v>
      </c>
      <c r="X20" s="12" t="n">
        <v>29</v>
      </c>
      <c r="Y20" s="12" t="n">
        <v>3</v>
      </c>
      <c r="Z20" s="12" t="n">
        <v>24</v>
      </c>
      <c r="AA20" s="12" t="n">
        <v>3</v>
      </c>
      <c r="AB20" s="12" t="n">
        <v>10</v>
      </c>
      <c r="AC20" s="12" t="n">
        <v>4</v>
      </c>
      <c r="AD20" s="12" t="n">
        <v>1</v>
      </c>
      <c r="AE20" s="12" t="n">
        <v>18</v>
      </c>
      <c r="AF20" s="12" t="n">
        <v>11</v>
      </c>
    </row>
    <row r="21">
      <c r="A21" s="20" t="n"/>
      <c r="B21" s="13" t="inlineStr">
        <is>
          <t>The higher class of society</t>
        </is>
      </c>
      <c r="C21" s="14" t="n">
        <v>0.01</v>
      </c>
      <c r="D21" s="14" t="n">
        <v>0.01</v>
      </c>
      <c r="E21" s="15" t="inlineStr">
        <is>
          <t>-</t>
        </is>
      </c>
      <c r="F21" s="14" t="n">
        <v>0.02</v>
      </c>
      <c r="G21" s="14" t="n">
        <v>0.02</v>
      </c>
      <c r="H21" s="15" t="inlineStr">
        <is>
          <t>-</t>
        </is>
      </c>
      <c r="I21" s="15" t="inlineStr">
        <is>
          <t>-</t>
        </is>
      </c>
      <c r="J21" s="15" t="inlineStr">
        <is>
          <t>-</t>
        </is>
      </c>
      <c r="K21" s="15" t="inlineStr">
        <is>
          <t>-</t>
        </is>
      </c>
      <c r="L21" s="15" t="inlineStr">
        <is>
          <t>-</t>
        </is>
      </c>
      <c r="M21" s="15" t="inlineStr">
        <is>
          <t>-</t>
        </is>
      </c>
      <c r="N21" s="15" t="inlineStr">
        <is>
          <t>-</t>
        </is>
      </c>
      <c r="O21" s="14" t="n">
        <v>0.01</v>
      </c>
      <c r="P21" s="14" t="n">
        <v>0.01</v>
      </c>
      <c r="Q21" s="15" t="inlineStr">
        <is>
          <t>-</t>
        </is>
      </c>
      <c r="R21" s="15" t="inlineStr">
        <is>
          <t>-</t>
        </is>
      </c>
      <c r="S21" s="14" t="n">
        <v>0.02</v>
      </c>
      <c r="T21" s="14" t="n">
        <v>0.01</v>
      </c>
      <c r="U21" s="14" t="n">
        <v>0.02</v>
      </c>
      <c r="V21" s="15" t="inlineStr">
        <is>
          <t>-</t>
        </is>
      </c>
      <c r="W21" s="14" t="n">
        <v>0.01</v>
      </c>
      <c r="X21" s="14" t="n">
        <v>0.03</v>
      </c>
      <c r="Y21" s="15" t="inlineStr">
        <is>
          <t>-</t>
        </is>
      </c>
      <c r="Z21" s="14" t="n">
        <v>0.03</v>
      </c>
      <c r="AA21" s="15" t="inlineStr">
        <is>
          <t>-</t>
        </is>
      </c>
      <c r="AB21" s="14" t="n">
        <v>0.01</v>
      </c>
      <c r="AC21" s="15" t="inlineStr">
        <is>
          <t>-</t>
        </is>
      </c>
      <c r="AD21" s="15" t="inlineStr">
        <is>
          <t>-</t>
        </is>
      </c>
      <c r="AE21" s="14" t="n">
        <v>0.02</v>
      </c>
      <c r="AF21" s="14" t="n">
        <v>0.01</v>
      </c>
    </row>
    <row r="22">
      <c r="A22" s="20" t="n"/>
      <c r="B22" s="11" t="inlineStr">
        <is>
          <t>Autre (SPONTANÉ)</t>
        </is>
      </c>
      <c r="C22" s="12" t="n">
        <v>31</v>
      </c>
      <c r="D22" s="12" t="n">
        <v>0</v>
      </c>
      <c r="E22" s="12" t="n">
        <v>0</v>
      </c>
      <c r="F22" s="12" t="n">
        <v>0</v>
      </c>
      <c r="G22" s="12" t="n">
        <v>2</v>
      </c>
      <c r="H22" s="12" t="n">
        <v>0</v>
      </c>
      <c r="I22" s="12" t="n">
        <v>0</v>
      </c>
      <c r="J22" s="12" t="n">
        <v>0</v>
      </c>
      <c r="K22" s="12" t="n">
        <v>18</v>
      </c>
      <c r="L22" s="12" t="n">
        <v>0</v>
      </c>
      <c r="M22" s="12" t="n">
        <v>0</v>
      </c>
      <c r="N22" s="12" t="n">
        <v>4</v>
      </c>
      <c r="O22" s="12" t="n">
        <v>2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8</v>
      </c>
      <c r="Z22" s="12" t="n">
        <v>0</v>
      </c>
      <c r="AA22" s="12" t="n">
        <v>1</v>
      </c>
      <c r="AB22" s="12" t="n">
        <v>2</v>
      </c>
      <c r="AC22" s="12" t="n">
        <v>0</v>
      </c>
      <c r="AD22" s="12" t="n">
        <v>0</v>
      </c>
      <c r="AE22" s="12" t="n">
        <v>2</v>
      </c>
      <c r="AF22" s="12" t="n">
        <v>3</v>
      </c>
    </row>
    <row r="23">
      <c r="A23" s="20" t="n"/>
      <c r="B23" s="13" t="inlineStr">
        <is>
          <t>Other (SPONTANEOUS)</t>
        </is>
      </c>
      <c r="C23" s="15" t="inlineStr">
        <is>
          <t>-</t>
        </is>
      </c>
      <c r="D23" s="15" t="inlineStr">
        <is>
          <t>-</t>
        </is>
      </c>
      <c r="E23" s="15" t="inlineStr">
        <is>
          <t>-</t>
        </is>
      </c>
      <c r="F23" s="15" t="inlineStr">
        <is>
          <t>-</t>
        </is>
      </c>
      <c r="G23" s="15" t="inlineStr">
        <is>
          <t>-</t>
        </is>
      </c>
      <c r="H23" s="15" t="inlineStr">
        <is>
          <t>-</t>
        </is>
      </c>
      <c r="I23" s="15" t="inlineStr">
        <is>
          <t>-</t>
        </is>
      </c>
      <c r="J23" s="15" t="inlineStr">
        <is>
          <t>-</t>
        </is>
      </c>
      <c r="K23" s="14" t="n">
        <v>0.02</v>
      </c>
      <c r="L23" s="15" t="inlineStr">
        <is>
          <t>-</t>
        </is>
      </c>
      <c r="M23" s="15" t="inlineStr">
        <is>
          <t>-</t>
        </is>
      </c>
      <c r="N23" s="15" t="inlineStr">
        <is>
          <t>-</t>
        </is>
      </c>
      <c r="O23" s="15" t="inlineStr">
        <is>
          <t>-</t>
        </is>
      </c>
      <c r="P23" s="15" t="inlineStr">
        <is>
          <t>-</t>
        </is>
      </c>
      <c r="Q23" s="15" t="inlineStr">
        <is>
          <t>-</t>
        </is>
      </c>
      <c r="R23" s="15" t="inlineStr">
        <is>
          <t>-</t>
        </is>
      </c>
      <c r="S23" s="15" t="inlineStr">
        <is>
          <t>-</t>
        </is>
      </c>
      <c r="T23" s="15" t="inlineStr">
        <is>
          <t>-</t>
        </is>
      </c>
      <c r="U23" s="15" t="inlineStr">
        <is>
          <t>-</t>
        </is>
      </c>
      <c r="V23" s="15" t="inlineStr">
        <is>
          <t>-</t>
        </is>
      </c>
      <c r="W23" s="15" t="inlineStr">
        <is>
          <t>-</t>
        </is>
      </c>
      <c r="X23" s="15" t="inlineStr">
        <is>
          <t>-</t>
        </is>
      </c>
      <c r="Y23" s="14" t="n">
        <v>0.01</v>
      </c>
      <c r="Z23" s="15" t="inlineStr">
        <is>
          <t>-</t>
        </is>
      </c>
      <c r="AA23" s="15" t="inlineStr">
        <is>
          <t>-</t>
        </is>
      </c>
      <c r="AB23" s="15" t="inlineStr">
        <is>
          <t>-</t>
        </is>
      </c>
      <c r="AC23" s="15" t="inlineStr">
        <is>
          <t>-</t>
        </is>
      </c>
      <c r="AD23" s="15" t="inlineStr">
        <is>
          <t>-</t>
        </is>
      </c>
      <c r="AE23" s="15" t="inlineStr">
        <is>
          <t>-</t>
        </is>
      </c>
      <c r="AF23" s="14" t="n">
        <v>0.01</v>
      </c>
    </row>
    <row r="24">
      <c r="A24" s="20" t="n"/>
      <c r="B24" s="11" t="inlineStr">
        <is>
          <t>Refus (SPONTANÉ)</t>
        </is>
      </c>
      <c r="C24" s="12" t="n">
        <v>40</v>
      </c>
      <c r="D24" s="12" t="n">
        <v>0</v>
      </c>
      <c r="E24" s="12" t="n">
        <v>4</v>
      </c>
      <c r="F24" s="12" t="n">
        <v>1</v>
      </c>
      <c r="G24" s="12" t="n">
        <v>1</v>
      </c>
      <c r="H24" s="12" t="n">
        <v>5</v>
      </c>
      <c r="I24" s="12" t="n">
        <v>5</v>
      </c>
      <c r="J24" s="12" t="n">
        <v>0</v>
      </c>
      <c r="K24" s="12" t="n">
        <v>11</v>
      </c>
      <c r="L24" s="12" t="n">
        <v>3</v>
      </c>
      <c r="M24" s="12" t="n">
        <v>1</v>
      </c>
      <c r="N24" s="12" t="n">
        <v>0</v>
      </c>
      <c r="O24" s="12" t="n">
        <v>0</v>
      </c>
      <c r="P24" s="12" t="n">
        <v>0</v>
      </c>
      <c r="Q24" s="12" t="n">
        <v>2</v>
      </c>
      <c r="R24" s="12" t="n">
        <v>1</v>
      </c>
      <c r="S24" s="12" t="n">
        <v>2</v>
      </c>
      <c r="T24" s="12" t="n">
        <v>1</v>
      </c>
      <c r="U24" s="12" t="n">
        <v>1</v>
      </c>
      <c r="V24" s="12" t="n">
        <v>2</v>
      </c>
      <c r="W24" s="12" t="n">
        <v>0</v>
      </c>
      <c r="X24" s="12" t="n">
        <v>0</v>
      </c>
      <c r="Y24" s="12" t="n">
        <v>15</v>
      </c>
      <c r="Z24" s="12" t="n">
        <v>0</v>
      </c>
      <c r="AA24" s="12" t="n">
        <v>0</v>
      </c>
      <c r="AB24" s="12" t="n">
        <v>0</v>
      </c>
      <c r="AC24" s="12" t="n">
        <v>1</v>
      </c>
      <c r="AD24" s="12" t="n">
        <v>3</v>
      </c>
      <c r="AE24" s="12" t="n">
        <v>9</v>
      </c>
      <c r="AF24" s="12" t="n">
        <v>0</v>
      </c>
    </row>
    <row r="25">
      <c r="A25" s="20" t="n"/>
      <c r="B25" s="13" t="inlineStr">
        <is>
          <t>Refusal (SPONTANEOUS)</t>
        </is>
      </c>
      <c r="C25" s="15" t="inlineStr">
        <is>
          <t>-</t>
        </is>
      </c>
      <c r="D25" s="15" t="inlineStr">
        <is>
          <t>-</t>
        </is>
      </c>
      <c r="E25" s="15" t="inlineStr">
        <is>
          <t>-</t>
        </is>
      </c>
      <c r="F25" s="15" t="inlineStr">
        <is>
          <t>-</t>
        </is>
      </c>
      <c r="G25" s="15" t="inlineStr">
        <is>
          <t>-</t>
        </is>
      </c>
      <c r="H25" s="15" t="inlineStr">
        <is>
          <t>-</t>
        </is>
      </c>
      <c r="I25" s="15" t="inlineStr">
        <is>
          <t>-</t>
        </is>
      </c>
      <c r="J25" s="15" t="inlineStr">
        <is>
          <t>-</t>
        </is>
      </c>
      <c r="K25" s="14" t="n">
        <v>0.01</v>
      </c>
      <c r="L25" s="15" t="inlineStr">
        <is>
          <t>-</t>
        </is>
      </c>
      <c r="M25" s="15" t="inlineStr">
        <is>
          <t>-</t>
        </is>
      </c>
      <c r="N25" s="15" t="inlineStr">
        <is>
          <t>-</t>
        </is>
      </c>
      <c r="O25" s="15" t="inlineStr">
        <is>
          <t>-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15" t="inlineStr">
        <is>
          <t>-</t>
        </is>
      </c>
      <c r="T25" s="15" t="inlineStr">
        <is>
          <t>-</t>
        </is>
      </c>
      <c r="U25" s="15" t="inlineStr">
        <is>
          <t>-</t>
        </is>
      </c>
      <c r="V25" s="15" t="inlineStr">
        <is>
          <t>-</t>
        </is>
      </c>
      <c r="W25" s="15" t="inlineStr">
        <is>
          <t>-</t>
        </is>
      </c>
      <c r="X25" s="15" t="inlineStr">
        <is>
          <t>-</t>
        </is>
      </c>
      <c r="Y25" s="14" t="n">
        <v>0.01</v>
      </c>
      <c r="Z25" s="15" t="inlineStr">
        <is>
          <t>-</t>
        </is>
      </c>
      <c r="AA25" s="15" t="inlineStr">
        <is>
          <t>-</t>
        </is>
      </c>
      <c r="AB25" s="15" t="inlineStr">
        <is>
          <t>-</t>
        </is>
      </c>
      <c r="AC25" s="15" t="inlineStr">
        <is>
          <t>-</t>
        </is>
      </c>
      <c r="AD25" s="15" t="inlineStr">
        <is>
          <t>-</t>
        </is>
      </c>
      <c r="AE25" s="14" t="n">
        <v>0.01</v>
      </c>
      <c r="AF25" s="15" t="inlineStr">
        <is>
          <t>-</t>
        </is>
      </c>
    </row>
    <row r="26">
      <c r="A26" s="20" t="n"/>
      <c r="B26" s="11" t="inlineStr">
        <is>
          <t>Aucun (SPONTANÉ)</t>
        </is>
      </c>
      <c r="C26" s="12" t="n">
        <v>60</v>
      </c>
      <c r="D26" s="12" t="n">
        <v>0</v>
      </c>
      <c r="E26" s="12" t="n">
        <v>10</v>
      </c>
      <c r="F26" s="12" t="n">
        <v>0</v>
      </c>
      <c r="G26" s="12" t="n">
        <v>1</v>
      </c>
      <c r="H26" s="12" t="n">
        <v>6</v>
      </c>
      <c r="I26" s="12" t="n">
        <v>9</v>
      </c>
      <c r="J26" s="12" t="n">
        <v>3</v>
      </c>
      <c r="K26" s="12" t="n">
        <v>30</v>
      </c>
      <c r="L26" s="12" t="n">
        <v>4</v>
      </c>
      <c r="M26" s="12" t="n">
        <v>5</v>
      </c>
      <c r="N26" s="12" t="n">
        <v>1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4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2</v>
      </c>
      <c r="Y26" s="12" t="n">
        <v>19</v>
      </c>
      <c r="Z26" s="12" t="n">
        <v>1</v>
      </c>
      <c r="AA26" s="12" t="n">
        <v>1</v>
      </c>
      <c r="AB26" s="12" t="n">
        <v>0</v>
      </c>
      <c r="AC26" s="12" t="n">
        <v>0</v>
      </c>
      <c r="AD26" s="12" t="n">
        <v>0</v>
      </c>
      <c r="AE26" s="12" t="n">
        <v>4</v>
      </c>
      <c r="AF26" s="12" t="n">
        <v>1</v>
      </c>
    </row>
    <row r="27">
      <c r="A27" s="20" t="n"/>
      <c r="B27" s="13" t="inlineStr">
        <is>
          <t>None (SPONTANEOUS)</t>
        </is>
      </c>
      <c r="C27" s="15" t="inlineStr">
        <is>
          <t>-</t>
        </is>
      </c>
      <c r="D27" s="15" t="inlineStr">
        <is>
          <t>-</t>
        </is>
      </c>
      <c r="E27" s="14" t="n">
        <v>0.01</v>
      </c>
      <c r="F27" s="15" t="inlineStr">
        <is>
          <t>-</t>
        </is>
      </c>
      <c r="G27" s="15" t="inlineStr">
        <is>
          <t>-</t>
        </is>
      </c>
      <c r="H27" s="14" t="n">
        <v>0.01</v>
      </c>
      <c r="I27" s="14" t="n">
        <v>0.01</v>
      </c>
      <c r="J27" s="14" t="n">
        <v>0.01</v>
      </c>
      <c r="K27" s="14" t="n">
        <v>0.03</v>
      </c>
      <c r="L27" s="14" t="n">
        <v>0.01</v>
      </c>
      <c r="M27" s="14" t="n">
        <v>0.01</v>
      </c>
      <c r="N27" s="15" t="inlineStr">
        <is>
          <t>-</t>
        </is>
      </c>
      <c r="O27" s="15" t="inlineStr">
        <is>
          <t>-</t>
        </is>
      </c>
      <c r="P27" s="15" t="inlineStr">
        <is>
          <t>-</t>
        </is>
      </c>
      <c r="Q27" s="15" t="inlineStr">
        <is>
          <t>-</t>
        </is>
      </c>
      <c r="R27" s="15" t="inlineStr">
        <is>
          <t>-</t>
        </is>
      </c>
      <c r="S27" s="15" t="inlineStr">
        <is>
          <t>-</t>
        </is>
      </c>
      <c r="T27" s="15" t="inlineStr">
        <is>
          <t>-</t>
        </is>
      </c>
      <c r="U27" s="15" t="inlineStr">
        <is>
          <t>-</t>
        </is>
      </c>
      <c r="V27" s="15" t="inlineStr">
        <is>
          <t>-</t>
        </is>
      </c>
      <c r="W27" s="15" t="inlineStr">
        <is>
          <t>-</t>
        </is>
      </c>
      <c r="X27" s="15" t="inlineStr">
        <is>
          <t>-</t>
        </is>
      </c>
      <c r="Y27" s="14" t="n">
        <v>0.02</v>
      </c>
      <c r="Z27" s="15" t="inlineStr">
        <is>
          <t>-</t>
        </is>
      </c>
      <c r="AA27" s="15" t="inlineStr">
        <is>
          <t>-</t>
        </is>
      </c>
      <c r="AB27" s="15" t="inlineStr">
        <is>
          <t>-</t>
        </is>
      </c>
      <c r="AC27" s="15" t="inlineStr">
        <is>
          <t>-</t>
        </is>
      </c>
      <c r="AD27" s="15" t="inlineStr">
        <is>
          <t>-</t>
        </is>
      </c>
      <c r="AE27" s="14" t="n">
        <v>0.01</v>
      </c>
      <c r="AF27" s="15" t="inlineStr">
        <is>
          <t>-</t>
        </is>
      </c>
    </row>
    <row r="28">
      <c r="A28" s="20" t="n"/>
      <c r="B28" s="11" t="inlineStr">
        <is>
          <t>Ne sait pas</t>
        </is>
      </c>
      <c r="C28" s="12" t="n">
        <v>191</v>
      </c>
      <c r="D28" s="12" t="n">
        <v>4</v>
      </c>
      <c r="E28" s="12" t="n">
        <v>35</v>
      </c>
      <c r="F28" s="12" t="n">
        <v>1</v>
      </c>
      <c r="G28" s="12" t="n">
        <v>14</v>
      </c>
      <c r="H28" s="12" t="n">
        <v>5</v>
      </c>
      <c r="I28" s="12" t="n">
        <v>5</v>
      </c>
      <c r="J28" s="12" t="n">
        <v>1</v>
      </c>
      <c r="K28" s="12" t="n">
        <v>75</v>
      </c>
      <c r="L28" s="12" t="n">
        <v>41</v>
      </c>
      <c r="M28" s="12" t="n">
        <v>12</v>
      </c>
      <c r="N28" s="12" t="n">
        <v>3</v>
      </c>
      <c r="O28" s="12" t="n">
        <v>7</v>
      </c>
      <c r="P28" s="12" t="n">
        <v>0</v>
      </c>
      <c r="Q28" s="12" t="n">
        <v>6</v>
      </c>
      <c r="R28" s="12" t="n">
        <v>1</v>
      </c>
      <c r="S28" s="12" t="n">
        <v>49</v>
      </c>
      <c r="T28" s="12" t="n">
        <v>9</v>
      </c>
      <c r="U28" s="12" t="n">
        <v>0</v>
      </c>
      <c r="V28" s="12" t="n">
        <v>3</v>
      </c>
      <c r="W28" s="12" t="n">
        <v>1</v>
      </c>
      <c r="X28" s="12" t="n">
        <v>8</v>
      </c>
      <c r="Y28" s="12" t="n">
        <v>8</v>
      </c>
      <c r="Z28" s="12" t="n">
        <v>12</v>
      </c>
      <c r="AA28" s="12" t="n">
        <v>3</v>
      </c>
      <c r="AB28" s="12" t="n">
        <v>2</v>
      </c>
      <c r="AC28" s="12" t="n">
        <v>6</v>
      </c>
      <c r="AD28" s="12" t="n">
        <v>1</v>
      </c>
      <c r="AE28" s="12" t="n">
        <v>39</v>
      </c>
      <c r="AF28" s="12" t="n">
        <v>13</v>
      </c>
    </row>
    <row r="29">
      <c r="A29" s="23" t="n"/>
      <c r="B29" s="13" t="inlineStr">
        <is>
          <t>Don't know</t>
        </is>
      </c>
      <c r="C29" s="14" t="n">
        <v>0.01</v>
      </c>
      <c r="D29" s="14" t="n">
        <v>0.01</v>
      </c>
      <c r="E29" s="14" t="n">
        <v>0.03</v>
      </c>
      <c r="F29" s="15" t="inlineStr">
        <is>
          <t>-</t>
        </is>
      </c>
      <c r="G29" s="14" t="n">
        <v>0.02</v>
      </c>
      <c r="H29" s="15" t="inlineStr">
        <is>
          <t>-</t>
        </is>
      </c>
      <c r="I29" s="15" t="inlineStr">
        <is>
          <t>-</t>
        </is>
      </c>
      <c r="J29" s="15" t="inlineStr">
        <is>
          <t>-</t>
        </is>
      </c>
      <c r="K29" s="14" t="n">
        <v>0.07000000000000001</v>
      </c>
      <c r="L29" s="14" t="n">
        <v>0.04</v>
      </c>
      <c r="M29" s="14" t="n">
        <v>0.01</v>
      </c>
      <c r="N29" s="15" t="inlineStr">
        <is>
          <t>-</t>
        </is>
      </c>
      <c r="O29" s="14" t="n">
        <v>0.01</v>
      </c>
      <c r="P29" s="15" t="inlineStr">
        <is>
          <t>-</t>
        </is>
      </c>
      <c r="Q29" s="14" t="n">
        <v>0.01</v>
      </c>
      <c r="R29" s="15" t="inlineStr">
        <is>
          <t>-</t>
        </is>
      </c>
      <c r="S29" s="14" t="n">
        <v>0.05</v>
      </c>
      <c r="T29" s="14" t="n">
        <v>0.01</v>
      </c>
      <c r="U29" s="15" t="inlineStr">
        <is>
          <t>-</t>
        </is>
      </c>
      <c r="V29" s="15" t="inlineStr">
        <is>
          <t>-</t>
        </is>
      </c>
      <c r="W29" s="15" t="inlineStr">
        <is>
          <t>-</t>
        </is>
      </c>
      <c r="X29" s="14" t="n">
        <v>0.01</v>
      </c>
      <c r="Y29" s="14" t="n">
        <v>0.01</v>
      </c>
      <c r="Z29" s="14" t="n">
        <v>0.01</v>
      </c>
      <c r="AA29" s="15" t="inlineStr">
        <is>
          <t>-</t>
        </is>
      </c>
      <c r="AB29" s="15" t="inlineStr">
        <is>
          <t>-</t>
        </is>
      </c>
      <c r="AC29" s="14" t="n">
        <v>0.01</v>
      </c>
      <c r="AD29" s="15" t="inlineStr">
        <is>
          <t>-</t>
        </is>
      </c>
      <c r="AE29" s="14" t="n">
        <v>0.04</v>
      </c>
      <c r="AF29" s="14" t="n">
        <v>0.01</v>
      </c>
    </row>
  </sheetData>
  <mergeCells count="9">
    <mergeCell ref="B4:F4"/>
    <mergeCell ref="H3:L3"/>
    <mergeCell ref="C8:AF8"/>
    <mergeCell ref="A10:A29"/>
    <mergeCell ref="B5:F5"/>
    <mergeCell ref="B3:F3"/>
    <mergeCell ref="H5:L5"/>
    <mergeCell ref="B10:B11"/>
    <mergeCell ref="H4:L4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24" customHeight="1" s="18">
      <c r="B3" s="21" t="inlineStr">
        <is>
          <t>D70. D’une façon générale, êtes-vous très satisfait(e), plutôt satisfait(e), plutôt pas satisfait(e) ou pas du tout satisfait(e) de la vie que vous menez ?</t>
        </is>
      </c>
      <c r="H3" s="21" t="inlineStr">
        <is>
          <t>D70. On the whole, are you very satisfied, fairly satisfied, not very satisfied or not at all satisfied with the life you lead?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HYPERLINK("#Content!A66","&lt;&lt;Back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Très satisfait(e)</t>
        </is>
      </c>
      <c r="C12" s="12" t="n">
        <v>5231</v>
      </c>
      <c r="D12" s="12" t="n">
        <v>194</v>
      </c>
      <c r="E12" s="12" t="n">
        <v>88</v>
      </c>
      <c r="F12" s="12" t="n">
        <v>169</v>
      </c>
      <c r="G12" s="12" t="n">
        <v>660</v>
      </c>
      <c r="H12" s="12" t="n">
        <v>282</v>
      </c>
      <c r="I12" s="12" t="n">
        <v>315</v>
      </c>
      <c r="J12" s="12" t="n">
        <v>32</v>
      </c>
      <c r="K12" s="12" t="n">
        <v>116</v>
      </c>
      <c r="L12" s="12" t="n">
        <v>331</v>
      </c>
      <c r="M12" s="12" t="n">
        <v>119</v>
      </c>
      <c r="N12" s="12" t="n">
        <v>277</v>
      </c>
      <c r="O12" s="12" t="n">
        <v>183</v>
      </c>
      <c r="P12" s="12" t="n">
        <v>137</v>
      </c>
      <c r="Q12" s="12" t="n">
        <v>65</v>
      </c>
      <c r="R12" s="12" t="n">
        <v>92</v>
      </c>
      <c r="S12" s="12" t="n">
        <v>119</v>
      </c>
      <c r="T12" s="12" t="n">
        <v>208</v>
      </c>
      <c r="U12" s="12" t="n">
        <v>179</v>
      </c>
      <c r="V12" s="12" t="n">
        <v>71</v>
      </c>
      <c r="W12" s="12" t="n">
        <v>114</v>
      </c>
      <c r="X12" s="12" t="n">
        <v>435</v>
      </c>
      <c r="Y12" s="12" t="n">
        <v>368</v>
      </c>
      <c r="Z12" s="12" t="n">
        <v>172</v>
      </c>
      <c r="AA12" s="12" t="n">
        <v>50</v>
      </c>
      <c r="AB12" s="12" t="n">
        <v>104</v>
      </c>
      <c r="AC12" s="12" t="n">
        <v>329</v>
      </c>
      <c r="AD12" s="12" t="n">
        <v>221</v>
      </c>
      <c r="AE12" s="12" t="n">
        <v>380</v>
      </c>
      <c r="AF12" s="12" t="n">
        <v>459</v>
      </c>
    </row>
    <row r="13">
      <c r="A13" s="20" t="n"/>
      <c r="B13" s="13" t="inlineStr">
        <is>
          <t>Very satisfied</t>
        </is>
      </c>
      <c r="C13" s="14" t="n">
        <v>0.2</v>
      </c>
      <c r="D13" s="14" t="n">
        <v>0.19</v>
      </c>
      <c r="E13" s="14" t="n">
        <v>0.09</v>
      </c>
      <c r="F13" s="14" t="n">
        <v>0.16</v>
      </c>
      <c r="G13" s="14" t="n">
        <v>0.66</v>
      </c>
      <c r="H13" s="14" t="n">
        <v>0.23</v>
      </c>
      <c r="I13" s="14" t="n">
        <v>0.21</v>
      </c>
      <c r="J13" s="14" t="n">
        <v>0.11</v>
      </c>
      <c r="K13" s="14" t="n">
        <v>0.12</v>
      </c>
      <c r="L13" s="14" t="n">
        <v>0.33</v>
      </c>
      <c r="M13" s="14" t="n">
        <v>0.12</v>
      </c>
      <c r="N13" s="14" t="n">
        <v>0.28</v>
      </c>
      <c r="O13" s="14" t="n">
        <v>0.18</v>
      </c>
      <c r="P13" s="14" t="n">
        <v>0.14</v>
      </c>
      <c r="Q13" s="14" t="n">
        <v>0.06</v>
      </c>
      <c r="R13" s="14" t="n">
        <v>0.18</v>
      </c>
      <c r="S13" s="14" t="n">
        <v>0.12</v>
      </c>
      <c r="T13" s="14" t="n">
        <v>0.21</v>
      </c>
      <c r="U13" s="14" t="n">
        <v>0.35</v>
      </c>
      <c r="V13" s="14" t="n">
        <v>0.07000000000000001</v>
      </c>
      <c r="W13" s="14" t="n">
        <v>0.23</v>
      </c>
      <c r="X13" s="14" t="n">
        <v>0.43</v>
      </c>
      <c r="Y13" s="14" t="n">
        <v>0.37</v>
      </c>
      <c r="Z13" s="14" t="n">
        <v>0.17</v>
      </c>
      <c r="AA13" s="14" t="n">
        <v>0.05</v>
      </c>
      <c r="AB13" s="14" t="n">
        <v>0.1</v>
      </c>
      <c r="AC13" s="14" t="n">
        <v>0.33</v>
      </c>
      <c r="AD13" s="14" t="n">
        <v>0.22</v>
      </c>
      <c r="AE13" s="14" t="n">
        <v>0.37</v>
      </c>
      <c r="AF13" s="14" t="n">
        <v>0.44</v>
      </c>
    </row>
    <row r="14">
      <c r="A14" s="20" t="n"/>
      <c r="B14" s="11" t="inlineStr">
        <is>
          <t>Plutôt satisfait(e)</t>
        </is>
      </c>
      <c r="C14" s="12" t="n">
        <v>17072</v>
      </c>
      <c r="D14" s="12" t="n">
        <v>649</v>
      </c>
      <c r="E14" s="12" t="n">
        <v>604</v>
      </c>
      <c r="F14" s="12" t="n">
        <v>781</v>
      </c>
      <c r="G14" s="12" t="n">
        <v>316</v>
      </c>
      <c r="H14" s="12" t="n">
        <v>779</v>
      </c>
      <c r="I14" s="12" t="n">
        <v>969</v>
      </c>
      <c r="J14" s="12" t="n">
        <v>190</v>
      </c>
      <c r="K14" s="12" t="n">
        <v>705</v>
      </c>
      <c r="L14" s="12" t="n">
        <v>634</v>
      </c>
      <c r="M14" s="12" t="n">
        <v>581</v>
      </c>
      <c r="N14" s="12" t="n">
        <v>603</v>
      </c>
      <c r="O14" s="12" t="n">
        <v>650</v>
      </c>
      <c r="P14" s="12" t="n">
        <v>621</v>
      </c>
      <c r="Q14" s="12" t="n">
        <v>754</v>
      </c>
      <c r="R14" s="12" t="n">
        <v>338</v>
      </c>
      <c r="S14" s="12" t="n">
        <v>697</v>
      </c>
      <c r="T14" s="12" t="n">
        <v>642</v>
      </c>
      <c r="U14" s="12" t="n">
        <v>297</v>
      </c>
      <c r="V14" s="12" t="n">
        <v>751</v>
      </c>
      <c r="W14" s="12" t="n">
        <v>363</v>
      </c>
      <c r="X14" s="12" t="n">
        <v>528</v>
      </c>
      <c r="Y14" s="12" t="n">
        <v>499</v>
      </c>
      <c r="Z14" s="12" t="n">
        <v>787</v>
      </c>
      <c r="AA14" s="12" t="n">
        <v>782</v>
      </c>
      <c r="AB14" s="12" t="n">
        <v>613</v>
      </c>
      <c r="AC14" s="12" t="n">
        <v>624</v>
      </c>
      <c r="AD14" s="12" t="n">
        <v>666</v>
      </c>
      <c r="AE14" s="12" t="n">
        <v>558</v>
      </c>
      <c r="AF14" s="12" t="n">
        <v>522</v>
      </c>
    </row>
    <row r="15">
      <c r="A15" s="20" t="n"/>
      <c r="B15" s="13" t="inlineStr">
        <is>
          <t>Fairly satisfied</t>
        </is>
      </c>
      <c r="C15" s="14" t="n">
        <v>0.65</v>
      </c>
      <c r="D15" s="14" t="n">
        <v>0.64</v>
      </c>
      <c r="E15" s="14" t="n">
        <v>0.59</v>
      </c>
      <c r="F15" s="14" t="n">
        <v>0.74</v>
      </c>
      <c r="G15" s="14" t="n">
        <v>0.31</v>
      </c>
      <c r="H15" s="14" t="n">
        <v>0.64</v>
      </c>
      <c r="I15" s="14" t="n">
        <v>0.64</v>
      </c>
      <c r="J15" s="14" t="n">
        <v>0.65</v>
      </c>
      <c r="K15" s="14" t="n">
        <v>0.7000000000000001</v>
      </c>
      <c r="L15" s="14" t="n">
        <v>0.63</v>
      </c>
      <c r="M15" s="14" t="n">
        <v>0.58</v>
      </c>
      <c r="N15" s="14" t="n">
        <v>0.6</v>
      </c>
      <c r="O15" s="14" t="n">
        <v>0.64</v>
      </c>
      <c r="P15" s="14" t="n">
        <v>0.62</v>
      </c>
      <c r="Q15" s="14" t="n">
        <v>0.73</v>
      </c>
      <c r="R15" s="14" t="n">
        <v>0.67</v>
      </c>
      <c r="S15" s="14" t="n">
        <v>0.6900000000000001</v>
      </c>
      <c r="T15" s="14" t="n">
        <v>0.63</v>
      </c>
      <c r="U15" s="14" t="n">
        <v>0.59</v>
      </c>
      <c r="V15" s="14" t="n">
        <v>0.74</v>
      </c>
      <c r="W15" s="14" t="n">
        <v>0.72</v>
      </c>
      <c r="X15" s="14" t="n">
        <v>0.52</v>
      </c>
      <c r="Y15" s="14" t="n">
        <v>0.5</v>
      </c>
      <c r="Z15" s="14" t="n">
        <v>0.77</v>
      </c>
      <c r="AA15" s="14" t="n">
        <v>0.76</v>
      </c>
      <c r="AB15" s="14" t="n">
        <v>0.59</v>
      </c>
      <c r="AC15" s="14" t="n">
        <v>0.62</v>
      </c>
      <c r="AD15" s="14" t="n">
        <v>0.66</v>
      </c>
      <c r="AE15" s="14" t="n">
        <v>0.55</v>
      </c>
      <c r="AF15" s="14" t="n">
        <v>0.5</v>
      </c>
    </row>
    <row r="16">
      <c r="A16" s="20" t="n"/>
      <c r="B16" s="11" t="inlineStr">
        <is>
          <t>Plutôt pas satisfait(e)</t>
        </is>
      </c>
      <c r="C16" s="12" t="n">
        <v>3549</v>
      </c>
      <c r="D16" s="12" t="n">
        <v>156</v>
      </c>
      <c r="E16" s="12" t="n">
        <v>253</v>
      </c>
      <c r="F16" s="12" t="n">
        <v>90</v>
      </c>
      <c r="G16" s="12" t="n">
        <v>25</v>
      </c>
      <c r="H16" s="12" t="n">
        <v>143</v>
      </c>
      <c r="I16" s="12" t="n">
        <v>207</v>
      </c>
      <c r="J16" s="12" t="n">
        <v>63</v>
      </c>
      <c r="K16" s="12" t="n">
        <v>147</v>
      </c>
      <c r="L16" s="12" t="n">
        <v>41</v>
      </c>
      <c r="M16" s="12" t="n">
        <v>233</v>
      </c>
      <c r="N16" s="12" t="n">
        <v>101</v>
      </c>
      <c r="O16" s="12" t="n">
        <v>152</v>
      </c>
      <c r="P16" s="12" t="n">
        <v>224</v>
      </c>
      <c r="Q16" s="12" t="n">
        <v>186</v>
      </c>
      <c r="R16" s="12" t="n">
        <v>67</v>
      </c>
      <c r="S16" s="12" t="n">
        <v>177</v>
      </c>
      <c r="T16" s="12" t="n">
        <v>144</v>
      </c>
      <c r="U16" s="12" t="n">
        <v>22</v>
      </c>
      <c r="V16" s="12" t="n">
        <v>176</v>
      </c>
      <c r="W16" s="12" t="n">
        <v>25</v>
      </c>
      <c r="X16" s="12" t="n">
        <v>46</v>
      </c>
      <c r="Y16" s="12" t="n">
        <v>112</v>
      </c>
      <c r="Z16" s="12" t="n">
        <v>44</v>
      </c>
      <c r="AA16" s="12" t="n">
        <v>183</v>
      </c>
      <c r="AB16" s="12" t="n">
        <v>294</v>
      </c>
      <c r="AC16" s="12" t="n">
        <v>52</v>
      </c>
      <c r="AD16" s="12" t="n">
        <v>107</v>
      </c>
      <c r="AE16" s="12" t="n">
        <v>68</v>
      </c>
      <c r="AF16" s="12" t="n">
        <v>50</v>
      </c>
    </row>
    <row r="17">
      <c r="A17" s="20" t="n"/>
      <c r="B17" s="13" t="inlineStr">
        <is>
          <t>Not very satisfied</t>
        </is>
      </c>
      <c r="C17" s="14" t="n">
        <v>0.13</v>
      </c>
      <c r="D17" s="14" t="n">
        <v>0.15</v>
      </c>
      <c r="E17" s="14" t="n">
        <v>0.25</v>
      </c>
      <c r="F17" s="14" t="n">
        <v>0.09</v>
      </c>
      <c r="G17" s="14" t="n">
        <v>0.03</v>
      </c>
      <c r="H17" s="14" t="n">
        <v>0.12</v>
      </c>
      <c r="I17" s="14" t="n">
        <v>0.14</v>
      </c>
      <c r="J17" s="14" t="n">
        <v>0.22</v>
      </c>
      <c r="K17" s="14" t="n">
        <v>0.15</v>
      </c>
      <c r="L17" s="14" t="n">
        <v>0.04</v>
      </c>
      <c r="M17" s="14" t="n">
        <v>0.23</v>
      </c>
      <c r="N17" s="14" t="n">
        <v>0.1</v>
      </c>
      <c r="O17" s="14" t="n">
        <v>0.15</v>
      </c>
      <c r="P17" s="14" t="n">
        <v>0.22</v>
      </c>
      <c r="Q17" s="14" t="n">
        <v>0.18</v>
      </c>
      <c r="R17" s="14" t="n">
        <v>0.14</v>
      </c>
      <c r="S17" s="14" t="n">
        <v>0.18</v>
      </c>
      <c r="T17" s="14" t="n">
        <v>0.14</v>
      </c>
      <c r="U17" s="14" t="n">
        <v>0.04</v>
      </c>
      <c r="V17" s="14" t="n">
        <v>0.17</v>
      </c>
      <c r="W17" s="14" t="n">
        <v>0.05</v>
      </c>
      <c r="X17" s="14" t="n">
        <v>0.04</v>
      </c>
      <c r="Y17" s="14" t="n">
        <v>0.11</v>
      </c>
      <c r="Z17" s="14" t="n">
        <v>0.04</v>
      </c>
      <c r="AA17" s="14" t="n">
        <v>0.18</v>
      </c>
      <c r="AB17" s="14" t="n">
        <v>0.28</v>
      </c>
      <c r="AC17" s="14" t="n">
        <v>0.05</v>
      </c>
      <c r="AD17" s="14" t="n">
        <v>0.11</v>
      </c>
      <c r="AE17" s="14" t="n">
        <v>0.07000000000000001</v>
      </c>
      <c r="AF17" s="14" t="n">
        <v>0.05</v>
      </c>
    </row>
    <row r="18">
      <c r="A18" s="20" t="n"/>
      <c r="B18" s="11" t="inlineStr">
        <is>
          <t>Pas du tout satisfait(e)</t>
        </is>
      </c>
      <c r="C18" s="12" t="n">
        <v>475</v>
      </c>
      <c r="D18" s="12" t="n">
        <v>21</v>
      </c>
      <c r="E18" s="12" t="n">
        <v>62</v>
      </c>
      <c r="F18" s="12" t="n">
        <v>7</v>
      </c>
      <c r="G18" s="12" t="n">
        <v>3</v>
      </c>
      <c r="H18" s="12" t="n">
        <v>6</v>
      </c>
      <c r="I18" s="12" t="n">
        <v>14</v>
      </c>
      <c r="J18" s="12" t="n">
        <v>7</v>
      </c>
      <c r="K18" s="12" t="n">
        <v>24</v>
      </c>
      <c r="L18" s="12" t="n">
        <v>2</v>
      </c>
      <c r="M18" s="12" t="n">
        <v>72</v>
      </c>
      <c r="N18" s="12" t="n">
        <v>21</v>
      </c>
      <c r="O18" s="12" t="n">
        <v>28</v>
      </c>
      <c r="P18" s="12" t="n">
        <v>24</v>
      </c>
      <c r="Q18" s="12" t="n">
        <v>18</v>
      </c>
      <c r="R18" s="12" t="n">
        <v>5</v>
      </c>
      <c r="S18" s="12" t="n">
        <v>11</v>
      </c>
      <c r="T18" s="12" t="n">
        <v>18</v>
      </c>
      <c r="U18" s="12" t="n">
        <v>10</v>
      </c>
      <c r="V18" s="12" t="n">
        <v>23</v>
      </c>
      <c r="W18" s="12" t="n">
        <v>2</v>
      </c>
      <c r="X18" s="12" t="n">
        <v>9</v>
      </c>
      <c r="Y18" s="12" t="n">
        <v>21</v>
      </c>
      <c r="Z18" s="12" t="n">
        <v>7</v>
      </c>
      <c r="AA18" s="12" t="n">
        <v>15</v>
      </c>
      <c r="AB18" s="12" t="n">
        <v>35</v>
      </c>
      <c r="AC18" s="12" t="n">
        <v>2</v>
      </c>
      <c r="AD18" s="12" t="n">
        <v>6</v>
      </c>
      <c r="AE18" s="12" t="n">
        <v>8</v>
      </c>
      <c r="AF18" s="12" t="n">
        <v>4</v>
      </c>
    </row>
    <row r="19">
      <c r="A19" s="20" t="n"/>
      <c r="B19" s="13" t="inlineStr">
        <is>
          <t>Not at all satisfied</t>
        </is>
      </c>
      <c r="C19" s="14" t="n">
        <v>0.02</v>
      </c>
      <c r="D19" s="14" t="n">
        <v>0.02</v>
      </c>
      <c r="E19" s="14" t="n">
        <v>0.06</v>
      </c>
      <c r="F19" s="14" t="n">
        <v>0.01</v>
      </c>
      <c r="G19" s="15" t="inlineStr">
        <is>
          <t>-</t>
        </is>
      </c>
      <c r="H19" s="14" t="n">
        <v>0.01</v>
      </c>
      <c r="I19" s="14" t="n">
        <v>0.01</v>
      </c>
      <c r="J19" s="14" t="n">
        <v>0.02</v>
      </c>
      <c r="K19" s="14" t="n">
        <v>0.02</v>
      </c>
      <c r="L19" s="15" t="inlineStr">
        <is>
          <t>-</t>
        </is>
      </c>
      <c r="M19" s="14" t="n">
        <v>0.07000000000000001</v>
      </c>
      <c r="N19" s="14" t="n">
        <v>0.02</v>
      </c>
      <c r="O19" s="14" t="n">
        <v>0.03</v>
      </c>
      <c r="P19" s="14" t="n">
        <v>0.02</v>
      </c>
      <c r="Q19" s="14" t="n">
        <v>0.02</v>
      </c>
      <c r="R19" s="14" t="n">
        <v>0.01</v>
      </c>
      <c r="S19" s="14" t="n">
        <v>0.01</v>
      </c>
      <c r="T19" s="14" t="n">
        <v>0.02</v>
      </c>
      <c r="U19" s="14" t="n">
        <v>0.02</v>
      </c>
      <c r="V19" s="14" t="n">
        <v>0.02</v>
      </c>
      <c r="W19" s="15" t="inlineStr">
        <is>
          <t>-</t>
        </is>
      </c>
      <c r="X19" s="14" t="n">
        <v>0.01</v>
      </c>
      <c r="Y19" s="14" t="n">
        <v>0.02</v>
      </c>
      <c r="Z19" s="14" t="n">
        <v>0.01</v>
      </c>
      <c r="AA19" s="14" t="n">
        <v>0.01</v>
      </c>
      <c r="AB19" s="14" t="n">
        <v>0.03</v>
      </c>
      <c r="AC19" s="15" t="inlineStr">
        <is>
          <t>-</t>
        </is>
      </c>
      <c r="AD19" s="14" t="n">
        <v>0.01</v>
      </c>
      <c r="AE19" s="14" t="n">
        <v>0.01</v>
      </c>
      <c r="AF19" s="14" t="n">
        <v>0.01</v>
      </c>
    </row>
    <row r="20">
      <c r="A20" s="20" t="n"/>
      <c r="B20" s="11" t="inlineStr">
        <is>
          <t>Ne sait pas</t>
        </is>
      </c>
      <c r="C20" s="12" t="n">
        <v>94</v>
      </c>
      <c r="D20" s="12" t="n">
        <v>0</v>
      </c>
      <c r="E20" s="12" t="n">
        <v>7</v>
      </c>
      <c r="F20" s="12" t="n">
        <v>3</v>
      </c>
      <c r="G20" s="12" t="n">
        <v>3</v>
      </c>
      <c r="H20" s="12" t="n">
        <v>3</v>
      </c>
      <c r="I20" s="12" t="n">
        <v>4</v>
      </c>
      <c r="J20" s="12" t="n">
        <v>1</v>
      </c>
      <c r="K20" s="12" t="n">
        <v>13</v>
      </c>
      <c r="L20" s="12" t="n">
        <v>2</v>
      </c>
      <c r="M20" s="12" t="n">
        <v>2</v>
      </c>
      <c r="N20" s="12" t="n">
        <v>4</v>
      </c>
      <c r="O20" s="12" t="n">
        <v>4</v>
      </c>
      <c r="P20" s="12" t="n">
        <v>1</v>
      </c>
      <c r="Q20" s="12" t="n">
        <v>5</v>
      </c>
      <c r="R20" s="12" t="n">
        <v>1</v>
      </c>
      <c r="S20" s="12" t="n">
        <v>1</v>
      </c>
      <c r="T20" s="12" t="n">
        <v>4</v>
      </c>
      <c r="U20" s="12" t="n">
        <v>1</v>
      </c>
      <c r="V20" s="12" t="n">
        <v>0</v>
      </c>
      <c r="W20" s="12" t="n">
        <v>1</v>
      </c>
      <c r="X20" s="12" t="n">
        <v>4</v>
      </c>
      <c r="Y20" s="12" t="n">
        <v>3</v>
      </c>
      <c r="Z20" s="12" t="n">
        <v>10</v>
      </c>
      <c r="AA20" s="12" t="n">
        <v>0</v>
      </c>
      <c r="AB20" s="12" t="n">
        <v>0</v>
      </c>
      <c r="AC20" s="12" t="n">
        <v>0</v>
      </c>
      <c r="AD20" s="12" t="n">
        <v>1</v>
      </c>
      <c r="AE20" s="12" t="n">
        <v>2</v>
      </c>
      <c r="AF20" s="12" t="n">
        <v>2</v>
      </c>
    </row>
    <row r="21">
      <c r="A21" s="23" t="n"/>
      <c r="B21" s="13" t="inlineStr">
        <is>
          <t>Don't know</t>
        </is>
      </c>
      <c r="C21" s="15" t="inlineStr">
        <is>
          <t>-</t>
        </is>
      </c>
      <c r="D21" s="15" t="inlineStr">
        <is>
          <t>-</t>
        </is>
      </c>
      <c r="E21" s="14" t="n">
        <v>0.01</v>
      </c>
      <c r="F21" s="15" t="inlineStr">
        <is>
          <t>-</t>
        </is>
      </c>
      <c r="G21" s="15" t="inlineStr">
        <is>
          <t>-</t>
        </is>
      </c>
      <c r="H21" s="15" t="inlineStr">
        <is>
          <t>-</t>
        </is>
      </c>
      <c r="I21" s="15" t="inlineStr">
        <is>
          <t>-</t>
        </is>
      </c>
      <c r="J21" s="15" t="inlineStr">
        <is>
          <t>-</t>
        </is>
      </c>
      <c r="K21" s="14" t="n">
        <v>0.01</v>
      </c>
      <c r="L21" s="15" t="inlineStr">
        <is>
          <t>-</t>
        </is>
      </c>
      <c r="M21" s="15" t="inlineStr">
        <is>
          <t>-</t>
        </is>
      </c>
      <c r="N21" s="15" t="inlineStr">
        <is>
          <t>-</t>
        </is>
      </c>
      <c r="O21" s="15" t="inlineStr">
        <is>
          <t>-</t>
        </is>
      </c>
      <c r="P21" s="15" t="inlineStr">
        <is>
          <t>-</t>
        </is>
      </c>
      <c r="Q21" s="14" t="n">
        <v>0.01</v>
      </c>
      <c r="R21" s="15" t="inlineStr">
        <is>
          <t>-</t>
        </is>
      </c>
      <c r="S21" s="15" t="inlineStr">
        <is>
          <t>-</t>
        </is>
      </c>
      <c r="T21" s="15" t="inlineStr">
        <is>
          <t>-</t>
        </is>
      </c>
      <c r="U21" s="15" t="inlineStr">
        <is>
          <t>-</t>
        </is>
      </c>
      <c r="V21" s="15" t="inlineStr">
        <is>
          <t>-</t>
        </is>
      </c>
      <c r="W21" s="15" t="inlineStr">
        <is>
          <t>-</t>
        </is>
      </c>
      <c r="X21" s="15" t="inlineStr">
        <is>
          <t>-</t>
        </is>
      </c>
      <c r="Y21" s="15" t="inlineStr">
        <is>
          <t>-</t>
        </is>
      </c>
      <c r="Z21" s="14" t="n">
        <v>0.01</v>
      </c>
      <c r="AA21" s="15" t="inlineStr">
        <is>
          <t>-</t>
        </is>
      </c>
      <c r="AB21" s="15" t="inlineStr">
        <is>
          <t>-</t>
        </is>
      </c>
      <c r="AC21" s="15" t="inlineStr">
        <is>
          <t>-</t>
        </is>
      </c>
      <c r="AD21" s="15" t="inlineStr">
        <is>
          <t>-</t>
        </is>
      </c>
      <c r="AE21" s="15" t="inlineStr">
        <is>
          <t>-</t>
        </is>
      </c>
      <c r="AF21" s="15" t="inlineStr">
        <is>
          <t>-</t>
        </is>
      </c>
    </row>
    <row r="22">
      <c r="A22" s="19" t="n"/>
      <c r="B22" s="11" t="inlineStr">
        <is>
          <t>Total 'Satisfait(e)'</t>
        </is>
      </c>
      <c r="C22" s="12" t="n">
        <v>22303</v>
      </c>
      <c r="D22" s="12" t="n">
        <v>843</v>
      </c>
      <c r="E22" s="12" t="n">
        <v>692</v>
      </c>
      <c r="F22" s="12" t="n">
        <v>950</v>
      </c>
      <c r="G22" s="12" t="n">
        <v>976</v>
      </c>
      <c r="H22" s="12" t="n">
        <v>1061</v>
      </c>
      <c r="I22" s="12" t="n">
        <v>1284</v>
      </c>
      <c r="J22" s="12" t="n">
        <v>222</v>
      </c>
      <c r="K22" s="12" t="n">
        <v>821</v>
      </c>
      <c r="L22" s="12" t="n">
        <v>965</v>
      </c>
      <c r="M22" s="12" t="n">
        <v>700</v>
      </c>
      <c r="N22" s="12" t="n">
        <v>880</v>
      </c>
      <c r="O22" s="12" t="n">
        <v>833</v>
      </c>
      <c r="P22" s="12" t="n">
        <v>758</v>
      </c>
      <c r="Q22" s="12" t="n">
        <v>819</v>
      </c>
      <c r="R22" s="12" t="n">
        <v>430</v>
      </c>
      <c r="S22" s="12" t="n">
        <v>816</v>
      </c>
      <c r="T22" s="12" t="n">
        <v>850</v>
      </c>
      <c r="U22" s="12" t="n">
        <v>476</v>
      </c>
      <c r="V22" s="12" t="n">
        <v>822</v>
      </c>
      <c r="W22" s="12" t="n">
        <v>477</v>
      </c>
      <c r="X22" s="12" t="n">
        <v>963</v>
      </c>
      <c r="Y22" s="12" t="n">
        <v>867</v>
      </c>
      <c r="Z22" s="12" t="n">
        <v>959</v>
      </c>
      <c r="AA22" s="12" t="n">
        <v>832</v>
      </c>
      <c r="AB22" s="12" t="n">
        <v>717</v>
      </c>
      <c r="AC22" s="12" t="n">
        <v>953</v>
      </c>
      <c r="AD22" s="12" t="n">
        <v>887</v>
      </c>
      <c r="AE22" s="12" t="n">
        <v>938</v>
      </c>
      <c r="AF22" s="12" t="n">
        <v>981</v>
      </c>
    </row>
    <row r="23">
      <c r="A23" s="20" t="n"/>
      <c r="B23" s="13" t="inlineStr">
        <is>
          <t>Total 'Satisfied'</t>
        </is>
      </c>
      <c r="C23" s="14" t="n">
        <v>0.85</v>
      </c>
      <c r="D23" s="14" t="n">
        <v>0.8300000000000001</v>
      </c>
      <c r="E23" s="14" t="n">
        <v>0.68</v>
      </c>
      <c r="F23" s="14" t="n">
        <v>0.9</v>
      </c>
      <c r="G23" s="14" t="n">
        <v>0.97</v>
      </c>
      <c r="H23" s="14" t="n">
        <v>0.87</v>
      </c>
      <c r="I23" s="14" t="n">
        <v>0.85</v>
      </c>
      <c r="J23" s="14" t="n">
        <v>0.76</v>
      </c>
      <c r="K23" s="14" t="n">
        <v>0.8200000000000001</v>
      </c>
      <c r="L23" s="14" t="n">
        <v>0.96</v>
      </c>
      <c r="M23" s="14" t="n">
        <v>0.7000000000000001</v>
      </c>
      <c r="N23" s="14" t="n">
        <v>0.88</v>
      </c>
      <c r="O23" s="14" t="n">
        <v>0.8200000000000001</v>
      </c>
      <c r="P23" s="14" t="n">
        <v>0.76</v>
      </c>
      <c r="Q23" s="14" t="n">
        <v>0.79</v>
      </c>
      <c r="R23" s="14" t="n">
        <v>0.85</v>
      </c>
      <c r="S23" s="14" t="n">
        <v>0.8100000000000001</v>
      </c>
      <c r="T23" s="14" t="n">
        <v>0.84</v>
      </c>
      <c r="U23" s="14" t="n">
        <v>0.9400000000000001</v>
      </c>
      <c r="V23" s="14" t="n">
        <v>0.8100000000000001</v>
      </c>
      <c r="W23" s="14" t="n">
        <v>0.9500000000000001</v>
      </c>
      <c r="X23" s="14" t="n">
        <v>0.9500000000000001</v>
      </c>
      <c r="Y23" s="14" t="n">
        <v>0.87</v>
      </c>
      <c r="Z23" s="14" t="n">
        <v>0.9400000000000001</v>
      </c>
      <c r="AA23" s="14" t="n">
        <v>0.8100000000000001</v>
      </c>
      <c r="AB23" s="14" t="n">
        <v>0.6900000000000001</v>
      </c>
      <c r="AC23" s="14" t="n">
        <v>0.9500000000000001</v>
      </c>
      <c r="AD23" s="14" t="n">
        <v>0.88</v>
      </c>
      <c r="AE23" s="14" t="n">
        <v>0.92</v>
      </c>
      <c r="AF23" s="14" t="n">
        <v>0.9400000000000001</v>
      </c>
    </row>
    <row r="24">
      <c r="A24" s="20" t="n"/>
      <c r="B24" s="11" t="inlineStr">
        <is>
          <t>Total 'Pas satisfait(e)'</t>
        </is>
      </c>
      <c r="C24" s="12" t="n">
        <v>4024</v>
      </c>
      <c r="D24" s="12" t="n">
        <v>177</v>
      </c>
      <c r="E24" s="12" t="n">
        <v>315</v>
      </c>
      <c r="F24" s="12" t="n">
        <v>97</v>
      </c>
      <c r="G24" s="12" t="n">
        <v>28</v>
      </c>
      <c r="H24" s="12" t="n">
        <v>149</v>
      </c>
      <c r="I24" s="12" t="n">
        <v>221</v>
      </c>
      <c r="J24" s="12" t="n">
        <v>70</v>
      </c>
      <c r="K24" s="12" t="n">
        <v>171</v>
      </c>
      <c r="L24" s="12" t="n">
        <v>43</v>
      </c>
      <c r="M24" s="12" t="n">
        <v>305</v>
      </c>
      <c r="N24" s="12" t="n">
        <v>122</v>
      </c>
      <c r="O24" s="12" t="n">
        <v>180</v>
      </c>
      <c r="P24" s="12" t="n">
        <v>248</v>
      </c>
      <c r="Q24" s="12" t="n">
        <v>204</v>
      </c>
      <c r="R24" s="12" t="n">
        <v>72</v>
      </c>
      <c r="S24" s="12" t="n">
        <v>188</v>
      </c>
      <c r="T24" s="12" t="n">
        <v>162</v>
      </c>
      <c r="U24" s="12" t="n">
        <v>32</v>
      </c>
      <c r="V24" s="12" t="n">
        <v>199</v>
      </c>
      <c r="W24" s="12" t="n">
        <v>27</v>
      </c>
      <c r="X24" s="12" t="n">
        <v>55</v>
      </c>
      <c r="Y24" s="12" t="n">
        <v>133</v>
      </c>
      <c r="Z24" s="12" t="n">
        <v>51</v>
      </c>
      <c r="AA24" s="12" t="n">
        <v>198</v>
      </c>
      <c r="AB24" s="12" t="n">
        <v>329</v>
      </c>
      <c r="AC24" s="12" t="n">
        <v>54</v>
      </c>
      <c r="AD24" s="12" t="n">
        <v>113</v>
      </c>
      <c r="AE24" s="12" t="n">
        <v>76</v>
      </c>
      <c r="AF24" s="12" t="n">
        <v>54</v>
      </c>
    </row>
    <row r="25">
      <c r="A25" s="23" t="n"/>
      <c r="B25" s="13" t="inlineStr">
        <is>
          <t>Total 'Not satisfied'</t>
        </is>
      </c>
      <c r="C25" s="14" t="n">
        <v>0.15</v>
      </c>
      <c r="D25" s="14" t="n">
        <v>0.17</v>
      </c>
      <c r="E25" s="14" t="n">
        <v>0.31</v>
      </c>
      <c r="F25" s="14" t="n">
        <v>0.1</v>
      </c>
      <c r="G25" s="14" t="n">
        <v>0.03</v>
      </c>
      <c r="H25" s="14" t="n">
        <v>0.13</v>
      </c>
      <c r="I25" s="14" t="n">
        <v>0.15</v>
      </c>
      <c r="J25" s="14" t="n">
        <v>0.24</v>
      </c>
      <c r="K25" s="14" t="n">
        <v>0.17</v>
      </c>
      <c r="L25" s="14" t="n">
        <v>0.04</v>
      </c>
      <c r="M25" s="14" t="n">
        <v>0.3</v>
      </c>
      <c r="N25" s="14" t="n">
        <v>0.12</v>
      </c>
      <c r="O25" s="14" t="n">
        <v>0.18</v>
      </c>
      <c r="P25" s="14" t="n">
        <v>0.24</v>
      </c>
      <c r="Q25" s="14" t="n">
        <v>0.2</v>
      </c>
      <c r="R25" s="14" t="n">
        <v>0.15</v>
      </c>
      <c r="S25" s="14" t="n">
        <v>0.19</v>
      </c>
      <c r="T25" s="14" t="n">
        <v>0.16</v>
      </c>
      <c r="U25" s="14" t="n">
        <v>0.06</v>
      </c>
      <c r="V25" s="14" t="n">
        <v>0.19</v>
      </c>
      <c r="W25" s="14" t="n">
        <v>0.05</v>
      </c>
      <c r="X25" s="14" t="n">
        <v>0.05</v>
      </c>
      <c r="Y25" s="14" t="n">
        <v>0.13</v>
      </c>
      <c r="Z25" s="14" t="n">
        <v>0.05</v>
      </c>
      <c r="AA25" s="14" t="n">
        <v>0.19</v>
      </c>
      <c r="AB25" s="14" t="n">
        <v>0.31</v>
      </c>
      <c r="AC25" s="14" t="n">
        <v>0.05</v>
      </c>
      <c r="AD25" s="14" t="n">
        <v>0.12</v>
      </c>
      <c r="AE25" s="14" t="n">
        <v>0.08</v>
      </c>
      <c r="AF25" s="14" t="n">
        <v>0.06</v>
      </c>
    </row>
  </sheetData>
  <mergeCells count="10">
    <mergeCell ref="B4:F4"/>
    <mergeCell ref="H3:L3"/>
    <mergeCell ref="A10:A21"/>
    <mergeCell ref="C8:AF8"/>
    <mergeCell ref="B3:F3"/>
    <mergeCell ref="B5:F5"/>
    <mergeCell ref="H5:L5"/>
    <mergeCell ref="B10:B11"/>
    <mergeCell ref="H4:L4"/>
    <mergeCell ref="A22:A25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24" customHeight="1" s="18">
      <c r="B3" s="21" t="inlineStr">
        <is>
          <t>D70b. D’une façon générale, êtes-vous très satisfait(e), plutôt satisfait(e), plutôt pas satisfait(e) ou pas du tout satisfait(e) de votre qualité de vie ?</t>
        </is>
      </c>
      <c r="H3" s="21" t="inlineStr">
        <is>
          <t>D70b. On the whole, are you very satisfied, fairly satisfied, not very satisfied or not at all satisfied with your quality of life?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HYPERLINK("#Content!A67","&lt;&lt;Back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Très satisfait(e)</t>
        </is>
      </c>
      <c r="C12" s="12" t="n">
        <v>5150</v>
      </c>
      <c r="D12" s="12" t="n">
        <v>202</v>
      </c>
      <c r="E12" s="12" t="n">
        <v>79</v>
      </c>
      <c r="F12" s="12" t="n">
        <v>159</v>
      </c>
      <c r="G12" s="12" t="n">
        <v>598</v>
      </c>
      <c r="H12" s="12" t="n">
        <v>295</v>
      </c>
      <c r="I12" s="12" t="n">
        <v>324</v>
      </c>
      <c r="J12" s="12" t="n">
        <v>29</v>
      </c>
      <c r="K12" s="12" t="n">
        <v>114</v>
      </c>
      <c r="L12" s="12" t="n">
        <v>312</v>
      </c>
      <c r="M12" s="12" t="n">
        <v>114</v>
      </c>
      <c r="N12" s="12" t="n">
        <v>270</v>
      </c>
      <c r="O12" s="12" t="n">
        <v>176</v>
      </c>
      <c r="P12" s="12" t="n">
        <v>129</v>
      </c>
      <c r="Q12" s="12" t="n">
        <v>68</v>
      </c>
      <c r="R12" s="12" t="n">
        <v>93</v>
      </c>
      <c r="S12" s="12" t="n">
        <v>102</v>
      </c>
      <c r="T12" s="12" t="n">
        <v>223</v>
      </c>
      <c r="U12" s="12" t="n">
        <v>172</v>
      </c>
      <c r="V12" s="12" t="n">
        <v>69</v>
      </c>
      <c r="W12" s="12" t="n">
        <v>110</v>
      </c>
      <c r="X12" s="12" t="n">
        <v>441</v>
      </c>
      <c r="Y12" s="12" t="n">
        <v>357</v>
      </c>
      <c r="Z12" s="12" t="n">
        <v>174</v>
      </c>
      <c r="AA12" s="12" t="n">
        <v>46</v>
      </c>
      <c r="AB12" s="12" t="n">
        <v>101</v>
      </c>
      <c r="AC12" s="12" t="n">
        <v>309</v>
      </c>
      <c r="AD12" s="12" t="n">
        <v>206</v>
      </c>
      <c r="AE12" s="12" t="n">
        <v>346</v>
      </c>
      <c r="AF12" s="12" t="n">
        <v>432</v>
      </c>
    </row>
    <row r="13">
      <c r="A13" s="20" t="n"/>
      <c r="B13" s="13" t="inlineStr">
        <is>
          <t>Very satisfied</t>
        </is>
      </c>
      <c r="C13" s="14" t="n">
        <v>0.2</v>
      </c>
      <c r="D13" s="14" t="n">
        <v>0.2</v>
      </c>
      <c r="E13" s="14" t="n">
        <v>0.08</v>
      </c>
      <c r="F13" s="14" t="n">
        <v>0.15</v>
      </c>
      <c r="G13" s="14" t="n">
        <v>0.59</v>
      </c>
      <c r="H13" s="14" t="n">
        <v>0.24</v>
      </c>
      <c r="I13" s="14" t="n">
        <v>0.21</v>
      </c>
      <c r="J13" s="14" t="n">
        <v>0.1</v>
      </c>
      <c r="K13" s="14" t="n">
        <v>0.11</v>
      </c>
      <c r="L13" s="14" t="n">
        <v>0.31</v>
      </c>
      <c r="M13" s="14" t="n">
        <v>0.11</v>
      </c>
      <c r="N13" s="14" t="n">
        <v>0.27</v>
      </c>
      <c r="O13" s="14" t="n">
        <v>0.17</v>
      </c>
      <c r="P13" s="14" t="n">
        <v>0.13</v>
      </c>
      <c r="Q13" s="14" t="n">
        <v>0.07000000000000001</v>
      </c>
      <c r="R13" s="14" t="n">
        <v>0.18</v>
      </c>
      <c r="S13" s="14" t="n">
        <v>0.1</v>
      </c>
      <c r="T13" s="14" t="n">
        <v>0.22</v>
      </c>
      <c r="U13" s="14" t="n">
        <v>0.34</v>
      </c>
      <c r="V13" s="14" t="n">
        <v>0.07000000000000001</v>
      </c>
      <c r="W13" s="14" t="n">
        <v>0.22</v>
      </c>
      <c r="X13" s="14" t="n">
        <v>0.43</v>
      </c>
      <c r="Y13" s="14" t="n">
        <v>0.36</v>
      </c>
      <c r="Z13" s="14" t="n">
        <v>0.17</v>
      </c>
      <c r="AA13" s="14" t="n">
        <v>0.04</v>
      </c>
      <c r="AB13" s="14" t="n">
        <v>0.1</v>
      </c>
      <c r="AC13" s="14" t="n">
        <v>0.31</v>
      </c>
      <c r="AD13" s="14" t="n">
        <v>0.21</v>
      </c>
      <c r="AE13" s="14" t="n">
        <v>0.34</v>
      </c>
      <c r="AF13" s="14" t="n">
        <v>0.42</v>
      </c>
    </row>
    <row r="14">
      <c r="A14" s="20" t="n"/>
      <c r="B14" s="11" t="inlineStr">
        <is>
          <t>Plutôt satisfait(e)</t>
        </is>
      </c>
      <c r="C14" s="12" t="n">
        <v>16677</v>
      </c>
      <c r="D14" s="12" t="n">
        <v>617</v>
      </c>
      <c r="E14" s="12" t="n">
        <v>598</v>
      </c>
      <c r="F14" s="12" t="n">
        <v>763</v>
      </c>
      <c r="G14" s="12" t="n">
        <v>367</v>
      </c>
      <c r="H14" s="12" t="n">
        <v>751</v>
      </c>
      <c r="I14" s="12" t="n">
        <v>933</v>
      </c>
      <c r="J14" s="12" t="n">
        <v>182</v>
      </c>
      <c r="K14" s="12" t="n">
        <v>647</v>
      </c>
      <c r="L14" s="12" t="n">
        <v>625</v>
      </c>
      <c r="M14" s="12" t="n">
        <v>524</v>
      </c>
      <c r="N14" s="12" t="n">
        <v>619</v>
      </c>
      <c r="O14" s="12" t="n">
        <v>649</v>
      </c>
      <c r="P14" s="12" t="n">
        <v>584</v>
      </c>
      <c r="Q14" s="12" t="n">
        <v>731</v>
      </c>
      <c r="R14" s="12" t="n">
        <v>321</v>
      </c>
      <c r="S14" s="12" t="n">
        <v>713</v>
      </c>
      <c r="T14" s="12" t="n">
        <v>601</v>
      </c>
      <c r="U14" s="12" t="n">
        <v>293</v>
      </c>
      <c r="V14" s="12" t="n">
        <v>733</v>
      </c>
      <c r="W14" s="12" t="n">
        <v>344</v>
      </c>
      <c r="X14" s="12" t="n">
        <v>488</v>
      </c>
      <c r="Y14" s="12" t="n">
        <v>494</v>
      </c>
      <c r="Z14" s="12" t="n">
        <v>779</v>
      </c>
      <c r="AA14" s="12" t="n">
        <v>721</v>
      </c>
      <c r="AB14" s="12" t="n">
        <v>561</v>
      </c>
      <c r="AC14" s="12" t="n">
        <v>638</v>
      </c>
      <c r="AD14" s="12" t="n">
        <v>632</v>
      </c>
      <c r="AE14" s="12" t="n">
        <v>580</v>
      </c>
      <c r="AF14" s="12" t="n">
        <v>529</v>
      </c>
    </row>
    <row r="15">
      <c r="A15" s="20" t="n"/>
      <c r="B15" s="13" t="inlineStr">
        <is>
          <t>Fairly satisfied</t>
        </is>
      </c>
      <c r="C15" s="14" t="n">
        <v>0.63</v>
      </c>
      <c r="D15" s="14" t="n">
        <v>0.6</v>
      </c>
      <c r="E15" s="14" t="n">
        <v>0.59</v>
      </c>
      <c r="F15" s="14" t="n">
        <v>0.73</v>
      </c>
      <c r="G15" s="14" t="n">
        <v>0.37</v>
      </c>
      <c r="H15" s="14" t="n">
        <v>0.62</v>
      </c>
      <c r="I15" s="14" t="n">
        <v>0.62</v>
      </c>
      <c r="J15" s="14" t="n">
        <v>0.62</v>
      </c>
      <c r="K15" s="14" t="n">
        <v>0.64</v>
      </c>
      <c r="L15" s="14" t="n">
        <v>0.62</v>
      </c>
      <c r="M15" s="14" t="n">
        <v>0.52</v>
      </c>
      <c r="N15" s="14" t="n">
        <v>0.62</v>
      </c>
      <c r="O15" s="14" t="n">
        <v>0.64</v>
      </c>
      <c r="P15" s="14" t="n">
        <v>0.58</v>
      </c>
      <c r="Q15" s="14" t="n">
        <v>0.71</v>
      </c>
      <c r="R15" s="14" t="n">
        <v>0.64</v>
      </c>
      <c r="S15" s="14" t="n">
        <v>0.71</v>
      </c>
      <c r="T15" s="14" t="n">
        <v>0.59</v>
      </c>
      <c r="U15" s="14" t="n">
        <v>0.5700000000000001</v>
      </c>
      <c r="V15" s="14" t="n">
        <v>0.72</v>
      </c>
      <c r="W15" s="14" t="n">
        <v>0.68</v>
      </c>
      <c r="X15" s="14" t="n">
        <v>0.48</v>
      </c>
      <c r="Y15" s="14" t="n">
        <v>0.49</v>
      </c>
      <c r="Z15" s="14" t="n">
        <v>0.76</v>
      </c>
      <c r="AA15" s="14" t="n">
        <v>0.7000000000000001</v>
      </c>
      <c r="AB15" s="14" t="n">
        <v>0.53</v>
      </c>
      <c r="AC15" s="14" t="n">
        <v>0.63</v>
      </c>
      <c r="AD15" s="14" t="n">
        <v>0.63</v>
      </c>
      <c r="AE15" s="14" t="n">
        <v>0.5700000000000001</v>
      </c>
      <c r="AF15" s="14" t="n">
        <v>0.51</v>
      </c>
    </row>
    <row r="16">
      <c r="A16" s="20" t="n"/>
      <c r="B16" s="11" t="inlineStr">
        <is>
          <t>Plutôt pas satisfait(e)</t>
        </is>
      </c>
      <c r="C16" s="12" t="n">
        <v>3976</v>
      </c>
      <c r="D16" s="12" t="n">
        <v>175</v>
      </c>
      <c r="E16" s="12" t="n">
        <v>259</v>
      </c>
      <c r="F16" s="12" t="n">
        <v>113</v>
      </c>
      <c r="G16" s="12" t="n">
        <v>31</v>
      </c>
      <c r="H16" s="12" t="n">
        <v>152</v>
      </c>
      <c r="I16" s="12" t="n">
        <v>224</v>
      </c>
      <c r="J16" s="12" t="n">
        <v>72</v>
      </c>
      <c r="K16" s="12" t="n">
        <v>188</v>
      </c>
      <c r="L16" s="12" t="n">
        <v>68</v>
      </c>
      <c r="M16" s="12" t="n">
        <v>273</v>
      </c>
      <c r="N16" s="12" t="n">
        <v>99</v>
      </c>
      <c r="O16" s="12" t="n">
        <v>161</v>
      </c>
      <c r="P16" s="12" t="n">
        <v>264</v>
      </c>
      <c r="Q16" s="12" t="n">
        <v>206</v>
      </c>
      <c r="R16" s="12" t="n">
        <v>82</v>
      </c>
      <c r="S16" s="12" t="n">
        <v>178</v>
      </c>
      <c r="T16" s="12" t="n">
        <v>171</v>
      </c>
      <c r="U16" s="12" t="n">
        <v>34</v>
      </c>
      <c r="V16" s="12" t="n">
        <v>191</v>
      </c>
      <c r="W16" s="12" t="n">
        <v>50</v>
      </c>
      <c r="X16" s="12" t="n">
        <v>77</v>
      </c>
      <c r="Y16" s="12" t="n">
        <v>129</v>
      </c>
      <c r="Z16" s="12" t="n">
        <v>55</v>
      </c>
      <c r="AA16" s="12" t="n">
        <v>246</v>
      </c>
      <c r="AB16" s="12" t="n">
        <v>341</v>
      </c>
      <c r="AC16" s="12" t="n">
        <v>59</v>
      </c>
      <c r="AD16" s="12" t="n">
        <v>153</v>
      </c>
      <c r="AE16" s="12" t="n">
        <v>81</v>
      </c>
      <c r="AF16" s="12" t="n">
        <v>65</v>
      </c>
    </row>
    <row r="17">
      <c r="A17" s="20" t="n"/>
      <c r="B17" s="13" t="inlineStr">
        <is>
          <t>Not very satisfied</t>
        </is>
      </c>
      <c r="C17" s="14" t="n">
        <v>0.15</v>
      </c>
      <c r="D17" s="14" t="n">
        <v>0.17</v>
      </c>
      <c r="E17" s="14" t="n">
        <v>0.25</v>
      </c>
      <c r="F17" s="14" t="n">
        <v>0.11</v>
      </c>
      <c r="G17" s="14" t="n">
        <v>0.03</v>
      </c>
      <c r="H17" s="14" t="n">
        <v>0.13</v>
      </c>
      <c r="I17" s="14" t="n">
        <v>0.15</v>
      </c>
      <c r="J17" s="14" t="n">
        <v>0.24</v>
      </c>
      <c r="K17" s="14" t="n">
        <v>0.19</v>
      </c>
      <c r="L17" s="14" t="n">
        <v>0.07000000000000001</v>
      </c>
      <c r="M17" s="14" t="n">
        <v>0.27</v>
      </c>
      <c r="N17" s="14" t="n">
        <v>0.1</v>
      </c>
      <c r="O17" s="14" t="n">
        <v>0.16</v>
      </c>
      <c r="P17" s="14" t="n">
        <v>0.26</v>
      </c>
      <c r="Q17" s="14" t="n">
        <v>0.2</v>
      </c>
      <c r="R17" s="14" t="n">
        <v>0.16</v>
      </c>
      <c r="S17" s="14" t="n">
        <v>0.18</v>
      </c>
      <c r="T17" s="14" t="n">
        <v>0.17</v>
      </c>
      <c r="U17" s="14" t="n">
        <v>0.07000000000000001</v>
      </c>
      <c r="V17" s="14" t="n">
        <v>0.19</v>
      </c>
      <c r="W17" s="14" t="n">
        <v>0.1</v>
      </c>
      <c r="X17" s="14" t="n">
        <v>0.08</v>
      </c>
      <c r="Y17" s="14" t="n">
        <v>0.13</v>
      </c>
      <c r="Z17" s="14" t="n">
        <v>0.05</v>
      </c>
      <c r="AA17" s="14" t="n">
        <v>0.24</v>
      </c>
      <c r="AB17" s="14" t="n">
        <v>0.33</v>
      </c>
      <c r="AC17" s="14" t="n">
        <v>0.06</v>
      </c>
      <c r="AD17" s="14" t="n">
        <v>0.15</v>
      </c>
      <c r="AE17" s="14" t="n">
        <v>0.08</v>
      </c>
      <c r="AF17" s="14" t="n">
        <v>0.06</v>
      </c>
    </row>
    <row r="18">
      <c r="A18" s="20" t="n"/>
      <c r="B18" s="11" t="inlineStr">
        <is>
          <t>Pas du tout satisfait(e)</t>
        </is>
      </c>
      <c r="C18" s="12" t="n">
        <v>519</v>
      </c>
      <c r="D18" s="12" t="n">
        <v>28</v>
      </c>
      <c r="E18" s="12" t="n">
        <v>72</v>
      </c>
      <c r="F18" s="12" t="n">
        <v>8</v>
      </c>
      <c r="G18" s="12" t="n">
        <v>8</v>
      </c>
      <c r="H18" s="12" t="n">
        <v>9</v>
      </c>
      <c r="I18" s="12" t="n">
        <v>17</v>
      </c>
      <c r="J18" s="12" t="n">
        <v>8</v>
      </c>
      <c r="K18" s="12" t="n">
        <v>37</v>
      </c>
      <c r="L18" s="12" t="n">
        <v>3</v>
      </c>
      <c r="M18" s="12" t="n">
        <v>94</v>
      </c>
      <c r="N18" s="12" t="n">
        <v>15</v>
      </c>
      <c r="O18" s="12" t="n">
        <v>25</v>
      </c>
      <c r="P18" s="12" t="n">
        <v>27</v>
      </c>
      <c r="Q18" s="12" t="n">
        <v>22</v>
      </c>
      <c r="R18" s="12" t="n">
        <v>5</v>
      </c>
      <c r="S18" s="12" t="n">
        <v>13</v>
      </c>
      <c r="T18" s="12" t="n">
        <v>18</v>
      </c>
      <c r="U18" s="12" t="n">
        <v>9</v>
      </c>
      <c r="V18" s="12" t="n">
        <v>26</v>
      </c>
      <c r="W18" s="12" t="n">
        <v>2</v>
      </c>
      <c r="X18" s="12" t="n">
        <v>11</v>
      </c>
      <c r="Y18" s="12" t="n">
        <v>22</v>
      </c>
      <c r="Z18" s="12" t="n">
        <v>5</v>
      </c>
      <c r="AA18" s="12" t="n">
        <v>18</v>
      </c>
      <c r="AB18" s="12" t="n">
        <v>42</v>
      </c>
      <c r="AC18" s="12" t="n">
        <v>1</v>
      </c>
      <c r="AD18" s="12" t="n">
        <v>9</v>
      </c>
      <c r="AE18" s="12" t="n">
        <v>6</v>
      </c>
      <c r="AF18" s="12" t="n">
        <v>11</v>
      </c>
    </row>
    <row r="19">
      <c r="A19" s="20" t="n"/>
      <c r="B19" s="13" t="inlineStr">
        <is>
          <t>Not at all satisfied</t>
        </is>
      </c>
      <c r="C19" s="14" t="n">
        <v>0.02</v>
      </c>
      <c r="D19" s="14" t="n">
        <v>0.03</v>
      </c>
      <c r="E19" s="14" t="n">
        <v>0.07000000000000001</v>
      </c>
      <c r="F19" s="14" t="n">
        <v>0.01</v>
      </c>
      <c r="G19" s="14" t="n">
        <v>0.01</v>
      </c>
      <c r="H19" s="14" t="n">
        <v>0.01</v>
      </c>
      <c r="I19" s="14" t="n">
        <v>0.01</v>
      </c>
      <c r="J19" s="14" t="n">
        <v>0.03</v>
      </c>
      <c r="K19" s="14" t="n">
        <v>0.04</v>
      </c>
      <c r="L19" s="15" t="inlineStr">
        <is>
          <t>-</t>
        </is>
      </c>
      <c r="M19" s="14" t="n">
        <v>0.1</v>
      </c>
      <c r="N19" s="14" t="n">
        <v>0.01</v>
      </c>
      <c r="O19" s="14" t="n">
        <v>0.03</v>
      </c>
      <c r="P19" s="14" t="n">
        <v>0.03</v>
      </c>
      <c r="Q19" s="14" t="n">
        <v>0.02</v>
      </c>
      <c r="R19" s="14" t="n">
        <v>0.01</v>
      </c>
      <c r="S19" s="14" t="n">
        <v>0.01</v>
      </c>
      <c r="T19" s="14" t="n">
        <v>0.02</v>
      </c>
      <c r="U19" s="14" t="n">
        <v>0.02</v>
      </c>
      <c r="V19" s="14" t="n">
        <v>0.02</v>
      </c>
      <c r="W19" s="15" t="inlineStr">
        <is>
          <t>-</t>
        </is>
      </c>
      <c r="X19" s="14" t="n">
        <v>0.01</v>
      </c>
      <c r="Y19" s="14" t="n">
        <v>0.02</v>
      </c>
      <c r="Z19" s="14" t="n">
        <v>0.01</v>
      </c>
      <c r="AA19" s="14" t="n">
        <v>0.02</v>
      </c>
      <c r="AB19" s="14" t="n">
        <v>0.04</v>
      </c>
      <c r="AC19" s="15" t="inlineStr">
        <is>
          <t>-</t>
        </is>
      </c>
      <c r="AD19" s="14" t="n">
        <v>0.01</v>
      </c>
      <c r="AE19" s="14" t="n">
        <v>0.01</v>
      </c>
      <c r="AF19" s="14" t="n">
        <v>0.01</v>
      </c>
    </row>
    <row r="20">
      <c r="A20" s="20" t="n"/>
      <c r="B20" s="11" t="inlineStr">
        <is>
          <t>Ne sait pas</t>
        </is>
      </c>
      <c r="C20" s="12" t="n">
        <v>99</v>
      </c>
      <c r="D20" s="12" t="n">
        <v>0</v>
      </c>
      <c r="E20" s="12" t="n">
        <v>6</v>
      </c>
      <c r="F20" s="12" t="n">
        <v>6</v>
      </c>
      <c r="G20" s="12" t="n">
        <v>3</v>
      </c>
      <c r="H20" s="12" t="n">
        <v>6</v>
      </c>
      <c r="I20" s="12" t="n">
        <v>9</v>
      </c>
      <c r="J20" s="12" t="n">
        <v>3</v>
      </c>
      <c r="K20" s="12" t="n">
        <v>19</v>
      </c>
      <c r="L20" s="12" t="n">
        <v>2</v>
      </c>
      <c r="M20" s="12" t="n">
        <v>2</v>
      </c>
      <c r="N20" s="12" t="n">
        <v>4</v>
      </c>
      <c r="O20" s="12" t="n">
        <v>4</v>
      </c>
      <c r="P20" s="12" t="n">
        <v>3</v>
      </c>
      <c r="Q20" s="12" t="n">
        <v>3</v>
      </c>
      <c r="R20" s="12" t="n">
        <v>2</v>
      </c>
      <c r="S20" s="12" t="n">
        <v>0</v>
      </c>
      <c r="T20" s="12" t="n">
        <v>3</v>
      </c>
      <c r="U20" s="12" t="n">
        <v>1</v>
      </c>
      <c r="V20" s="12" t="n">
        <v>1</v>
      </c>
      <c r="W20" s="12" t="n">
        <v>0</v>
      </c>
      <c r="X20" s="12" t="n">
        <v>5</v>
      </c>
      <c r="Y20" s="12" t="n">
        <v>1</v>
      </c>
      <c r="Z20" s="12" t="n">
        <v>7</v>
      </c>
      <c r="AA20" s="12" t="n">
        <v>0</v>
      </c>
      <c r="AB20" s="12" t="n">
        <v>1</v>
      </c>
      <c r="AC20" s="12" t="n">
        <v>0</v>
      </c>
      <c r="AD20" s="12" t="n">
        <v>1</v>
      </c>
      <c r="AE20" s="12" t="n">
        <v>3</v>
      </c>
      <c r="AF20" s="12" t="n">
        <v>0</v>
      </c>
    </row>
    <row r="21">
      <c r="A21" s="23" t="n"/>
      <c r="B21" s="13" t="inlineStr">
        <is>
          <t>Don't know</t>
        </is>
      </c>
      <c r="C21" s="15" t="inlineStr">
        <is>
          <t>-</t>
        </is>
      </c>
      <c r="D21" s="15" t="inlineStr">
        <is>
          <t>-</t>
        </is>
      </c>
      <c r="E21" s="14" t="n">
        <v>0.01</v>
      </c>
      <c r="F21" s="15" t="inlineStr">
        <is>
          <t>-</t>
        </is>
      </c>
      <c r="G21" s="15" t="inlineStr">
        <is>
          <t>-</t>
        </is>
      </c>
      <c r="H21" s="15" t="inlineStr">
        <is>
          <t>-</t>
        </is>
      </c>
      <c r="I21" s="14" t="n">
        <v>0.01</v>
      </c>
      <c r="J21" s="14" t="n">
        <v>0.01</v>
      </c>
      <c r="K21" s="14" t="n">
        <v>0.02</v>
      </c>
      <c r="L21" s="15" t="inlineStr">
        <is>
          <t>-</t>
        </is>
      </c>
      <c r="M21" s="15" t="inlineStr">
        <is>
          <t>-</t>
        </is>
      </c>
      <c r="N21" s="15" t="inlineStr">
        <is>
          <t>-</t>
        </is>
      </c>
      <c r="O21" s="15" t="inlineStr">
        <is>
          <t>-</t>
        </is>
      </c>
      <c r="P21" s="15" t="inlineStr">
        <is>
          <t>-</t>
        </is>
      </c>
      <c r="Q21" s="15" t="inlineStr">
        <is>
          <t>-</t>
        </is>
      </c>
      <c r="R21" s="14" t="n">
        <v>0.01</v>
      </c>
      <c r="S21" s="15" t="inlineStr">
        <is>
          <t>-</t>
        </is>
      </c>
      <c r="T21" s="15" t="inlineStr">
        <is>
          <t>-</t>
        </is>
      </c>
      <c r="U21" s="15" t="inlineStr">
        <is>
          <t>-</t>
        </is>
      </c>
      <c r="V21" s="15" t="inlineStr">
        <is>
          <t>-</t>
        </is>
      </c>
      <c r="W21" s="15" t="inlineStr">
        <is>
          <t>-</t>
        </is>
      </c>
      <c r="X21" s="15" t="inlineStr">
        <is>
          <t>-</t>
        </is>
      </c>
      <c r="Y21" s="15" t="inlineStr">
        <is>
          <t>-</t>
        </is>
      </c>
      <c r="Z21" s="14" t="n">
        <v>0.01</v>
      </c>
      <c r="AA21" s="15" t="inlineStr">
        <is>
          <t>-</t>
        </is>
      </c>
      <c r="AB21" s="15" t="inlineStr">
        <is>
          <t>-</t>
        </is>
      </c>
      <c r="AC21" s="15" t="inlineStr">
        <is>
          <t>-</t>
        </is>
      </c>
      <c r="AD21" s="15" t="inlineStr">
        <is>
          <t>-</t>
        </is>
      </c>
      <c r="AE21" s="15" t="inlineStr">
        <is>
          <t>-</t>
        </is>
      </c>
      <c r="AF21" s="15" t="inlineStr">
        <is>
          <t>-</t>
        </is>
      </c>
    </row>
    <row r="22">
      <c r="A22" s="19" t="n"/>
      <c r="B22" s="11" t="inlineStr">
        <is>
          <t>Total 'Satisfait(e)'</t>
        </is>
      </c>
      <c r="C22" s="12" t="n">
        <v>21827</v>
      </c>
      <c r="D22" s="12" t="n">
        <v>819</v>
      </c>
      <c r="E22" s="12" t="n">
        <v>677</v>
      </c>
      <c r="F22" s="12" t="n">
        <v>922</v>
      </c>
      <c r="G22" s="12" t="n">
        <v>965</v>
      </c>
      <c r="H22" s="12" t="n">
        <v>1046</v>
      </c>
      <c r="I22" s="12" t="n">
        <v>1257</v>
      </c>
      <c r="J22" s="12" t="n">
        <v>211</v>
      </c>
      <c r="K22" s="12" t="n">
        <v>761</v>
      </c>
      <c r="L22" s="12" t="n">
        <v>937</v>
      </c>
      <c r="M22" s="12" t="n">
        <v>638</v>
      </c>
      <c r="N22" s="12" t="n">
        <v>889</v>
      </c>
      <c r="O22" s="12" t="n">
        <v>825</v>
      </c>
      <c r="P22" s="12" t="n">
        <v>713</v>
      </c>
      <c r="Q22" s="12" t="n">
        <v>799</v>
      </c>
      <c r="R22" s="12" t="n">
        <v>414</v>
      </c>
      <c r="S22" s="12" t="n">
        <v>815</v>
      </c>
      <c r="T22" s="12" t="n">
        <v>824</v>
      </c>
      <c r="U22" s="12" t="n">
        <v>465</v>
      </c>
      <c r="V22" s="12" t="n">
        <v>802</v>
      </c>
      <c r="W22" s="12" t="n">
        <v>454</v>
      </c>
      <c r="X22" s="12" t="n">
        <v>929</v>
      </c>
      <c r="Y22" s="12" t="n">
        <v>851</v>
      </c>
      <c r="Z22" s="12" t="n">
        <v>953</v>
      </c>
      <c r="AA22" s="12" t="n">
        <v>767</v>
      </c>
      <c r="AB22" s="12" t="n">
        <v>662</v>
      </c>
      <c r="AC22" s="12" t="n">
        <v>947</v>
      </c>
      <c r="AD22" s="12" t="n">
        <v>838</v>
      </c>
      <c r="AE22" s="12" t="n">
        <v>926</v>
      </c>
      <c r="AF22" s="12" t="n">
        <v>961</v>
      </c>
    </row>
    <row r="23">
      <c r="A23" s="20" t="n"/>
      <c r="B23" s="13" t="inlineStr">
        <is>
          <t>Total 'Satisfied'</t>
        </is>
      </c>
      <c r="C23" s="14" t="n">
        <v>0.8300000000000001</v>
      </c>
      <c r="D23" s="14" t="n">
        <v>0.8</v>
      </c>
      <c r="E23" s="14" t="n">
        <v>0.67</v>
      </c>
      <c r="F23" s="14" t="n">
        <v>0.88</v>
      </c>
      <c r="G23" s="14" t="n">
        <v>0.96</v>
      </c>
      <c r="H23" s="14" t="n">
        <v>0.86</v>
      </c>
      <c r="I23" s="14" t="n">
        <v>0.8300000000000001</v>
      </c>
      <c r="J23" s="14" t="n">
        <v>0.72</v>
      </c>
      <c r="K23" s="14" t="n">
        <v>0.75</v>
      </c>
      <c r="L23" s="14" t="n">
        <v>0.93</v>
      </c>
      <c r="M23" s="14" t="n">
        <v>0.63</v>
      </c>
      <c r="N23" s="14" t="n">
        <v>0.89</v>
      </c>
      <c r="O23" s="14" t="n">
        <v>0.8100000000000001</v>
      </c>
      <c r="P23" s="14" t="n">
        <v>0.71</v>
      </c>
      <c r="Q23" s="14" t="n">
        <v>0.78</v>
      </c>
      <c r="R23" s="14" t="n">
        <v>0.8200000000000001</v>
      </c>
      <c r="S23" s="14" t="n">
        <v>0.8100000000000001</v>
      </c>
      <c r="T23" s="14" t="n">
        <v>0.8100000000000001</v>
      </c>
      <c r="U23" s="14" t="n">
        <v>0.91</v>
      </c>
      <c r="V23" s="14" t="n">
        <v>0.79</v>
      </c>
      <c r="W23" s="14" t="n">
        <v>0.9</v>
      </c>
      <c r="X23" s="14" t="n">
        <v>0.91</v>
      </c>
      <c r="Y23" s="14" t="n">
        <v>0.85</v>
      </c>
      <c r="Z23" s="14" t="n">
        <v>0.93</v>
      </c>
      <c r="AA23" s="14" t="n">
        <v>0.74</v>
      </c>
      <c r="AB23" s="14" t="n">
        <v>0.63</v>
      </c>
      <c r="AC23" s="14" t="n">
        <v>0.9400000000000001</v>
      </c>
      <c r="AD23" s="14" t="n">
        <v>0.84</v>
      </c>
      <c r="AE23" s="14" t="n">
        <v>0.91</v>
      </c>
      <c r="AF23" s="14" t="n">
        <v>0.93</v>
      </c>
    </row>
    <row r="24">
      <c r="A24" s="20" t="n"/>
      <c r="B24" s="11" t="inlineStr">
        <is>
          <t>Total 'Pas satisfait(e)'</t>
        </is>
      </c>
      <c r="C24" s="12" t="n">
        <v>4495</v>
      </c>
      <c r="D24" s="12" t="n">
        <v>203</v>
      </c>
      <c r="E24" s="12" t="n">
        <v>331</v>
      </c>
      <c r="F24" s="12" t="n">
        <v>121</v>
      </c>
      <c r="G24" s="12" t="n">
        <v>39</v>
      </c>
      <c r="H24" s="12" t="n">
        <v>161</v>
      </c>
      <c r="I24" s="12" t="n">
        <v>241</v>
      </c>
      <c r="J24" s="12" t="n">
        <v>80</v>
      </c>
      <c r="K24" s="12" t="n">
        <v>225</v>
      </c>
      <c r="L24" s="12" t="n">
        <v>71</v>
      </c>
      <c r="M24" s="12" t="n">
        <v>367</v>
      </c>
      <c r="N24" s="12" t="n">
        <v>114</v>
      </c>
      <c r="O24" s="12" t="n">
        <v>186</v>
      </c>
      <c r="P24" s="12" t="n">
        <v>291</v>
      </c>
      <c r="Q24" s="12" t="n">
        <v>228</v>
      </c>
      <c r="R24" s="12" t="n">
        <v>87</v>
      </c>
      <c r="S24" s="12" t="n">
        <v>191</v>
      </c>
      <c r="T24" s="12" t="n">
        <v>189</v>
      </c>
      <c r="U24" s="12" t="n">
        <v>43</v>
      </c>
      <c r="V24" s="12" t="n">
        <v>217</v>
      </c>
      <c r="W24" s="12" t="n">
        <v>52</v>
      </c>
      <c r="X24" s="12" t="n">
        <v>88</v>
      </c>
      <c r="Y24" s="12" t="n">
        <v>151</v>
      </c>
      <c r="Z24" s="12" t="n">
        <v>60</v>
      </c>
      <c r="AA24" s="12" t="n">
        <v>264</v>
      </c>
      <c r="AB24" s="12" t="n">
        <v>383</v>
      </c>
      <c r="AC24" s="12" t="n">
        <v>60</v>
      </c>
      <c r="AD24" s="12" t="n">
        <v>162</v>
      </c>
      <c r="AE24" s="12" t="n">
        <v>87</v>
      </c>
      <c r="AF24" s="12" t="n">
        <v>76</v>
      </c>
    </row>
    <row r="25">
      <c r="A25" s="23" t="n"/>
      <c r="B25" s="13" t="inlineStr">
        <is>
          <t>Total 'Not satisfied'</t>
        </is>
      </c>
      <c r="C25" s="14" t="n">
        <v>0.17</v>
      </c>
      <c r="D25" s="14" t="n">
        <v>0.2</v>
      </c>
      <c r="E25" s="14" t="n">
        <v>0.32</v>
      </c>
      <c r="F25" s="14" t="n">
        <v>0.12</v>
      </c>
      <c r="G25" s="14" t="n">
        <v>0.04</v>
      </c>
      <c r="H25" s="14" t="n">
        <v>0.14</v>
      </c>
      <c r="I25" s="14" t="n">
        <v>0.16</v>
      </c>
      <c r="J25" s="14" t="n">
        <v>0.27</v>
      </c>
      <c r="K25" s="14" t="n">
        <v>0.23</v>
      </c>
      <c r="L25" s="14" t="n">
        <v>0.07000000000000001</v>
      </c>
      <c r="M25" s="14" t="n">
        <v>0.37</v>
      </c>
      <c r="N25" s="14" t="n">
        <v>0.11</v>
      </c>
      <c r="O25" s="14" t="n">
        <v>0.19</v>
      </c>
      <c r="P25" s="14" t="n">
        <v>0.29</v>
      </c>
      <c r="Q25" s="14" t="n">
        <v>0.22</v>
      </c>
      <c r="R25" s="14" t="n">
        <v>0.17</v>
      </c>
      <c r="S25" s="14" t="n">
        <v>0.19</v>
      </c>
      <c r="T25" s="14" t="n">
        <v>0.19</v>
      </c>
      <c r="U25" s="14" t="n">
        <v>0.09</v>
      </c>
      <c r="V25" s="14" t="n">
        <v>0.21</v>
      </c>
      <c r="W25" s="14" t="n">
        <v>0.1</v>
      </c>
      <c r="X25" s="14" t="n">
        <v>0.09</v>
      </c>
      <c r="Y25" s="14" t="n">
        <v>0.15</v>
      </c>
      <c r="Z25" s="14" t="n">
        <v>0.06</v>
      </c>
      <c r="AA25" s="14" t="n">
        <v>0.26</v>
      </c>
      <c r="AB25" s="14" t="n">
        <v>0.37</v>
      </c>
      <c r="AC25" s="14" t="n">
        <v>0.06</v>
      </c>
      <c r="AD25" s="14" t="n">
        <v>0.16</v>
      </c>
      <c r="AE25" s="14" t="n">
        <v>0.09</v>
      </c>
      <c r="AF25" s="14" t="n">
        <v>0.07000000000000001</v>
      </c>
    </row>
  </sheetData>
  <mergeCells count="10">
    <mergeCell ref="B4:F4"/>
    <mergeCell ref="H3:L3"/>
    <mergeCell ref="A10:A21"/>
    <mergeCell ref="C8:AF8"/>
    <mergeCell ref="B3:F3"/>
    <mergeCell ref="B5:F5"/>
    <mergeCell ref="H5:L5"/>
    <mergeCell ref="B10:B11"/>
    <mergeCell ref="H4:L4"/>
    <mergeCell ref="A22:A25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F19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24" customHeight="1" s="18">
      <c r="B3" s="21" t="inlineStr">
        <is>
          <t>D73.1. En ce moment, diriez-vous que, d’une manière générale, les choses vont dans la bonne direction ou dans la mauvaise direction… ?</t>
        </is>
      </c>
      <c r="H3" s="21" t="inlineStr">
        <is>
          <t>D73.1. At the present time, would you say that, in general, things are going in the right direction or in the wrong direction, in…?</t>
        </is>
      </c>
    </row>
    <row r="4" ht="27" customHeight="1" s="18">
      <c r="B4" s="21" t="inlineStr">
        <is>
          <t>en (NOTRE PAYS)</t>
        </is>
      </c>
      <c r="H4" s="21" t="inlineStr">
        <is>
          <t>(OUR COUNTRY)</t>
        </is>
      </c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HYPERLINK("#Content!A68","&lt;&lt;Back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Les choses vont dans la bonne direction</t>
        </is>
      </c>
      <c r="C12" s="12" t="n">
        <v>9106</v>
      </c>
      <c r="D12" s="12" t="n">
        <v>413</v>
      </c>
      <c r="E12" s="12" t="n">
        <v>402</v>
      </c>
      <c r="F12" s="12" t="n">
        <v>664</v>
      </c>
      <c r="G12" s="12" t="n">
        <v>470</v>
      </c>
      <c r="H12" s="12" t="n">
        <v>256</v>
      </c>
      <c r="I12" s="12" t="n">
        <v>301</v>
      </c>
      <c r="J12" s="12" t="n">
        <v>45</v>
      </c>
      <c r="K12" s="12" t="n">
        <v>323</v>
      </c>
      <c r="L12" s="12" t="n">
        <v>442</v>
      </c>
      <c r="M12" s="12" t="n">
        <v>197</v>
      </c>
      <c r="N12" s="12" t="n">
        <v>383</v>
      </c>
      <c r="O12" s="12" t="n">
        <v>181</v>
      </c>
      <c r="P12" s="12" t="n">
        <v>462</v>
      </c>
      <c r="Q12" s="12" t="n">
        <v>441</v>
      </c>
      <c r="R12" s="12" t="n">
        <v>104</v>
      </c>
      <c r="S12" s="12" t="n">
        <v>320</v>
      </c>
      <c r="T12" s="12" t="n">
        <v>393</v>
      </c>
      <c r="U12" s="12" t="n">
        <v>316</v>
      </c>
      <c r="V12" s="12" t="n">
        <v>633</v>
      </c>
      <c r="W12" s="12" t="n">
        <v>309</v>
      </c>
      <c r="X12" s="12" t="n">
        <v>346</v>
      </c>
      <c r="Y12" s="12" t="n">
        <v>441</v>
      </c>
      <c r="Z12" s="12" t="n">
        <v>593</v>
      </c>
      <c r="AA12" s="12" t="n">
        <v>393</v>
      </c>
      <c r="AB12" s="12" t="n">
        <v>418</v>
      </c>
      <c r="AC12" s="12" t="n">
        <v>282</v>
      </c>
      <c r="AD12" s="12" t="n">
        <v>270</v>
      </c>
      <c r="AE12" s="12" t="n">
        <v>256</v>
      </c>
      <c r="AF12" s="12" t="n">
        <v>315</v>
      </c>
    </row>
    <row r="13">
      <c r="A13" s="20" t="n"/>
      <c r="B13" s="13" t="inlineStr">
        <is>
          <t>Things are going in the right direction</t>
        </is>
      </c>
      <c r="C13" s="14" t="n">
        <v>0.34</v>
      </c>
      <c r="D13" s="14" t="n">
        <v>0.4</v>
      </c>
      <c r="E13" s="14" t="n">
        <v>0.4</v>
      </c>
      <c r="F13" s="14" t="n">
        <v>0.63</v>
      </c>
      <c r="G13" s="14" t="n">
        <v>0.47</v>
      </c>
      <c r="H13" s="14" t="n">
        <v>0.21</v>
      </c>
      <c r="I13" s="14" t="n">
        <v>0.2</v>
      </c>
      <c r="J13" s="14" t="n">
        <v>0.16</v>
      </c>
      <c r="K13" s="14" t="n">
        <v>0.32</v>
      </c>
      <c r="L13" s="14" t="n">
        <v>0.44</v>
      </c>
      <c r="M13" s="14" t="n">
        <v>0.2</v>
      </c>
      <c r="N13" s="14" t="n">
        <v>0.38</v>
      </c>
      <c r="O13" s="14" t="n">
        <v>0.18</v>
      </c>
      <c r="P13" s="14" t="n">
        <v>0.46</v>
      </c>
      <c r="Q13" s="14" t="n">
        <v>0.43</v>
      </c>
      <c r="R13" s="14" t="n">
        <v>0.21</v>
      </c>
      <c r="S13" s="14" t="n">
        <v>0.32</v>
      </c>
      <c r="T13" s="14" t="n">
        <v>0.38</v>
      </c>
      <c r="U13" s="14" t="n">
        <v>0.62</v>
      </c>
      <c r="V13" s="14" t="n">
        <v>0.62</v>
      </c>
      <c r="W13" s="14" t="n">
        <v>0.61</v>
      </c>
      <c r="X13" s="14" t="n">
        <v>0.34</v>
      </c>
      <c r="Y13" s="14" t="n">
        <v>0.44</v>
      </c>
      <c r="Z13" s="14" t="n">
        <v>0.58</v>
      </c>
      <c r="AA13" s="14" t="n">
        <v>0.38</v>
      </c>
      <c r="AB13" s="14" t="n">
        <v>0.4</v>
      </c>
      <c r="AC13" s="14" t="n">
        <v>0.28</v>
      </c>
      <c r="AD13" s="14" t="n">
        <v>0.27</v>
      </c>
      <c r="AE13" s="14" t="n">
        <v>0.25</v>
      </c>
      <c r="AF13" s="14" t="n">
        <v>0.31</v>
      </c>
    </row>
    <row r="14">
      <c r="A14" s="20" t="n"/>
      <c r="B14" s="11" t="inlineStr">
        <is>
          <t>Les choses vont dans la mauvaise direction</t>
        </is>
      </c>
      <c r="C14" s="12" t="n">
        <v>14495</v>
      </c>
      <c r="D14" s="12" t="n">
        <v>528</v>
      </c>
      <c r="E14" s="12" t="n">
        <v>446</v>
      </c>
      <c r="F14" s="12" t="n">
        <v>306</v>
      </c>
      <c r="G14" s="12" t="n">
        <v>354</v>
      </c>
      <c r="H14" s="12" t="n">
        <v>820</v>
      </c>
      <c r="I14" s="12" t="n">
        <v>1044</v>
      </c>
      <c r="J14" s="12" t="n">
        <v>224</v>
      </c>
      <c r="K14" s="12" t="n">
        <v>411</v>
      </c>
      <c r="L14" s="12" t="n">
        <v>437</v>
      </c>
      <c r="M14" s="12" t="n">
        <v>713</v>
      </c>
      <c r="N14" s="12" t="n">
        <v>532</v>
      </c>
      <c r="O14" s="12" t="n">
        <v>698</v>
      </c>
      <c r="P14" s="12" t="n">
        <v>460</v>
      </c>
      <c r="Q14" s="12" t="n">
        <v>521</v>
      </c>
      <c r="R14" s="12" t="n">
        <v>289</v>
      </c>
      <c r="S14" s="12" t="n">
        <v>491</v>
      </c>
      <c r="T14" s="12" t="n">
        <v>396</v>
      </c>
      <c r="U14" s="12" t="n">
        <v>101</v>
      </c>
      <c r="V14" s="12" t="n">
        <v>304</v>
      </c>
      <c r="W14" s="12" t="n">
        <v>112</v>
      </c>
      <c r="X14" s="12" t="n">
        <v>570</v>
      </c>
      <c r="Y14" s="12" t="n">
        <v>397</v>
      </c>
      <c r="Z14" s="12" t="n">
        <v>310</v>
      </c>
      <c r="AA14" s="12" t="n">
        <v>427</v>
      </c>
      <c r="AB14" s="12" t="n">
        <v>562</v>
      </c>
      <c r="AC14" s="12" t="n">
        <v>450</v>
      </c>
      <c r="AD14" s="12" t="n">
        <v>646</v>
      </c>
      <c r="AE14" s="12" t="n">
        <v>689</v>
      </c>
      <c r="AF14" s="12" t="n">
        <v>647</v>
      </c>
    </row>
    <row r="15">
      <c r="A15" s="20" t="n"/>
      <c r="B15" s="13" t="inlineStr">
        <is>
          <t>Things are going in the wrong direction</t>
        </is>
      </c>
      <c r="C15" s="14" t="n">
        <v>0.55</v>
      </c>
      <c r="D15" s="14" t="n">
        <v>0.52</v>
      </c>
      <c r="E15" s="14" t="n">
        <v>0.44</v>
      </c>
      <c r="F15" s="14" t="n">
        <v>0.29</v>
      </c>
      <c r="G15" s="14" t="n">
        <v>0.35</v>
      </c>
      <c r="H15" s="14" t="n">
        <v>0.68</v>
      </c>
      <c r="I15" s="14" t="n">
        <v>0.6900000000000001</v>
      </c>
      <c r="J15" s="14" t="n">
        <v>0.76</v>
      </c>
      <c r="K15" s="14" t="n">
        <v>0.41</v>
      </c>
      <c r="L15" s="14" t="n">
        <v>0.43</v>
      </c>
      <c r="M15" s="14" t="n">
        <v>0.71</v>
      </c>
      <c r="N15" s="14" t="n">
        <v>0.53</v>
      </c>
      <c r="O15" s="14" t="n">
        <v>0.6900000000000001</v>
      </c>
      <c r="P15" s="14" t="n">
        <v>0.46</v>
      </c>
      <c r="Q15" s="14" t="n">
        <v>0.51</v>
      </c>
      <c r="R15" s="14" t="n">
        <v>0.5700000000000001</v>
      </c>
      <c r="S15" s="14" t="n">
        <v>0.49</v>
      </c>
      <c r="T15" s="14" t="n">
        <v>0.39</v>
      </c>
      <c r="U15" s="14" t="n">
        <v>0.2</v>
      </c>
      <c r="V15" s="14" t="n">
        <v>0.3</v>
      </c>
      <c r="W15" s="14" t="n">
        <v>0.22</v>
      </c>
      <c r="X15" s="14" t="n">
        <v>0.5600000000000001</v>
      </c>
      <c r="Y15" s="14" t="n">
        <v>0.4</v>
      </c>
      <c r="Z15" s="14" t="n">
        <v>0.31</v>
      </c>
      <c r="AA15" s="14" t="n">
        <v>0.42</v>
      </c>
      <c r="AB15" s="14" t="n">
        <v>0.54</v>
      </c>
      <c r="AC15" s="14" t="n">
        <v>0.45</v>
      </c>
      <c r="AD15" s="14" t="n">
        <v>0.65</v>
      </c>
      <c r="AE15" s="14" t="n">
        <v>0.68</v>
      </c>
      <c r="AF15" s="14" t="n">
        <v>0.62</v>
      </c>
    </row>
    <row r="16">
      <c r="A16" s="20" t="n"/>
      <c r="B16" s="11" t="inlineStr">
        <is>
          <t>Ni l'un ni l'autre (SPONTANÉ)</t>
        </is>
      </c>
      <c r="C16" s="12" t="n">
        <v>2136</v>
      </c>
      <c r="D16" s="12" t="n">
        <v>65</v>
      </c>
      <c r="E16" s="12" t="n">
        <v>121</v>
      </c>
      <c r="F16" s="12" t="n">
        <v>48</v>
      </c>
      <c r="G16" s="12" t="n">
        <v>138</v>
      </c>
      <c r="H16" s="12" t="n">
        <v>115</v>
      </c>
      <c r="I16" s="12" t="n">
        <v>138</v>
      </c>
      <c r="J16" s="12" t="n">
        <v>23</v>
      </c>
      <c r="K16" s="12" t="n">
        <v>208</v>
      </c>
      <c r="L16" s="12" t="n">
        <v>101</v>
      </c>
      <c r="M16" s="12" t="n">
        <v>80</v>
      </c>
      <c r="N16" s="12" t="n">
        <v>77</v>
      </c>
      <c r="O16" s="12" t="n">
        <v>99</v>
      </c>
      <c r="P16" s="12" t="n">
        <v>75</v>
      </c>
      <c r="Q16" s="12" t="n">
        <v>44</v>
      </c>
      <c r="R16" s="12" t="n">
        <v>86</v>
      </c>
      <c r="S16" s="12" t="n">
        <v>134</v>
      </c>
      <c r="T16" s="12" t="n">
        <v>201</v>
      </c>
      <c r="U16" s="12" t="n">
        <v>65</v>
      </c>
      <c r="V16" s="12" t="n">
        <v>57</v>
      </c>
      <c r="W16" s="12" t="n">
        <v>78</v>
      </c>
      <c r="X16" s="12" t="n">
        <v>90</v>
      </c>
      <c r="Y16" s="12" t="n">
        <v>145</v>
      </c>
      <c r="Z16" s="12" t="n">
        <v>64</v>
      </c>
      <c r="AA16" s="12" t="n">
        <v>168</v>
      </c>
      <c r="AB16" s="12" t="n">
        <v>40</v>
      </c>
      <c r="AC16" s="12" t="n">
        <v>207</v>
      </c>
      <c r="AD16" s="12" t="n">
        <v>81</v>
      </c>
      <c r="AE16" s="12" t="n">
        <v>44</v>
      </c>
      <c r="AF16" s="12" t="n">
        <v>55</v>
      </c>
    </row>
    <row r="17">
      <c r="A17" s="20" t="n"/>
      <c r="B17" s="13" t="inlineStr">
        <is>
          <t>Neither the one nor the other (SPONTANEOUS)</t>
        </is>
      </c>
      <c r="C17" s="14" t="n">
        <v>0.08</v>
      </c>
      <c r="D17" s="14" t="n">
        <v>0.06</v>
      </c>
      <c r="E17" s="14" t="n">
        <v>0.12</v>
      </c>
      <c r="F17" s="14" t="n">
        <v>0.05</v>
      </c>
      <c r="G17" s="14" t="n">
        <v>0.14</v>
      </c>
      <c r="H17" s="14" t="n">
        <v>0.09</v>
      </c>
      <c r="I17" s="14" t="n">
        <v>0.09</v>
      </c>
      <c r="J17" s="14" t="n">
        <v>0.08</v>
      </c>
      <c r="K17" s="14" t="n">
        <v>0.21</v>
      </c>
      <c r="L17" s="14" t="n">
        <v>0.1</v>
      </c>
      <c r="M17" s="14" t="n">
        <v>0.08</v>
      </c>
      <c r="N17" s="14" t="n">
        <v>0.08</v>
      </c>
      <c r="O17" s="14" t="n">
        <v>0.09</v>
      </c>
      <c r="P17" s="14" t="n">
        <v>0.07000000000000001</v>
      </c>
      <c r="Q17" s="14" t="n">
        <v>0.04</v>
      </c>
      <c r="R17" s="14" t="n">
        <v>0.17</v>
      </c>
      <c r="S17" s="14" t="n">
        <v>0.13</v>
      </c>
      <c r="T17" s="14" t="n">
        <v>0.2</v>
      </c>
      <c r="U17" s="14" t="n">
        <v>0.13</v>
      </c>
      <c r="V17" s="14" t="n">
        <v>0.06</v>
      </c>
      <c r="W17" s="14" t="n">
        <v>0.15</v>
      </c>
      <c r="X17" s="14" t="n">
        <v>0.09</v>
      </c>
      <c r="Y17" s="14" t="n">
        <v>0.14</v>
      </c>
      <c r="Z17" s="14" t="n">
        <v>0.06</v>
      </c>
      <c r="AA17" s="14" t="n">
        <v>0.16</v>
      </c>
      <c r="AB17" s="14" t="n">
        <v>0.04</v>
      </c>
      <c r="AC17" s="14" t="n">
        <v>0.2</v>
      </c>
      <c r="AD17" s="14" t="n">
        <v>0.08</v>
      </c>
      <c r="AE17" s="14" t="n">
        <v>0.04</v>
      </c>
      <c r="AF17" s="14" t="n">
        <v>0.05</v>
      </c>
    </row>
    <row r="18">
      <c r="A18" s="20" t="n"/>
      <c r="B18" s="11" t="inlineStr">
        <is>
          <t>Ne sait pas</t>
        </is>
      </c>
      <c r="C18" s="12" t="n">
        <v>684</v>
      </c>
      <c r="D18" s="12" t="n">
        <v>15</v>
      </c>
      <c r="E18" s="12" t="n">
        <v>44</v>
      </c>
      <c r="F18" s="12" t="n">
        <v>31</v>
      </c>
      <c r="G18" s="12" t="n">
        <v>45</v>
      </c>
      <c r="H18" s="12" t="n">
        <v>23</v>
      </c>
      <c r="I18" s="12" t="n">
        <v>24</v>
      </c>
      <c r="J18" s="12" t="n">
        <v>1</v>
      </c>
      <c r="K18" s="12" t="n">
        <v>64</v>
      </c>
      <c r="L18" s="12" t="n">
        <v>30</v>
      </c>
      <c r="M18" s="12" t="n">
        <v>16</v>
      </c>
      <c r="N18" s="12" t="n">
        <v>14</v>
      </c>
      <c r="O18" s="12" t="n">
        <v>38</v>
      </c>
      <c r="P18" s="12" t="n">
        <v>10</v>
      </c>
      <c r="Q18" s="12" t="n">
        <v>23</v>
      </c>
      <c r="R18" s="12" t="n">
        <v>25</v>
      </c>
      <c r="S18" s="12" t="n">
        <v>59</v>
      </c>
      <c r="T18" s="12" t="n">
        <v>27</v>
      </c>
      <c r="U18" s="12" t="n">
        <v>26</v>
      </c>
      <c r="V18" s="12" t="n">
        <v>26</v>
      </c>
      <c r="W18" s="12" t="n">
        <v>7</v>
      </c>
      <c r="X18" s="12" t="n">
        <v>16</v>
      </c>
      <c r="Y18" s="12" t="n">
        <v>21</v>
      </c>
      <c r="Z18" s="12" t="n">
        <v>53</v>
      </c>
      <c r="AA18" s="12" t="n">
        <v>43</v>
      </c>
      <c r="AB18" s="12" t="n">
        <v>25</v>
      </c>
      <c r="AC18" s="12" t="n">
        <v>67</v>
      </c>
      <c r="AD18" s="12" t="n">
        <v>4</v>
      </c>
      <c r="AE18" s="12" t="n">
        <v>27</v>
      </c>
      <c r="AF18" s="12" t="n">
        <v>21</v>
      </c>
    </row>
    <row r="19">
      <c r="A19" s="23" t="n"/>
      <c r="B19" s="13" t="inlineStr">
        <is>
          <t>Don't know</t>
        </is>
      </c>
      <c r="C19" s="14" t="n">
        <v>0.03</v>
      </c>
      <c r="D19" s="14" t="n">
        <v>0.02</v>
      </c>
      <c r="E19" s="14" t="n">
        <v>0.04</v>
      </c>
      <c r="F19" s="14" t="n">
        <v>0.03</v>
      </c>
      <c r="G19" s="14" t="n">
        <v>0.04</v>
      </c>
      <c r="H19" s="14" t="n">
        <v>0.02</v>
      </c>
      <c r="I19" s="14" t="n">
        <v>0.02</v>
      </c>
      <c r="J19" s="15" t="inlineStr">
        <is>
          <t>-</t>
        </is>
      </c>
      <c r="K19" s="14" t="n">
        <v>0.06</v>
      </c>
      <c r="L19" s="14" t="n">
        <v>0.03</v>
      </c>
      <c r="M19" s="14" t="n">
        <v>0.01</v>
      </c>
      <c r="N19" s="14" t="n">
        <v>0.01</v>
      </c>
      <c r="O19" s="14" t="n">
        <v>0.04</v>
      </c>
      <c r="P19" s="14" t="n">
        <v>0.01</v>
      </c>
      <c r="Q19" s="14" t="n">
        <v>0.02</v>
      </c>
      <c r="R19" s="14" t="n">
        <v>0.05</v>
      </c>
      <c r="S19" s="14" t="n">
        <v>0.06</v>
      </c>
      <c r="T19" s="14" t="n">
        <v>0.03</v>
      </c>
      <c r="U19" s="14" t="n">
        <v>0.05</v>
      </c>
      <c r="V19" s="14" t="n">
        <v>0.02</v>
      </c>
      <c r="W19" s="14" t="n">
        <v>0.02</v>
      </c>
      <c r="X19" s="14" t="n">
        <v>0.01</v>
      </c>
      <c r="Y19" s="14" t="n">
        <v>0.02</v>
      </c>
      <c r="Z19" s="14" t="n">
        <v>0.05</v>
      </c>
      <c r="AA19" s="14" t="n">
        <v>0.04</v>
      </c>
      <c r="AB19" s="14" t="n">
        <v>0.02</v>
      </c>
      <c r="AC19" s="14" t="n">
        <v>0.07000000000000001</v>
      </c>
      <c r="AD19" s="15" t="inlineStr">
        <is>
          <t>-</t>
        </is>
      </c>
      <c r="AE19" s="14" t="n">
        <v>0.03</v>
      </c>
      <c r="AF19" s="14" t="n">
        <v>0.02</v>
      </c>
    </row>
  </sheetData>
  <mergeCells count="9">
    <mergeCell ref="B4:F4"/>
    <mergeCell ref="H3:L3"/>
    <mergeCell ref="C8:AF8"/>
    <mergeCell ref="B3:F3"/>
    <mergeCell ref="B5:F5"/>
    <mergeCell ref="A10:A19"/>
    <mergeCell ref="H5:L5"/>
    <mergeCell ref="B10:B11"/>
    <mergeCell ref="H4:L4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F19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24" customHeight="1" s="18">
      <c r="B3" s="21" t="inlineStr">
        <is>
          <t>D73.2. En ce moment, diriez-vous que, d’une manière générale, les choses vont dans la bonne direction ou dans la mauvaise direction… ?</t>
        </is>
      </c>
      <c r="H3" s="21" t="inlineStr">
        <is>
          <t>D73.2. At the present time, would you say that, in general, things are going in the right direction or in the wrong direction, in…?</t>
        </is>
      </c>
    </row>
    <row r="4" ht="27" customHeight="1" s="18">
      <c r="B4" s="21" t="inlineStr">
        <is>
          <t>Dans l’Union européenne</t>
        </is>
      </c>
      <c r="H4" s="21" t="inlineStr">
        <is>
          <t>The European Union</t>
        </is>
      </c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HYPERLINK("#Content!A69","&lt;&lt;Back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Les choses vont dans la bonne direction</t>
        </is>
      </c>
      <c r="C12" s="12" t="n">
        <v>10385</v>
      </c>
      <c r="D12" s="12" t="n">
        <v>393</v>
      </c>
      <c r="E12" s="12" t="n">
        <v>448</v>
      </c>
      <c r="F12" s="12" t="n">
        <v>487</v>
      </c>
      <c r="G12" s="12" t="n">
        <v>589</v>
      </c>
      <c r="H12" s="12" t="n">
        <v>365</v>
      </c>
      <c r="I12" s="12" t="n">
        <v>436</v>
      </c>
      <c r="J12" s="12" t="n">
        <v>71</v>
      </c>
      <c r="K12" s="12" t="n">
        <v>316</v>
      </c>
      <c r="L12" s="12" t="n">
        <v>479</v>
      </c>
      <c r="M12" s="12" t="n">
        <v>266</v>
      </c>
      <c r="N12" s="12" t="n">
        <v>442</v>
      </c>
      <c r="O12" s="12" t="n">
        <v>238</v>
      </c>
      <c r="P12" s="12" t="n">
        <v>518</v>
      </c>
      <c r="Q12" s="12" t="n">
        <v>485</v>
      </c>
      <c r="R12" s="12" t="n">
        <v>160</v>
      </c>
      <c r="S12" s="12" t="n">
        <v>408</v>
      </c>
      <c r="T12" s="12" t="n">
        <v>463</v>
      </c>
      <c r="U12" s="12" t="n">
        <v>210</v>
      </c>
      <c r="V12" s="12" t="n">
        <v>593</v>
      </c>
      <c r="W12" s="12" t="n">
        <v>244</v>
      </c>
      <c r="X12" s="12" t="n">
        <v>452</v>
      </c>
      <c r="Y12" s="12" t="n">
        <v>386</v>
      </c>
      <c r="Z12" s="12" t="n">
        <v>529</v>
      </c>
      <c r="AA12" s="12" t="n">
        <v>452</v>
      </c>
      <c r="AB12" s="12" t="n">
        <v>555</v>
      </c>
      <c r="AC12" s="12" t="n">
        <v>281</v>
      </c>
      <c r="AD12" s="12" t="n">
        <v>352</v>
      </c>
      <c r="AE12" s="12" t="n">
        <v>390</v>
      </c>
      <c r="AF12" s="12" t="n">
        <v>496</v>
      </c>
    </row>
    <row r="13">
      <c r="A13" s="20" t="n"/>
      <c r="B13" s="13" t="inlineStr">
        <is>
          <t>Things are going in the right direction</t>
        </is>
      </c>
      <c r="C13" s="14" t="n">
        <v>0.39</v>
      </c>
      <c r="D13" s="14" t="n">
        <v>0.38</v>
      </c>
      <c r="E13" s="14" t="n">
        <v>0.44</v>
      </c>
      <c r="F13" s="14" t="n">
        <v>0.46</v>
      </c>
      <c r="G13" s="14" t="n">
        <v>0.59</v>
      </c>
      <c r="H13" s="14" t="n">
        <v>0.3</v>
      </c>
      <c r="I13" s="14" t="n">
        <v>0.29</v>
      </c>
      <c r="J13" s="14" t="n">
        <v>0.24</v>
      </c>
      <c r="K13" s="14" t="n">
        <v>0.31</v>
      </c>
      <c r="L13" s="14" t="n">
        <v>0.47</v>
      </c>
      <c r="M13" s="14" t="n">
        <v>0.27</v>
      </c>
      <c r="N13" s="14" t="n">
        <v>0.44</v>
      </c>
      <c r="O13" s="14" t="n">
        <v>0.23</v>
      </c>
      <c r="P13" s="14" t="n">
        <v>0.51</v>
      </c>
      <c r="Q13" s="14" t="n">
        <v>0.47</v>
      </c>
      <c r="R13" s="14" t="n">
        <v>0.32</v>
      </c>
      <c r="S13" s="14" t="n">
        <v>0.41</v>
      </c>
      <c r="T13" s="14" t="n">
        <v>0.45</v>
      </c>
      <c r="U13" s="14" t="n">
        <v>0.41</v>
      </c>
      <c r="V13" s="14" t="n">
        <v>0.58</v>
      </c>
      <c r="W13" s="14" t="n">
        <v>0.48</v>
      </c>
      <c r="X13" s="14" t="n">
        <v>0.44</v>
      </c>
      <c r="Y13" s="14" t="n">
        <v>0.38</v>
      </c>
      <c r="Z13" s="14" t="n">
        <v>0.52</v>
      </c>
      <c r="AA13" s="14" t="n">
        <v>0.44</v>
      </c>
      <c r="AB13" s="14" t="n">
        <v>0.53</v>
      </c>
      <c r="AC13" s="14" t="n">
        <v>0.28</v>
      </c>
      <c r="AD13" s="14" t="n">
        <v>0.35</v>
      </c>
      <c r="AE13" s="14" t="n">
        <v>0.38</v>
      </c>
      <c r="AF13" s="14" t="n">
        <v>0.48</v>
      </c>
    </row>
    <row r="14">
      <c r="A14" s="20" t="n"/>
      <c r="B14" s="11" t="inlineStr">
        <is>
          <t>Les choses vont dans la mauvaise direction</t>
        </is>
      </c>
      <c r="C14" s="12" t="n">
        <v>12172</v>
      </c>
      <c r="D14" s="12" t="n">
        <v>510</v>
      </c>
      <c r="E14" s="12" t="n">
        <v>360</v>
      </c>
      <c r="F14" s="12" t="n">
        <v>458</v>
      </c>
      <c r="G14" s="12" t="n">
        <v>232</v>
      </c>
      <c r="H14" s="12" t="n">
        <v>659</v>
      </c>
      <c r="I14" s="12" t="n">
        <v>847</v>
      </c>
      <c r="J14" s="12" t="n">
        <v>188</v>
      </c>
      <c r="K14" s="12" t="n">
        <v>340</v>
      </c>
      <c r="L14" s="12" t="n">
        <v>342</v>
      </c>
      <c r="M14" s="12" t="n">
        <v>588</v>
      </c>
      <c r="N14" s="12" t="n">
        <v>435</v>
      </c>
      <c r="O14" s="12" t="n">
        <v>590</v>
      </c>
      <c r="P14" s="12" t="n">
        <v>391</v>
      </c>
      <c r="Q14" s="12" t="n">
        <v>432</v>
      </c>
      <c r="R14" s="12" t="n">
        <v>219</v>
      </c>
      <c r="S14" s="12" t="n">
        <v>330</v>
      </c>
      <c r="T14" s="12" t="n">
        <v>262</v>
      </c>
      <c r="U14" s="12" t="n">
        <v>182</v>
      </c>
      <c r="V14" s="12" t="n">
        <v>346</v>
      </c>
      <c r="W14" s="12" t="n">
        <v>126</v>
      </c>
      <c r="X14" s="12" t="n">
        <v>448</v>
      </c>
      <c r="Y14" s="12" t="n">
        <v>458</v>
      </c>
      <c r="Z14" s="12" t="n">
        <v>358</v>
      </c>
      <c r="AA14" s="12" t="n">
        <v>294</v>
      </c>
      <c r="AB14" s="12" t="n">
        <v>394</v>
      </c>
      <c r="AC14" s="12" t="n">
        <v>440</v>
      </c>
      <c r="AD14" s="12" t="n">
        <v>520</v>
      </c>
      <c r="AE14" s="12" t="n">
        <v>435</v>
      </c>
      <c r="AF14" s="12" t="n">
        <v>377</v>
      </c>
    </row>
    <row r="15">
      <c r="A15" s="20" t="n"/>
      <c r="B15" s="13" t="inlineStr">
        <is>
          <t>Things are going in the wrong direction</t>
        </is>
      </c>
      <c r="C15" s="14" t="n">
        <v>0.46</v>
      </c>
      <c r="D15" s="14" t="n">
        <v>0.5</v>
      </c>
      <c r="E15" s="14" t="n">
        <v>0.35</v>
      </c>
      <c r="F15" s="14" t="n">
        <v>0.44</v>
      </c>
      <c r="G15" s="14" t="n">
        <v>0.23</v>
      </c>
      <c r="H15" s="14" t="n">
        <v>0.54</v>
      </c>
      <c r="I15" s="14" t="n">
        <v>0.5600000000000001</v>
      </c>
      <c r="J15" s="14" t="n">
        <v>0.64</v>
      </c>
      <c r="K15" s="14" t="n">
        <v>0.34</v>
      </c>
      <c r="L15" s="14" t="n">
        <v>0.34</v>
      </c>
      <c r="M15" s="14" t="n">
        <v>0.58</v>
      </c>
      <c r="N15" s="14" t="n">
        <v>0.43</v>
      </c>
      <c r="O15" s="14" t="n">
        <v>0.58</v>
      </c>
      <c r="P15" s="14" t="n">
        <v>0.39</v>
      </c>
      <c r="Q15" s="14" t="n">
        <v>0.42</v>
      </c>
      <c r="R15" s="14" t="n">
        <v>0.43</v>
      </c>
      <c r="S15" s="14" t="n">
        <v>0.33</v>
      </c>
      <c r="T15" s="14" t="n">
        <v>0.26</v>
      </c>
      <c r="U15" s="14" t="n">
        <v>0.36</v>
      </c>
      <c r="V15" s="14" t="n">
        <v>0.34</v>
      </c>
      <c r="W15" s="14" t="n">
        <v>0.25</v>
      </c>
      <c r="X15" s="14" t="n">
        <v>0.44</v>
      </c>
      <c r="Y15" s="14" t="n">
        <v>0.46</v>
      </c>
      <c r="Z15" s="14" t="n">
        <v>0.35</v>
      </c>
      <c r="AA15" s="14" t="n">
        <v>0.28</v>
      </c>
      <c r="AB15" s="14" t="n">
        <v>0.38</v>
      </c>
      <c r="AC15" s="14" t="n">
        <v>0.44</v>
      </c>
      <c r="AD15" s="14" t="n">
        <v>0.52</v>
      </c>
      <c r="AE15" s="14" t="n">
        <v>0.43</v>
      </c>
      <c r="AF15" s="14" t="n">
        <v>0.36</v>
      </c>
    </row>
    <row r="16">
      <c r="A16" s="20" t="n"/>
      <c r="B16" s="11" t="inlineStr">
        <is>
          <t>Ni l'un ni l'autre (SPONTANÉ)</t>
        </is>
      </c>
      <c r="C16" s="12" t="n">
        <v>2475</v>
      </c>
      <c r="D16" s="12" t="n">
        <v>100</v>
      </c>
      <c r="E16" s="12" t="n">
        <v>117</v>
      </c>
      <c r="F16" s="12" t="n">
        <v>31</v>
      </c>
      <c r="G16" s="12" t="n">
        <v>132</v>
      </c>
      <c r="H16" s="12" t="n">
        <v>145</v>
      </c>
      <c r="I16" s="12" t="n">
        <v>174</v>
      </c>
      <c r="J16" s="12" t="n">
        <v>29</v>
      </c>
      <c r="K16" s="12" t="n">
        <v>228</v>
      </c>
      <c r="L16" s="12" t="n">
        <v>120</v>
      </c>
      <c r="M16" s="12" t="n">
        <v>112</v>
      </c>
      <c r="N16" s="12" t="n">
        <v>75</v>
      </c>
      <c r="O16" s="12" t="n">
        <v>100</v>
      </c>
      <c r="P16" s="12" t="n">
        <v>62</v>
      </c>
      <c r="Q16" s="12" t="n">
        <v>70</v>
      </c>
      <c r="R16" s="12" t="n">
        <v>82</v>
      </c>
      <c r="S16" s="12" t="n">
        <v>144</v>
      </c>
      <c r="T16" s="12" t="n">
        <v>201</v>
      </c>
      <c r="U16" s="12" t="n">
        <v>93</v>
      </c>
      <c r="V16" s="12" t="n">
        <v>54</v>
      </c>
      <c r="W16" s="12" t="n">
        <v>105</v>
      </c>
      <c r="X16" s="12" t="n">
        <v>94</v>
      </c>
      <c r="Y16" s="12" t="n">
        <v>122</v>
      </c>
      <c r="Z16" s="12" t="n">
        <v>73</v>
      </c>
      <c r="AA16" s="12" t="n">
        <v>218</v>
      </c>
      <c r="AB16" s="12" t="n">
        <v>55</v>
      </c>
      <c r="AC16" s="12" t="n">
        <v>228</v>
      </c>
      <c r="AD16" s="12" t="n">
        <v>97</v>
      </c>
      <c r="AE16" s="12" t="n">
        <v>78</v>
      </c>
      <c r="AF16" s="12" t="n">
        <v>88</v>
      </c>
    </row>
    <row r="17">
      <c r="A17" s="20" t="n"/>
      <c r="B17" s="13" t="inlineStr">
        <is>
          <t>Neither the one nor the other (SPONTANEOUS)</t>
        </is>
      </c>
      <c r="C17" s="14" t="n">
        <v>0.1</v>
      </c>
      <c r="D17" s="14" t="n">
        <v>0.1</v>
      </c>
      <c r="E17" s="14" t="n">
        <v>0.12</v>
      </c>
      <c r="F17" s="14" t="n">
        <v>0.03</v>
      </c>
      <c r="G17" s="14" t="n">
        <v>0.13</v>
      </c>
      <c r="H17" s="14" t="n">
        <v>0.12</v>
      </c>
      <c r="I17" s="14" t="n">
        <v>0.12</v>
      </c>
      <c r="J17" s="14" t="n">
        <v>0.1</v>
      </c>
      <c r="K17" s="14" t="n">
        <v>0.23</v>
      </c>
      <c r="L17" s="14" t="n">
        <v>0.12</v>
      </c>
      <c r="M17" s="14" t="n">
        <v>0.11</v>
      </c>
      <c r="N17" s="14" t="n">
        <v>0.07000000000000001</v>
      </c>
      <c r="O17" s="14" t="n">
        <v>0.1</v>
      </c>
      <c r="P17" s="14" t="n">
        <v>0.06</v>
      </c>
      <c r="Q17" s="14" t="n">
        <v>0.07000000000000001</v>
      </c>
      <c r="R17" s="14" t="n">
        <v>0.16</v>
      </c>
      <c r="S17" s="14" t="n">
        <v>0.14</v>
      </c>
      <c r="T17" s="14" t="n">
        <v>0.2</v>
      </c>
      <c r="U17" s="14" t="n">
        <v>0.18</v>
      </c>
      <c r="V17" s="14" t="n">
        <v>0.05</v>
      </c>
      <c r="W17" s="14" t="n">
        <v>0.21</v>
      </c>
      <c r="X17" s="14" t="n">
        <v>0.09</v>
      </c>
      <c r="Y17" s="14" t="n">
        <v>0.12</v>
      </c>
      <c r="Z17" s="14" t="n">
        <v>0.07000000000000001</v>
      </c>
      <c r="AA17" s="14" t="n">
        <v>0.21</v>
      </c>
      <c r="AB17" s="14" t="n">
        <v>0.05</v>
      </c>
      <c r="AC17" s="14" t="n">
        <v>0.22</v>
      </c>
      <c r="AD17" s="14" t="n">
        <v>0.1</v>
      </c>
      <c r="AE17" s="14" t="n">
        <v>0.08</v>
      </c>
      <c r="AF17" s="14" t="n">
        <v>0.09</v>
      </c>
    </row>
    <row r="18">
      <c r="A18" s="20" t="n"/>
      <c r="B18" s="11" t="inlineStr">
        <is>
          <t>Ne sait pas</t>
        </is>
      </c>
      <c r="C18" s="12" t="n">
        <v>1389</v>
      </c>
      <c r="D18" s="12" t="n">
        <v>19</v>
      </c>
      <c r="E18" s="12" t="n">
        <v>89</v>
      </c>
      <c r="F18" s="12" t="n">
        <v>73</v>
      </c>
      <c r="G18" s="12" t="n">
        <v>53</v>
      </c>
      <c r="H18" s="12" t="n">
        <v>45</v>
      </c>
      <c r="I18" s="12" t="n">
        <v>50</v>
      </c>
      <c r="J18" s="12" t="n">
        <v>5</v>
      </c>
      <c r="K18" s="12" t="n">
        <v>122</v>
      </c>
      <c r="L18" s="12" t="n">
        <v>69</v>
      </c>
      <c r="M18" s="12" t="n">
        <v>41</v>
      </c>
      <c r="N18" s="12" t="n">
        <v>55</v>
      </c>
      <c r="O18" s="12" t="n">
        <v>88</v>
      </c>
      <c r="P18" s="12" t="n">
        <v>35</v>
      </c>
      <c r="Q18" s="12" t="n">
        <v>41</v>
      </c>
      <c r="R18" s="12" t="n">
        <v>44</v>
      </c>
      <c r="S18" s="12" t="n">
        <v>123</v>
      </c>
      <c r="T18" s="12" t="n">
        <v>92</v>
      </c>
      <c r="U18" s="12" t="n">
        <v>23</v>
      </c>
      <c r="V18" s="12" t="n">
        <v>27</v>
      </c>
      <c r="W18" s="12" t="n">
        <v>30</v>
      </c>
      <c r="X18" s="12" t="n">
        <v>29</v>
      </c>
      <c r="Y18" s="12" t="n">
        <v>37</v>
      </c>
      <c r="Z18" s="12" t="n">
        <v>60</v>
      </c>
      <c r="AA18" s="12" t="n">
        <v>67</v>
      </c>
      <c r="AB18" s="12" t="n">
        <v>41</v>
      </c>
      <c r="AC18" s="12" t="n">
        <v>59</v>
      </c>
      <c r="AD18" s="12" t="n">
        <v>31</v>
      </c>
      <c r="AE18" s="12" t="n">
        <v>113</v>
      </c>
      <c r="AF18" s="12" t="n">
        <v>76</v>
      </c>
    </row>
    <row r="19">
      <c r="A19" s="23" t="n"/>
      <c r="B19" s="13" t="inlineStr">
        <is>
          <t>Don't know</t>
        </is>
      </c>
      <c r="C19" s="14" t="n">
        <v>0.05</v>
      </c>
      <c r="D19" s="14" t="n">
        <v>0.02</v>
      </c>
      <c r="E19" s="14" t="n">
        <v>0.09</v>
      </c>
      <c r="F19" s="14" t="n">
        <v>0.07000000000000001</v>
      </c>
      <c r="G19" s="14" t="n">
        <v>0.05</v>
      </c>
      <c r="H19" s="14" t="n">
        <v>0.04</v>
      </c>
      <c r="I19" s="14" t="n">
        <v>0.03</v>
      </c>
      <c r="J19" s="14" t="n">
        <v>0.02</v>
      </c>
      <c r="K19" s="14" t="n">
        <v>0.12</v>
      </c>
      <c r="L19" s="14" t="n">
        <v>0.07000000000000001</v>
      </c>
      <c r="M19" s="14" t="n">
        <v>0.04</v>
      </c>
      <c r="N19" s="14" t="n">
        <v>0.06</v>
      </c>
      <c r="O19" s="14" t="n">
        <v>0.09</v>
      </c>
      <c r="P19" s="14" t="n">
        <v>0.04</v>
      </c>
      <c r="Q19" s="14" t="n">
        <v>0.04</v>
      </c>
      <c r="R19" s="14" t="n">
        <v>0.09</v>
      </c>
      <c r="S19" s="14" t="n">
        <v>0.12</v>
      </c>
      <c r="T19" s="14" t="n">
        <v>0.09</v>
      </c>
      <c r="U19" s="14" t="n">
        <v>0.05</v>
      </c>
      <c r="V19" s="14" t="n">
        <v>0.03</v>
      </c>
      <c r="W19" s="14" t="n">
        <v>0.06</v>
      </c>
      <c r="X19" s="14" t="n">
        <v>0.03</v>
      </c>
      <c r="Y19" s="14" t="n">
        <v>0.04</v>
      </c>
      <c r="Z19" s="14" t="n">
        <v>0.06</v>
      </c>
      <c r="AA19" s="14" t="n">
        <v>0.07000000000000001</v>
      </c>
      <c r="AB19" s="14" t="n">
        <v>0.04</v>
      </c>
      <c r="AC19" s="14" t="n">
        <v>0.06</v>
      </c>
      <c r="AD19" s="14" t="n">
        <v>0.03</v>
      </c>
      <c r="AE19" s="14" t="n">
        <v>0.11</v>
      </c>
      <c r="AF19" s="14" t="n">
        <v>0.07000000000000001</v>
      </c>
    </row>
  </sheetData>
  <mergeCells count="9">
    <mergeCell ref="B4:F4"/>
    <mergeCell ref="H3:L3"/>
    <mergeCell ref="C8:AF8"/>
    <mergeCell ref="B3:F3"/>
    <mergeCell ref="B5:F5"/>
    <mergeCell ref="A10:A19"/>
    <mergeCell ref="H5:L5"/>
    <mergeCell ref="B10:B11"/>
    <mergeCell ref="H4:L4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F19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24" customHeight="1" s="18">
      <c r="B3" s="21" t="inlineStr">
        <is>
          <t>D73.3. En ce moment, diriez-vous que, d’une manière générale, les choses vont dans la bonne direction ou dans la mauvaise direction… ?</t>
        </is>
      </c>
      <c r="H3" s="21" t="inlineStr">
        <is>
          <t>D73.3. At the present time, would you say that, in general, things are going in the right direction or in the wrong direction, in…?</t>
        </is>
      </c>
    </row>
    <row r="4" ht="27" customHeight="1" s="18">
      <c r="B4" s="21" t="inlineStr">
        <is>
          <t>Aux États-Unis</t>
        </is>
      </c>
      <c r="H4" s="21" t="inlineStr">
        <is>
          <t>The USA</t>
        </is>
      </c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HYPERLINK("#Content!A70","&lt;&lt;Back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Les choses vont dans la bonne direction</t>
        </is>
      </c>
      <c r="C12" s="12" t="n">
        <v>3598</v>
      </c>
      <c r="D12" s="12" t="n">
        <v>83</v>
      </c>
      <c r="E12" s="12" t="n">
        <v>213</v>
      </c>
      <c r="F12" s="12" t="n">
        <v>248</v>
      </c>
      <c r="G12" s="12" t="n">
        <v>13</v>
      </c>
      <c r="H12" s="12" t="n">
        <v>41</v>
      </c>
      <c r="I12" s="12" t="n">
        <v>63</v>
      </c>
      <c r="J12" s="12" t="n">
        <v>22</v>
      </c>
      <c r="K12" s="12" t="n">
        <v>106</v>
      </c>
      <c r="L12" s="12" t="n">
        <v>69</v>
      </c>
      <c r="M12" s="12" t="n">
        <v>153</v>
      </c>
      <c r="N12" s="12" t="n">
        <v>138</v>
      </c>
      <c r="O12" s="12" t="n">
        <v>84</v>
      </c>
      <c r="P12" s="12" t="n">
        <v>252</v>
      </c>
      <c r="Q12" s="12" t="n">
        <v>187</v>
      </c>
      <c r="R12" s="12" t="n">
        <v>54</v>
      </c>
      <c r="S12" s="12" t="n">
        <v>117</v>
      </c>
      <c r="T12" s="12" t="n">
        <v>166</v>
      </c>
      <c r="U12" s="12" t="n">
        <v>25</v>
      </c>
      <c r="V12" s="12" t="n">
        <v>468</v>
      </c>
      <c r="W12" s="12" t="n">
        <v>47</v>
      </c>
      <c r="X12" s="12" t="n">
        <v>18</v>
      </c>
      <c r="Y12" s="12" t="n">
        <v>145</v>
      </c>
      <c r="Z12" s="12" t="n">
        <v>249</v>
      </c>
      <c r="AA12" s="12" t="n">
        <v>196</v>
      </c>
      <c r="AB12" s="12" t="n">
        <v>381</v>
      </c>
      <c r="AC12" s="12" t="n">
        <v>77</v>
      </c>
      <c r="AD12" s="12" t="n">
        <v>138</v>
      </c>
      <c r="AE12" s="12" t="n">
        <v>56</v>
      </c>
      <c r="AF12" s="12" t="n">
        <v>40</v>
      </c>
    </row>
    <row r="13">
      <c r="A13" s="20" t="n"/>
      <c r="B13" s="13" t="inlineStr">
        <is>
          <t>Things are going in the right direction</t>
        </is>
      </c>
      <c r="C13" s="14" t="n">
        <v>0.14</v>
      </c>
      <c r="D13" s="14" t="n">
        <v>0.08</v>
      </c>
      <c r="E13" s="14" t="n">
        <v>0.21</v>
      </c>
      <c r="F13" s="14" t="n">
        <v>0.24</v>
      </c>
      <c r="G13" s="14" t="n">
        <v>0.01</v>
      </c>
      <c r="H13" s="14" t="n">
        <v>0.03</v>
      </c>
      <c r="I13" s="14" t="n">
        <v>0.04</v>
      </c>
      <c r="J13" s="14" t="n">
        <v>0.08</v>
      </c>
      <c r="K13" s="14" t="n">
        <v>0.1</v>
      </c>
      <c r="L13" s="14" t="n">
        <v>0.07000000000000001</v>
      </c>
      <c r="M13" s="14" t="n">
        <v>0.15</v>
      </c>
      <c r="N13" s="14" t="n">
        <v>0.14</v>
      </c>
      <c r="O13" s="14" t="n">
        <v>0.08</v>
      </c>
      <c r="P13" s="14" t="n">
        <v>0.25</v>
      </c>
      <c r="Q13" s="14" t="n">
        <v>0.18</v>
      </c>
      <c r="R13" s="14" t="n">
        <v>0.11</v>
      </c>
      <c r="S13" s="14" t="n">
        <v>0.11</v>
      </c>
      <c r="T13" s="14" t="n">
        <v>0.16</v>
      </c>
      <c r="U13" s="14" t="n">
        <v>0.05</v>
      </c>
      <c r="V13" s="14" t="n">
        <v>0.46</v>
      </c>
      <c r="W13" s="14" t="n">
        <v>0.09</v>
      </c>
      <c r="X13" s="14" t="n">
        <v>0.02</v>
      </c>
      <c r="Y13" s="14" t="n">
        <v>0.14</v>
      </c>
      <c r="Z13" s="14" t="n">
        <v>0.24</v>
      </c>
      <c r="AA13" s="14" t="n">
        <v>0.19</v>
      </c>
      <c r="AB13" s="14" t="n">
        <v>0.37</v>
      </c>
      <c r="AC13" s="14" t="n">
        <v>0.08</v>
      </c>
      <c r="AD13" s="14" t="n">
        <v>0.14</v>
      </c>
      <c r="AE13" s="14" t="n">
        <v>0.06</v>
      </c>
      <c r="AF13" s="14" t="n">
        <v>0.04</v>
      </c>
    </row>
    <row r="14">
      <c r="A14" s="20" t="n"/>
      <c r="B14" s="11" t="inlineStr">
        <is>
          <t>Les choses vont dans la mauvaise direction</t>
        </is>
      </c>
      <c r="C14" s="12" t="n">
        <v>20176</v>
      </c>
      <c r="D14" s="12" t="n">
        <v>876</v>
      </c>
      <c r="E14" s="12" t="n">
        <v>514</v>
      </c>
      <c r="F14" s="12" t="n">
        <v>683</v>
      </c>
      <c r="G14" s="12" t="n">
        <v>947</v>
      </c>
      <c r="H14" s="12" t="n">
        <v>1106</v>
      </c>
      <c r="I14" s="12" t="n">
        <v>1365</v>
      </c>
      <c r="J14" s="12" t="n">
        <v>258</v>
      </c>
      <c r="K14" s="12" t="n">
        <v>632</v>
      </c>
      <c r="L14" s="12" t="n">
        <v>877</v>
      </c>
      <c r="M14" s="12" t="n">
        <v>742</v>
      </c>
      <c r="N14" s="12" t="n">
        <v>768</v>
      </c>
      <c r="O14" s="12" t="n">
        <v>780</v>
      </c>
      <c r="P14" s="12" t="n">
        <v>653</v>
      </c>
      <c r="Q14" s="12" t="n">
        <v>782</v>
      </c>
      <c r="R14" s="12" t="n">
        <v>304</v>
      </c>
      <c r="S14" s="12" t="n">
        <v>572</v>
      </c>
      <c r="T14" s="12" t="n">
        <v>568</v>
      </c>
      <c r="U14" s="12" t="n">
        <v>429</v>
      </c>
      <c r="V14" s="12" t="n">
        <v>436</v>
      </c>
      <c r="W14" s="12" t="n">
        <v>392</v>
      </c>
      <c r="X14" s="12" t="n">
        <v>954</v>
      </c>
      <c r="Y14" s="12" t="n">
        <v>739</v>
      </c>
      <c r="Z14" s="12" t="n">
        <v>614</v>
      </c>
      <c r="AA14" s="12" t="n">
        <v>689</v>
      </c>
      <c r="AB14" s="12" t="n">
        <v>525</v>
      </c>
      <c r="AC14" s="12" t="n">
        <v>822</v>
      </c>
      <c r="AD14" s="12" t="n">
        <v>767</v>
      </c>
      <c r="AE14" s="12" t="n">
        <v>863</v>
      </c>
      <c r="AF14" s="12" t="n">
        <v>979</v>
      </c>
    </row>
    <row r="15">
      <c r="A15" s="20" t="n"/>
      <c r="B15" s="13" t="inlineStr">
        <is>
          <t>Things are going in the wrong direction</t>
        </is>
      </c>
      <c r="C15" s="14" t="n">
        <v>0.76</v>
      </c>
      <c r="D15" s="14" t="n">
        <v>0.86</v>
      </c>
      <c r="E15" s="14" t="n">
        <v>0.5</v>
      </c>
      <c r="F15" s="14" t="n">
        <v>0.65</v>
      </c>
      <c r="G15" s="14" t="n">
        <v>0.9400000000000001</v>
      </c>
      <c r="H15" s="14" t="n">
        <v>0.91</v>
      </c>
      <c r="I15" s="14" t="n">
        <v>0.91</v>
      </c>
      <c r="J15" s="14" t="n">
        <v>0.88</v>
      </c>
      <c r="K15" s="14" t="n">
        <v>0.63</v>
      </c>
      <c r="L15" s="14" t="n">
        <v>0.87</v>
      </c>
      <c r="M15" s="14" t="n">
        <v>0.74</v>
      </c>
      <c r="N15" s="14" t="n">
        <v>0.76</v>
      </c>
      <c r="O15" s="14" t="n">
        <v>0.77</v>
      </c>
      <c r="P15" s="14" t="n">
        <v>0.65</v>
      </c>
      <c r="Q15" s="14" t="n">
        <v>0.76</v>
      </c>
      <c r="R15" s="14" t="n">
        <v>0.6</v>
      </c>
      <c r="S15" s="14" t="n">
        <v>0.5700000000000001</v>
      </c>
      <c r="T15" s="14" t="n">
        <v>0.5600000000000001</v>
      </c>
      <c r="U15" s="14" t="n">
        <v>0.84</v>
      </c>
      <c r="V15" s="14" t="n">
        <v>0.43</v>
      </c>
      <c r="W15" s="14" t="n">
        <v>0.78</v>
      </c>
      <c r="X15" s="14" t="n">
        <v>0.93</v>
      </c>
      <c r="Y15" s="14" t="n">
        <v>0.74</v>
      </c>
      <c r="Z15" s="14" t="n">
        <v>0.6</v>
      </c>
      <c r="AA15" s="14" t="n">
        <v>0.67</v>
      </c>
      <c r="AB15" s="14" t="n">
        <v>0.5</v>
      </c>
      <c r="AC15" s="14" t="n">
        <v>0.8200000000000001</v>
      </c>
      <c r="AD15" s="14" t="n">
        <v>0.76</v>
      </c>
      <c r="AE15" s="14" t="n">
        <v>0.85</v>
      </c>
      <c r="AF15" s="14" t="n">
        <v>0.9400000000000001</v>
      </c>
    </row>
    <row r="16">
      <c r="A16" s="20" t="n"/>
      <c r="B16" s="11" t="inlineStr">
        <is>
          <t>Ni l'un ni l'autre (SPONTANÉ)</t>
        </is>
      </c>
      <c r="C16" s="12" t="n">
        <v>1013</v>
      </c>
      <c r="D16" s="12" t="n">
        <v>53</v>
      </c>
      <c r="E16" s="12" t="n">
        <v>88</v>
      </c>
      <c r="F16" s="12" t="n">
        <v>40</v>
      </c>
      <c r="G16" s="12" t="n">
        <v>26</v>
      </c>
      <c r="H16" s="12" t="n">
        <v>33</v>
      </c>
      <c r="I16" s="12" t="n">
        <v>42</v>
      </c>
      <c r="J16" s="12" t="n">
        <v>9</v>
      </c>
      <c r="K16" s="12" t="n">
        <v>96</v>
      </c>
      <c r="L16" s="12" t="n">
        <v>40</v>
      </c>
      <c r="M16" s="12" t="n">
        <v>42</v>
      </c>
      <c r="N16" s="12" t="n">
        <v>32</v>
      </c>
      <c r="O16" s="12" t="n">
        <v>41</v>
      </c>
      <c r="P16" s="12" t="n">
        <v>44</v>
      </c>
      <c r="Q16" s="12" t="n">
        <v>15</v>
      </c>
      <c r="R16" s="12" t="n">
        <v>58</v>
      </c>
      <c r="S16" s="12" t="n">
        <v>68</v>
      </c>
      <c r="T16" s="12" t="n">
        <v>135</v>
      </c>
      <c r="U16" s="12" t="n">
        <v>14</v>
      </c>
      <c r="V16" s="12" t="n">
        <v>55</v>
      </c>
      <c r="W16" s="12" t="n">
        <v>21</v>
      </c>
      <c r="X16" s="12" t="n">
        <v>21</v>
      </c>
      <c r="Y16" s="12" t="n">
        <v>75</v>
      </c>
      <c r="Z16" s="12" t="n">
        <v>81</v>
      </c>
      <c r="AA16" s="12" t="n">
        <v>48</v>
      </c>
      <c r="AB16" s="12" t="n">
        <v>53</v>
      </c>
      <c r="AC16" s="12" t="n">
        <v>61</v>
      </c>
      <c r="AD16" s="12" t="n">
        <v>38</v>
      </c>
      <c r="AE16" s="12" t="n">
        <v>14</v>
      </c>
      <c r="AF16" s="12" t="n">
        <v>7</v>
      </c>
    </row>
    <row r="17">
      <c r="A17" s="20" t="n"/>
      <c r="B17" s="13" t="inlineStr">
        <is>
          <t>Neither the one nor the other (SPONTANEOUS)</t>
        </is>
      </c>
      <c r="C17" s="14" t="n">
        <v>0.04</v>
      </c>
      <c r="D17" s="14" t="n">
        <v>0.05</v>
      </c>
      <c r="E17" s="14" t="n">
        <v>0.09</v>
      </c>
      <c r="F17" s="14" t="n">
        <v>0.04</v>
      </c>
      <c r="G17" s="14" t="n">
        <v>0.03</v>
      </c>
      <c r="H17" s="14" t="n">
        <v>0.03</v>
      </c>
      <c r="I17" s="14" t="n">
        <v>0.03</v>
      </c>
      <c r="J17" s="14" t="n">
        <v>0.03</v>
      </c>
      <c r="K17" s="14" t="n">
        <v>0.1</v>
      </c>
      <c r="L17" s="14" t="n">
        <v>0.04</v>
      </c>
      <c r="M17" s="14" t="n">
        <v>0.04</v>
      </c>
      <c r="N17" s="14" t="n">
        <v>0.03</v>
      </c>
      <c r="O17" s="14" t="n">
        <v>0.04</v>
      </c>
      <c r="P17" s="14" t="n">
        <v>0.04</v>
      </c>
      <c r="Q17" s="14" t="n">
        <v>0.02</v>
      </c>
      <c r="R17" s="14" t="n">
        <v>0.12</v>
      </c>
      <c r="S17" s="14" t="n">
        <v>0.07000000000000001</v>
      </c>
      <c r="T17" s="14" t="n">
        <v>0.13</v>
      </c>
      <c r="U17" s="14" t="n">
        <v>0.03</v>
      </c>
      <c r="V17" s="14" t="n">
        <v>0.05</v>
      </c>
      <c r="W17" s="14" t="n">
        <v>0.04</v>
      </c>
      <c r="X17" s="14" t="n">
        <v>0.02</v>
      </c>
      <c r="Y17" s="14" t="n">
        <v>0.08</v>
      </c>
      <c r="Z17" s="14" t="n">
        <v>0.08</v>
      </c>
      <c r="AA17" s="14" t="n">
        <v>0.05</v>
      </c>
      <c r="AB17" s="14" t="n">
        <v>0.05</v>
      </c>
      <c r="AC17" s="14" t="n">
        <v>0.06</v>
      </c>
      <c r="AD17" s="14" t="n">
        <v>0.04</v>
      </c>
      <c r="AE17" s="14" t="n">
        <v>0.01</v>
      </c>
      <c r="AF17" s="14" t="n">
        <v>0.01</v>
      </c>
    </row>
    <row r="18">
      <c r="A18" s="20" t="n"/>
      <c r="B18" s="11" t="inlineStr">
        <is>
          <t>Ne sait pas</t>
        </is>
      </c>
      <c r="C18" s="12" t="n">
        <v>1634</v>
      </c>
      <c r="D18" s="12" t="n">
        <v>8</v>
      </c>
      <c r="E18" s="12" t="n">
        <v>199</v>
      </c>
      <c r="F18" s="12" t="n">
        <v>78</v>
      </c>
      <c r="G18" s="12" t="n">
        <v>21</v>
      </c>
      <c r="H18" s="12" t="n">
        <v>34</v>
      </c>
      <c r="I18" s="12" t="n">
        <v>37</v>
      </c>
      <c r="J18" s="12" t="n">
        <v>4</v>
      </c>
      <c r="K18" s="12" t="n">
        <v>171</v>
      </c>
      <c r="L18" s="12" t="n">
        <v>25</v>
      </c>
      <c r="M18" s="12" t="n">
        <v>69</v>
      </c>
      <c r="N18" s="12" t="n">
        <v>67</v>
      </c>
      <c r="O18" s="12" t="n">
        <v>110</v>
      </c>
      <c r="P18" s="12" t="n">
        <v>58</v>
      </c>
      <c r="Q18" s="12" t="n">
        <v>45</v>
      </c>
      <c r="R18" s="12" t="n">
        <v>88</v>
      </c>
      <c r="S18" s="12" t="n">
        <v>249</v>
      </c>
      <c r="T18" s="12" t="n">
        <v>148</v>
      </c>
      <c r="U18" s="12" t="n">
        <v>40</v>
      </c>
      <c r="V18" s="12" t="n">
        <v>61</v>
      </c>
      <c r="W18" s="12" t="n">
        <v>44</v>
      </c>
      <c r="X18" s="12" t="n">
        <v>29</v>
      </c>
      <c r="Y18" s="12" t="n">
        <v>44</v>
      </c>
      <c r="Z18" s="12" t="n">
        <v>76</v>
      </c>
      <c r="AA18" s="12" t="n">
        <v>99</v>
      </c>
      <c r="AB18" s="12" t="n">
        <v>86</v>
      </c>
      <c r="AC18" s="12" t="n">
        <v>47</v>
      </c>
      <c r="AD18" s="12" t="n">
        <v>58</v>
      </c>
      <c r="AE18" s="12" t="n">
        <v>83</v>
      </c>
      <c r="AF18" s="12" t="n">
        <v>11</v>
      </c>
    </row>
    <row r="19">
      <c r="A19" s="23" t="n"/>
      <c r="B19" s="13" t="inlineStr">
        <is>
          <t>Don't know</t>
        </is>
      </c>
      <c r="C19" s="14" t="n">
        <v>0.06</v>
      </c>
      <c r="D19" s="14" t="n">
        <v>0.01</v>
      </c>
      <c r="E19" s="14" t="n">
        <v>0.2</v>
      </c>
      <c r="F19" s="14" t="n">
        <v>0.07000000000000001</v>
      </c>
      <c r="G19" s="14" t="n">
        <v>0.02</v>
      </c>
      <c r="H19" s="14" t="n">
        <v>0.03</v>
      </c>
      <c r="I19" s="14" t="n">
        <v>0.02</v>
      </c>
      <c r="J19" s="14" t="n">
        <v>0.01</v>
      </c>
      <c r="K19" s="14" t="n">
        <v>0.17</v>
      </c>
      <c r="L19" s="14" t="n">
        <v>0.02</v>
      </c>
      <c r="M19" s="14" t="n">
        <v>0.07000000000000001</v>
      </c>
      <c r="N19" s="14" t="n">
        <v>0.07000000000000001</v>
      </c>
      <c r="O19" s="14" t="n">
        <v>0.11</v>
      </c>
      <c r="P19" s="14" t="n">
        <v>0.06</v>
      </c>
      <c r="Q19" s="14" t="n">
        <v>0.04</v>
      </c>
      <c r="R19" s="14" t="n">
        <v>0.17</v>
      </c>
      <c r="S19" s="14" t="n">
        <v>0.25</v>
      </c>
      <c r="T19" s="14" t="n">
        <v>0.15</v>
      </c>
      <c r="U19" s="14" t="n">
        <v>0.08</v>
      </c>
      <c r="V19" s="14" t="n">
        <v>0.06</v>
      </c>
      <c r="W19" s="14" t="n">
        <v>0.09</v>
      </c>
      <c r="X19" s="14" t="n">
        <v>0.03</v>
      </c>
      <c r="Y19" s="14" t="n">
        <v>0.04</v>
      </c>
      <c r="Z19" s="14" t="n">
        <v>0.08</v>
      </c>
      <c r="AA19" s="14" t="n">
        <v>0.09</v>
      </c>
      <c r="AB19" s="14" t="n">
        <v>0.08</v>
      </c>
      <c r="AC19" s="14" t="n">
        <v>0.04</v>
      </c>
      <c r="AD19" s="14" t="n">
        <v>0.06</v>
      </c>
      <c r="AE19" s="14" t="n">
        <v>0.08</v>
      </c>
      <c r="AF19" s="14" t="n">
        <v>0.01</v>
      </c>
    </row>
  </sheetData>
  <mergeCells count="9">
    <mergeCell ref="B4:F4"/>
    <mergeCell ref="H3:L3"/>
    <mergeCell ref="C8:AF8"/>
    <mergeCell ref="B3:F3"/>
    <mergeCell ref="B5:F5"/>
    <mergeCell ref="A10:A19"/>
    <mergeCell ref="H5:L5"/>
    <mergeCell ref="B10:B11"/>
    <mergeCell ref="H4:L4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F19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24" customHeight="1" s="18">
      <c r="B3" s="21" t="inlineStr">
        <is>
          <t>D73.4. En ce moment, diriez-vous que, d’une manière générale, les choses vont dans la bonne direction ou dans la mauvaise direction… ?</t>
        </is>
      </c>
      <c r="H3" s="21" t="inlineStr">
        <is>
          <t>D73.4. At the present time, would you say that, in general, things are going in the right direction or in the wrong direction, in…?</t>
        </is>
      </c>
    </row>
    <row r="4" ht="27" customHeight="1" s="18">
      <c r="B4" s="21" t="inlineStr">
        <is>
          <t>Dans votre vie personnelle</t>
        </is>
      </c>
      <c r="H4" s="21" t="inlineStr">
        <is>
          <t>Your life personally</t>
        </is>
      </c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HYPERLINK("#Content!A71","&lt;&lt;Back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Les choses vont dans la bonne direction</t>
        </is>
      </c>
      <c r="C12" s="12" t="n">
        <v>20106</v>
      </c>
      <c r="D12" s="12" t="n">
        <v>773</v>
      </c>
      <c r="E12" s="12" t="n">
        <v>683</v>
      </c>
      <c r="F12" s="12" t="n">
        <v>871</v>
      </c>
      <c r="G12" s="12" t="n">
        <v>877</v>
      </c>
      <c r="H12" s="12" t="n">
        <v>893</v>
      </c>
      <c r="I12" s="12" t="n">
        <v>1098</v>
      </c>
      <c r="J12" s="12" t="n">
        <v>205</v>
      </c>
      <c r="K12" s="12" t="n">
        <v>747</v>
      </c>
      <c r="L12" s="12" t="n">
        <v>833</v>
      </c>
      <c r="M12" s="12" t="n">
        <v>777</v>
      </c>
      <c r="N12" s="12" t="n">
        <v>877</v>
      </c>
      <c r="O12" s="12" t="n">
        <v>723</v>
      </c>
      <c r="P12" s="12" t="n">
        <v>706</v>
      </c>
      <c r="Q12" s="12" t="n">
        <v>755</v>
      </c>
      <c r="R12" s="12" t="n">
        <v>435</v>
      </c>
      <c r="S12" s="12" t="n">
        <v>810</v>
      </c>
      <c r="T12" s="12" t="n">
        <v>854</v>
      </c>
      <c r="U12" s="12" t="n">
        <v>432</v>
      </c>
      <c r="V12" s="12" t="n">
        <v>765</v>
      </c>
      <c r="W12" s="12" t="n">
        <v>445</v>
      </c>
      <c r="X12" s="12" t="n">
        <v>854</v>
      </c>
      <c r="Y12" s="12" t="n">
        <v>754</v>
      </c>
      <c r="Z12" s="12" t="n">
        <v>795</v>
      </c>
      <c r="AA12" s="12" t="n">
        <v>690</v>
      </c>
      <c r="AB12" s="12" t="n">
        <v>724</v>
      </c>
      <c r="AC12" s="12" t="n">
        <v>903</v>
      </c>
      <c r="AD12" s="12" t="n">
        <v>770</v>
      </c>
      <c r="AE12" s="12" t="n">
        <v>729</v>
      </c>
      <c r="AF12" s="12" t="n">
        <v>895</v>
      </c>
    </row>
    <row r="13">
      <c r="A13" s="20" t="n"/>
      <c r="B13" s="13" t="inlineStr">
        <is>
          <t>Things are going in the right direction</t>
        </is>
      </c>
      <c r="C13" s="14" t="n">
        <v>0.76</v>
      </c>
      <c r="D13" s="14" t="n">
        <v>0.76</v>
      </c>
      <c r="E13" s="14" t="n">
        <v>0.67</v>
      </c>
      <c r="F13" s="14" t="n">
        <v>0.8300000000000001</v>
      </c>
      <c r="G13" s="14" t="n">
        <v>0.87</v>
      </c>
      <c r="H13" s="14" t="n">
        <v>0.74</v>
      </c>
      <c r="I13" s="14" t="n">
        <v>0.73</v>
      </c>
      <c r="J13" s="14" t="n">
        <v>0.7000000000000001</v>
      </c>
      <c r="K13" s="14" t="n">
        <v>0.74</v>
      </c>
      <c r="L13" s="14" t="n">
        <v>0.8200000000000001</v>
      </c>
      <c r="M13" s="14" t="n">
        <v>0.77</v>
      </c>
      <c r="N13" s="14" t="n">
        <v>0.87</v>
      </c>
      <c r="O13" s="14" t="n">
        <v>0.71</v>
      </c>
      <c r="P13" s="14" t="n">
        <v>0.7000000000000001</v>
      </c>
      <c r="Q13" s="14" t="n">
        <v>0.73</v>
      </c>
      <c r="R13" s="14" t="n">
        <v>0.86</v>
      </c>
      <c r="S13" s="14" t="n">
        <v>0.8</v>
      </c>
      <c r="T13" s="14" t="n">
        <v>0.84</v>
      </c>
      <c r="U13" s="14" t="n">
        <v>0.85</v>
      </c>
      <c r="V13" s="14" t="n">
        <v>0.75</v>
      </c>
      <c r="W13" s="14" t="n">
        <v>0.88</v>
      </c>
      <c r="X13" s="14" t="n">
        <v>0.8300000000000001</v>
      </c>
      <c r="Y13" s="14" t="n">
        <v>0.75</v>
      </c>
      <c r="Z13" s="14" t="n">
        <v>0.78</v>
      </c>
      <c r="AA13" s="14" t="n">
        <v>0.67</v>
      </c>
      <c r="AB13" s="14" t="n">
        <v>0.6900000000000001</v>
      </c>
      <c r="AC13" s="14" t="n">
        <v>0.9</v>
      </c>
      <c r="AD13" s="14" t="n">
        <v>0.77</v>
      </c>
      <c r="AE13" s="14" t="n">
        <v>0.72</v>
      </c>
      <c r="AF13" s="14" t="n">
        <v>0.86</v>
      </c>
    </row>
    <row r="14">
      <c r="A14" s="20" t="n"/>
      <c r="B14" s="11" t="inlineStr">
        <is>
          <t>Les choses vont dans la mauvaise direction</t>
        </is>
      </c>
      <c r="C14" s="12" t="n">
        <v>3193</v>
      </c>
      <c r="D14" s="12" t="n">
        <v>170</v>
      </c>
      <c r="E14" s="12" t="n">
        <v>122</v>
      </c>
      <c r="F14" s="12" t="n">
        <v>134</v>
      </c>
      <c r="G14" s="12" t="n">
        <v>50</v>
      </c>
      <c r="H14" s="12" t="n">
        <v>122</v>
      </c>
      <c r="I14" s="12" t="n">
        <v>170</v>
      </c>
      <c r="J14" s="12" t="n">
        <v>47</v>
      </c>
      <c r="K14" s="12" t="n">
        <v>65</v>
      </c>
      <c r="L14" s="12" t="n">
        <v>49</v>
      </c>
      <c r="M14" s="12" t="n">
        <v>138</v>
      </c>
      <c r="N14" s="12" t="n">
        <v>59</v>
      </c>
      <c r="O14" s="12" t="n">
        <v>148</v>
      </c>
      <c r="P14" s="12" t="n">
        <v>216</v>
      </c>
      <c r="Q14" s="12" t="n">
        <v>174</v>
      </c>
      <c r="R14" s="12" t="n">
        <v>16</v>
      </c>
      <c r="S14" s="12" t="n">
        <v>60</v>
      </c>
      <c r="T14" s="12" t="n">
        <v>44</v>
      </c>
      <c r="U14" s="12" t="n">
        <v>16</v>
      </c>
      <c r="V14" s="12" t="n">
        <v>131</v>
      </c>
      <c r="W14" s="12" t="n">
        <v>28</v>
      </c>
      <c r="X14" s="12" t="n">
        <v>71</v>
      </c>
      <c r="Y14" s="12" t="n">
        <v>120</v>
      </c>
      <c r="Z14" s="12" t="n">
        <v>110</v>
      </c>
      <c r="AA14" s="12" t="n">
        <v>136</v>
      </c>
      <c r="AB14" s="12" t="n">
        <v>220</v>
      </c>
      <c r="AC14" s="12" t="n">
        <v>27</v>
      </c>
      <c r="AD14" s="12" t="n">
        <v>134</v>
      </c>
      <c r="AE14" s="12" t="n">
        <v>77</v>
      </c>
      <c r="AF14" s="12" t="n">
        <v>64</v>
      </c>
    </row>
    <row r="15">
      <c r="A15" s="20" t="n"/>
      <c r="B15" s="13" t="inlineStr">
        <is>
          <t>Things are going in the wrong direction</t>
        </is>
      </c>
      <c r="C15" s="14" t="n">
        <v>0.12</v>
      </c>
      <c r="D15" s="14" t="n">
        <v>0.17</v>
      </c>
      <c r="E15" s="14" t="n">
        <v>0.12</v>
      </c>
      <c r="F15" s="14" t="n">
        <v>0.13</v>
      </c>
      <c r="G15" s="14" t="n">
        <v>0.05</v>
      </c>
      <c r="H15" s="14" t="n">
        <v>0.1</v>
      </c>
      <c r="I15" s="14" t="n">
        <v>0.11</v>
      </c>
      <c r="J15" s="14" t="n">
        <v>0.16</v>
      </c>
      <c r="K15" s="14" t="n">
        <v>0.06</v>
      </c>
      <c r="L15" s="14" t="n">
        <v>0.05</v>
      </c>
      <c r="M15" s="14" t="n">
        <v>0.14</v>
      </c>
      <c r="N15" s="14" t="n">
        <v>0.06</v>
      </c>
      <c r="O15" s="14" t="n">
        <v>0.15</v>
      </c>
      <c r="P15" s="14" t="n">
        <v>0.21</v>
      </c>
      <c r="Q15" s="14" t="n">
        <v>0.17</v>
      </c>
      <c r="R15" s="14" t="n">
        <v>0.03</v>
      </c>
      <c r="S15" s="14" t="n">
        <v>0.06</v>
      </c>
      <c r="T15" s="14" t="n">
        <v>0.04</v>
      </c>
      <c r="U15" s="14" t="n">
        <v>0.03</v>
      </c>
      <c r="V15" s="14" t="n">
        <v>0.13</v>
      </c>
      <c r="W15" s="14" t="n">
        <v>0.06</v>
      </c>
      <c r="X15" s="14" t="n">
        <v>0.07000000000000001</v>
      </c>
      <c r="Y15" s="14" t="n">
        <v>0.12</v>
      </c>
      <c r="Z15" s="14" t="n">
        <v>0.11</v>
      </c>
      <c r="AA15" s="14" t="n">
        <v>0.13</v>
      </c>
      <c r="AB15" s="14" t="n">
        <v>0.21</v>
      </c>
      <c r="AC15" s="14" t="n">
        <v>0.03</v>
      </c>
      <c r="AD15" s="14" t="n">
        <v>0.13</v>
      </c>
      <c r="AE15" s="14" t="n">
        <v>0.08</v>
      </c>
      <c r="AF15" s="14" t="n">
        <v>0.06</v>
      </c>
    </row>
    <row r="16">
      <c r="A16" s="20" t="n"/>
      <c r="B16" s="11" t="inlineStr">
        <is>
          <t>Ni l'un ni l'autre (SPONTANÉ)</t>
        </is>
      </c>
      <c r="C16" s="12" t="n">
        <v>2754</v>
      </c>
      <c r="D16" s="12" t="n">
        <v>67</v>
      </c>
      <c r="E16" s="12" t="n">
        <v>157</v>
      </c>
      <c r="F16" s="12" t="n">
        <v>25</v>
      </c>
      <c r="G16" s="12" t="n">
        <v>69</v>
      </c>
      <c r="H16" s="12" t="n">
        <v>187</v>
      </c>
      <c r="I16" s="12" t="n">
        <v>226</v>
      </c>
      <c r="J16" s="12" t="n">
        <v>39</v>
      </c>
      <c r="K16" s="12" t="n">
        <v>148</v>
      </c>
      <c r="L16" s="12" t="n">
        <v>117</v>
      </c>
      <c r="M16" s="12" t="n">
        <v>76</v>
      </c>
      <c r="N16" s="12" t="n">
        <v>67</v>
      </c>
      <c r="O16" s="12" t="n">
        <v>133</v>
      </c>
      <c r="P16" s="12" t="n">
        <v>77</v>
      </c>
      <c r="Q16" s="12" t="n">
        <v>78</v>
      </c>
      <c r="R16" s="12" t="n">
        <v>46</v>
      </c>
      <c r="S16" s="12" t="n">
        <v>117</v>
      </c>
      <c r="T16" s="12" t="n">
        <v>112</v>
      </c>
      <c r="U16" s="12" t="n">
        <v>56</v>
      </c>
      <c r="V16" s="12" t="n">
        <v>117</v>
      </c>
      <c r="W16" s="12" t="n">
        <v>30</v>
      </c>
      <c r="X16" s="12" t="n">
        <v>81</v>
      </c>
      <c r="Y16" s="12" t="n">
        <v>121</v>
      </c>
      <c r="Z16" s="12" t="n">
        <v>91</v>
      </c>
      <c r="AA16" s="12" t="n">
        <v>190</v>
      </c>
      <c r="AB16" s="12" t="n">
        <v>74</v>
      </c>
      <c r="AC16" s="12" t="n">
        <v>74</v>
      </c>
      <c r="AD16" s="12" t="n">
        <v>91</v>
      </c>
      <c r="AE16" s="12" t="n">
        <v>195</v>
      </c>
      <c r="AF16" s="12" t="n">
        <v>69</v>
      </c>
    </row>
    <row r="17">
      <c r="A17" s="20" t="n"/>
      <c r="B17" s="13" t="inlineStr">
        <is>
          <t>Neither the one nor the other (SPONTANEOUS)</t>
        </is>
      </c>
      <c r="C17" s="14" t="n">
        <v>0.11</v>
      </c>
      <c r="D17" s="14" t="n">
        <v>0.06</v>
      </c>
      <c r="E17" s="14" t="n">
        <v>0.16</v>
      </c>
      <c r="F17" s="14" t="n">
        <v>0.02</v>
      </c>
      <c r="G17" s="14" t="n">
        <v>0.07000000000000001</v>
      </c>
      <c r="H17" s="14" t="n">
        <v>0.15</v>
      </c>
      <c r="I17" s="14" t="n">
        <v>0.15</v>
      </c>
      <c r="J17" s="14" t="n">
        <v>0.13</v>
      </c>
      <c r="K17" s="14" t="n">
        <v>0.15</v>
      </c>
      <c r="L17" s="14" t="n">
        <v>0.12</v>
      </c>
      <c r="M17" s="14" t="n">
        <v>0.07000000000000001</v>
      </c>
      <c r="N17" s="14" t="n">
        <v>0.07000000000000001</v>
      </c>
      <c r="O17" s="14" t="n">
        <v>0.13</v>
      </c>
      <c r="P17" s="14" t="n">
        <v>0.08</v>
      </c>
      <c r="Q17" s="14" t="n">
        <v>0.08</v>
      </c>
      <c r="R17" s="14" t="n">
        <v>0.09</v>
      </c>
      <c r="S17" s="14" t="n">
        <v>0.12</v>
      </c>
      <c r="T17" s="14" t="n">
        <v>0.11</v>
      </c>
      <c r="U17" s="14" t="n">
        <v>0.11</v>
      </c>
      <c r="V17" s="14" t="n">
        <v>0.11</v>
      </c>
      <c r="W17" s="14" t="n">
        <v>0.06</v>
      </c>
      <c r="X17" s="14" t="n">
        <v>0.08</v>
      </c>
      <c r="Y17" s="14" t="n">
        <v>0.12</v>
      </c>
      <c r="Z17" s="14" t="n">
        <v>0.09</v>
      </c>
      <c r="AA17" s="14" t="n">
        <v>0.18</v>
      </c>
      <c r="AB17" s="14" t="n">
        <v>0.07000000000000001</v>
      </c>
      <c r="AC17" s="14" t="n">
        <v>0.07000000000000001</v>
      </c>
      <c r="AD17" s="14" t="n">
        <v>0.09</v>
      </c>
      <c r="AE17" s="14" t="n">
        <v>0.19</v>
      </c>
      <c r="AF17" s="14" t="n">
        <v>0.07000000000000001</v>
      </c>
    </row>
    <row r="18">
      <c r="A18" s="20" t="n"/>
      <c r="B18" s="11" t="inlineStr">
        <is>
          <t>Ne sait pas</t>
        </is>
      </c>
      <c r="C18" s="12" t="n">
        <v>369</v>
      </c>
      <c r="D18" s="12" t="n">
        <v>11</v>
      </c>
      <c r="E18" s="12" t="n">
        <v>52</v>
      </c>
      <c r="F18" s="12" t="n">
        <v>19</v>
      </c>
      <c r="G18" s="12" t="n">
        <v>11</v>
      </c>
      <c r="H18" s="12" t="n">
        <v>12</v>
      </c>
      <c r="I18" s="12" t="n">
        <v>14</v>
      </c>
      <c r="J18" s="12" t="n">
        <v>2</v>
      </c>
      <c r="K18" s="12" t="n">
        <v>47</v>
      </c>
      <c r="L18" s="12" t="n">
        <v>11</v>
      </c>
      <c r="M18" s="12" t="n">
        <v>17</v>
      </c>
      <c r="N18" s="12" t="n">
        <v>3</v>
      </c>
      <c r="O18" s="12" t="n">
        <v>12</v>
      </c>
      <c r="P18" s="12" t="n">
        <v>9</v>
      </c>
      <c r="Q18" s="12" t="n">
        <v>21</v>
      </c>
      <c r="R18" s="12" t="n">
        <v>8</v>
      </c>
      <c r="S18" s="12" t="n">
        <v>18</v>
      </c>
      <c r="T18" s="12" t="n">
        <v>7</v>
      </c>
      <c r="U18" s="12" t="n">
        <v>5</v>
      </c>
      <c r="V18" s="12" t="n">
        <v>7</v>
      </c>
      <c r="W18" s="12" t="n">
        <v>2</v>
      </c>
      <c r="X18" s="12" t="n">
        <v>18</v>
      </c>
      <c r="Y18" s="12" t="n">
        <v>8</v>
      </c>
      <c r="Z18" s="12" t="n">
        <v>24</v>
      </c>
      <c r="AA18" s="12" t="n">
        <v>15</v>
      </c>
      <c r="AB18" s="12" t="n">
        <v>27</v>
      </c>
      <c r="AC18" s="12" t="n">
        <v>2</v>
      </c>
      <c r="AD18" s="12" t="n">
        <v>5</v>
      </c>
      <c r="AE18" s="12" t="n">
        <v>15</v>
      </c>
      <c r="AF18" s="12" t="n">
        <v>9</v>
      </c>
    </row>
    <row r="19">
      <c r="A19" s="23" t="n"/>
      <c r="B19" s="13" t="inlineStr">
        <is>
          <t>Don't know</t>
        </is>
      </c>
      <c r="C19" s="14" t="n">
        <v>0.01</v>
      </c>
      <c r="D19" s="14" t="n">
        <v>0.01</v>
      </c>
      <c r="E19" s="14" t="n">
        <v>0.05</v>
      </c>
      <c r="F19" s="14" t="n">
        <v>0.02</v>
      </c>
      <c r="G19" s="14" t="n">
        <v>0.01</v>
      </c>
      <c r="H19" s="14" t="n">
        <v>0.01</v>
      </c>
      <c r="I19" s="14" t="n">
        <v>0.01</v>
      </c>
      <c r="J19" s="14" t="n">
        <v>0.01</v>
      </c>
      <c r="K19" s="14" t="n">
        <v>0.05</v>
      </c>
      <c r="L19" s="14" t="n">
        <v>0.01</v>
      </c>
      <c r="M19" s="14" t="n">
        <v>0.02</v>
      </c>
      <c r="N19" s="15" t="inlineStr">
        <is>
          <t>-</t>
        </is>
      </c>
      <c r="O19" s="14" t="n">
        <v>0.01</v>
      </c>
      <c r="P19" s="14" t="n">
        <v>0.01</v>
      </c>
      <c r="Q19" s="14" t="n">
        <v>0.02</v>
      </c>
      <c r="R19" s="14" t="n">
        <v>0.02</v>
      </c>
      <c r="S19" s="14" t="n">
        <v>0.02</v>
      </c>
      <c r="T19" s="14" t="n">
        <v>0.01</v>
      </c>
      <c r="U19" s="14" t="n">
        <v>0.01</v>
      </c>
      <c r="V19" s="14" t="n">
        <v>0.01</v>
      </c>
      <c r="W19" s="15" t="inlineStr">
        <is>
          <t>-</t>
        </is>
      </c>
      <c r="X19" s="14" t="n">
        <v>0.02</v>
      </c>
      <c r="Y19" s="14" t="n">
        <v>0.01</v>
      </c>
      <c r="Z19" s="14" t="n">
        <v>0.02</v>
      </c>
      <c r="AA19" s="14" t="n">
        <v>0.02</v>
      </c>
      <c r="AB19" s="14" t="n">
        <v>0.03</v>
      </c>
      <c r="AC19" s="15" t="inlineStr">
        <is>
          <t>-</t>
        </is>
      </c>
      <c r="AD19" s="14" t="n">
        <v>0.01</v>
      </c>
      <c r="AE19" s="14" t="n">
        <v>0.01</v>
      </c>
      <c r="AF19" s="14" t="n">
        <v>0.01</v>
      </c>
    </row>
  </sheetData>
  <mergeCells count="9">
    <mergeCell ref="B4:F4"/>
    <mergeCell ref="H3:L3"/>
    <mergeCell ref="C8:AF8"/>
    <mergeCell ref="B3:F3"/>
    <mergeCell ref="B5:F5"/>
    <mergeCell ref="A10:A19"/>
    <mergeCell ref="H5:L5"/>
    <mergeCell ref="B10:B11"/>
    <mergeCell ref="H4:L4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F19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24" customHeight="1" s="18">
      <c r="B3" s="21" t="inlineStr">
        <is>
          <t>D71.1. Quand vous vous retrouvez avec des amis ou des proches, diriez-vous que vous discutez fréquemment, occasionnellement ou jamais à propos … ?</t>
        </is>
      </c>
      <c r="H3" s="21" t="inlineStr">
        <is>
          <t>D71.1. When you get together with friends or relatives, would you say you discuss frequently, occasionally or never about...?</t>
        </is>
      </c>
    </row>
    <row r="4" ht="27" customHeight="1" s="18">
      <c r="B4" s="21" t="inlineStr">
        <is>
          <t>De sujets de politique nationale</t>
        </is>
      </c>
      <c r="H4" s="21" t="inlineStr">
        <is>
          <t>National political matters</t>
        </is>
      </c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HYPERLINK("#Content!A72","&lt;&lt;Back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Fréquemment</t>
        </is>
      </c>
      <c r="C12" s="12" t="n">
        <v>6407</v>
      </c>
      <c r="D12" s="12" t="n">
        <v>170</v>
      </c>
      <c r="E12" s="12" t="n">
        <v>306</v>
      </c>
      <c r="F12" s="12" t="n">
        <v>158</v>
      </c>
      <c r="G12" s="12" t="n">
        <v>348</v>
      </c>
      <c r="H12" s="12" t="n">
        <v>407</v>
      </c>
      <c r="I12" s="12" t="n">
        <v>488</v>
      </c>
      <c r="J12" s="12" t="n">
        <v>81</v>
      </c>
      <c r="K12" s="12" t="n">
        <v>205</v>
      </c>
      <c r="L12" s="12" t="n">
        <v>229</v>
      </c>
      <c r="M12" s="12" t="n">
        <v>341</v>
      </c>
      <c r="N12" s="12" t="n">
        <v>205</v>
      </c>
      <c r="O12" s="12" t="n">
        <v>188</v>
      </c>
      <c r="P12" s="12" t="n">
        <v>132</v>
      </c>
      <c r="Q12" s="12" t="n">
        <v>279</v>
      </c>
      <c r="R12" s="12" t="n">
        <v>102</v>
      </c>
      <c r="S12" s="12" t="n">
        <v>157</v>
      </c>
      <c r="T12" s="12" t="n">
        <v>153</v>
      </c>
      <c r="U12" s="12" t="n">
        <v>119</v>
      </c>
      <c r="V12" s="12" t="n">
        <v>300</v>
      </c>
      <c r="W12" s="12" t="n">
        <v>120</v>
      </c>
      <c r="X12" s="12" t="n">
        <v>432</v>
      </c>
      <c r="Y12" s="12" t="n">
        <v>250</v>
      </c>
      <c r="Z12" s="12" t="n">
        <v>112</v>
      </c>
      <c r="AA12" s="12" t="n">
        <v>151</v>
      </c>
      <c r="AB12" s="12" t="n">
        <v>167</v>
      </c>
      <c r="AC12" s="12" t="n">
        <v>147</v>
      </c>
      <c r="AD12" s="12" t="n">
        <v>249</v>
      </c>
      <c r="AE12" s="12" t="n">
        <v>278</v>
      </c>
      <c r="AF12" s="12" t="n">
        <v>422</v>
      </c>
    </row>
    <row r="13">
      <c r="A13" s="20" t="n"/>
      <c r="B13" s="13" t="inlineStr">
        <is>
          <t>Frequently</t>
        </is>
      </c>
      <c r="C13" s="14" t="n">
        <v>0.24</v>
      </c>
      <c r="D13" s="14" t="n">
        <v>0.17</v>
      </c>
      <c r="E13" s="14" t="n">
        <v>0.3</v>
      </c>
      <c r="F13" s="14" t="n">
        <v>0.15</v>
      </c>
      <c r="G13" s="14" t="n">
        <v>0.35</v>
      </c>
      <c r="H13" s="14" t="n">
        <v>0.34</v>
      </c>
      <c r="I13" s="14" t="n">
        <v>0.32</v>
      </c>
      <c r="J13" s="14" t="n">
        <v>0.28</v>
      </c>
      <c r="K13" s="14" t="n">
        <v>0.2</v>
      </c>
      <c r="L13" s="14" t="n">
        <v>0.23</v>
      </c>
      <c r="M13" s="14" t="n">
        <v>0.34</v>
      </c>
      <c r="N13" s="14" t="n">
        <v>0.2</v>
      </c>
      <c r="O13" s="14" t="n">
        <v>0.19</v>
      </c>
      <c r="P13" s="14" t="n">
        <v>0.13</v>
      </c>
      <c r="Q13" s="14" t="n">
        <v>0.27</v>
      </c>
      <c r="R13" s="14" t="n">
        <v>0.2</v>
      </c>
      <c r="S13" s="14" t="n">
        <v>0.16</v>
      </c>
      <c r="T13" s="14" t="n">
        <v>0.15</v>
      </c>
      <c r="U13" s="14" t="n">
        <v>0.24</v>
      </c>
      <c r="V13" s="14" t="n">
        <v>0.29</v>
      </c>
      <c r="W13" s="14" t="n">
        <v>0.24</v>
      </c>
      <c r="X13" s="14" t="n">
        <v>0.42</v>
      </c>
      <c r="Y13" s="14" t="n">
        <v>0.25</v>
      </c>
      <c r="Z13" s="14" t="n">
        <v>0.11</v>
      </c>
      <c r="AA13" s="14" t="n">
        <v>0.15</v>
      </c>
      <c r="AB13" s="14" t="n">
        <v>0.16</v>
      </c>
      <c r="AC13" s="14" t="n">
        <v>0.15</v>
      </c>
      <c r="AD13" s="14" t="n">
        <v>0.25</v>
      </c>
      <c r="AE13" s="14" t="n">
        <v>0.27</v>
      </c>
      <c r="AF13" s="14" t="n">
        <v>0.41</v>
      </c>
    </row>
    <row r="14">
      <c r="A14" s="20" t="n"/>
      <c r="B14" s="11" t="inlineStr">
        <is>
          <t>Occasionnellement</t>
        </is>
      </c>
      <c r="C14" s="12" t="n">
        <v>14751</v>
      </c>
      <c r="D14" s="12" t="n">
        <v>588</v>
      </c>
      <c r="E14" s="12" t="n">
        <v>578</v>
      </c>
      <c r="F14" s="12" t="n">
        <v>639</v>
      </c>
      <c r="G14" s="12" t="n">
        <v>536</v>
      </c>
      <c r="H14" s="12" t="n">
        <v>712</v>
      </c>
      <c r="I14" s="12" t="n">
        <v>897</v>
      </c>
      <c r="J14" s="12" t="n">
        <v>185</v>
      </c>
      <c r="K14" s="12" t="n">
        <v>564</v>
      </c>
      <c r="L14" s="12" t="n">
        <v>537</v>
      </c>
      <c r="M14" s="12" t="n">
        <v>512</v>
      </c>
      <c r="N14" s="12" t="n">
        <v>453</v>
      </c>
      <c r="O14" s="12" t="n">
        <v>522</v>
      </c>
      <c r="P14" s="12" t="n">
        <v>655</v>
      </c>
      <c r="Q14" s="12" t="n">
        <v>564</v>
      </c>
      <c r="R14" s="12" t="n">
        <v>241</v>
      </c>
      <c r="S14" s="12" t="n">
        <v>599</v>
      </c>
      <c r="T14" s="12" t="n">
        <v>630</v>
      </c>
      <c r="U14" s="12" t="n">
        <v>274</v>
      </c>
      <c r="V14" s="12" t="n">
        <v>642</v>
      </c>
      <c r="W14" s="12" t="n">
        <v>256</v>
      </c>
      <c r="X14" s="12" t="n">
        <v>471</v>
      </c>
      <c r="Y14" s="12" t="n">
        <v>607</v>
      </c>
      <c r="Z14" s="12" t="n">
        <v>699</v>
      </c>
      <c r="AA14" s="12" t="n">
        <v>581</v>
      </c>
      <c r="AB14" s="12" t="n">
        <v>669</v>
      </c>
      <c r="AC14" s="12" t="n">
        <v>640</v>
      </c>
      <c r="AD14" s="12" t="n">
        <v>635</v>
      </c>
      <c r="AE14" s="12" t="n">
        <v>564</v>
      </c>
      <c r="AF14" s="12" t="n">
        <v>502</v>
      </c>
    </row>
    <row r="15">
      <c r="A15" s="20" t="n"/>
      <c r="B15" s="13" t="inlineStr">
        <is>
          <t>Occasionally</t>
        </is>
      </c>
      <c r="C15" s="14" t="n">
        <v>0.5600000000000001</v>
      </c>
      <c r="D15" s="14" t="n">
        <v>0.5700000000000001</v>
      </c>
      <c r="E15" s="14" t="n">
        <v>0.5700000000000001</v>
      </c>
      <c r="F15" s="14" t="n">
        <v>0.61</v>
      </c>
      <c r="G15" s="14" t="n">
        <v>0.53</v>
      </c>
      <c r="H15" s="14" t="n">
        <v>0.59</v>
      </c>
      <c r="I15" s="14" t="n">
        <v>0.6</v>
      </c>
      <c r="J15" s="14" t="n">
        <v>0.63</v>
      </c>
      <c r="K15" s="14" t="n">
        <v>0.5600000000000001</v>
      </c>
      <c r="L15" s="14" t="n">
        <v>0.53</v>
      </c>
      <c r="M15" s="14" t="n">
        <v>0.51</v>
      </c>
      <c r="N15" s="14" t="n">
        <v>0.45</v>
      </c>
      <c r="O15" s="14" t="n">
        <v>0.51</v>
      </c>
      <c r="P15" s="14" t="n">
        <v>0.65</v>
      </c>
      <c r="Q15" s="14" t="n">
        <v>0.55</v>
      </c>
      <c r="R15" s="14" t="n">
        <v>0.48</v>
      </c>
      <c r="S15" s="14" t="n">
        <v>0.59</v>
      </c>
      <c r="T15" s="14" t="n">
        <v>0.62</v>
      </c>
      <c r="U15" s="14" t="n">
        <v>0.54</v>
      </c>
      <c r="V15" s="14" t="n">
        <v>0.63</v>
      </c>
      <c r="W15" s="14" t="n">
        <v>0.51</v>
      </c>
      <c r="X15" s="14" t="n">
        <v>0.46</v>
      </c>
      <c r="Y15" s="14" t="n">
        <v>0.61</v>
      </c>
      <c r="Z15" s="14" t="n">
        <v>0.68</v>
      </c>
      <c r="AA15" s="14" t="n">
        <v>0.5600000000000001</v>
      </c>
      <c r="AB15" s="14" t="n">
        <v>0.64</v>
      </c>
      <c r="AC15" s="14" t="n">
        <v>0.63</v>
      </c>
      <c r="AD15" s="14" t="n">
        <v>0.63</v>
      </c>
      <c r="AE15" s="14" t="n">
        <v>0.55</v>
      </c>
      <c r="AF15" s="14" t="n">
        <v>0.48</v>
      </c>
    </row>
    <row r="16">
      <c r="A16" s="20" t="n"/>
      <c r="B16" s="11" t="inlineStr">
        <is>
          <t>Jamais</t>
        </is>
      </c>
      <c r="C16" s="12" t="n">
        <v>5228</v>
      </c>
      <c r="D16" s="12" t="n">
        <v>264</v>
      </c>
      <c r="E16" s="12" t="n">
        <v>129</v>
      </c>
      <c r="F16" s="12" t="n">
        <v>251</v>
      </c>
      <c r="G16" s="12" t="n">
        <v>123</v>
      </c>
      <c r="H16" s="12" t="n">
        <v>91</v>
      </c>
      <c r="I16" s="12" t="n">
        <v>118</v>
      </c>
      <c r="J16" s="12" t="n">
        <v>27</v>
      </c>
      <c r="K16" s="12" t="n">
        <v>237</v>
      </c>
      <c r="L16" s="12" t="n">
        <v>242</v>
      </c>
      <c r="M16" s="12" t="n">
        <v>154</v>
      </c>
      <c r="N16" s="12" t="n">
        <v>347</v>
      </c>
      <c r="O16" s="12" t="n">
        <v>306</v>
      </c>
      <c r="P16" s="12" t="n">
        <v>218</v>
      </c>
      <c r="Q16" s="12" t="n">
        <v>186</v>
      </c>
      <c r="R16" s="12" t="n">
        <v>157</v>
      </c>
      <c r="S16" s="12" t="n">
        <v>249</v>
      </c>
      <c r="T16" s="12" t="n">
        <v>233</v>
      </c>
      <c r="U16" s="12" t="n">
        <v>114</v>
      </c>
      <c r="V16" s="12" t="n">
        <v>78</v>
      </c>
      <c r="W16" s="12" t="n">
        <v>127</v>
      </c>
      <c r="X16" s="12" t="n">
        <v>121</v>
      </c>
      <c r="Y16" s="12" t="n">
        <v>146</v>
      </c>
      <c r="Z16" s="12" t="n">
        <v>203</v>
      </c>
      <c r="AA16" s="12" t="n">
        <v>300</v>
      </c>
      <c r="AB16" s="12" t="n">
        <v>208</v>
      </c>
      <c r="AC16" s="12" t="n">
        <v>220</v>
      </c>
      <c r="AD16" s="12" t="n">
        <v>118</v>
      </c>
      <c r="AE16" s="12" t="n">
        <v>168</v>
      </c>
      <c r="AF16" s="12" t="n">
        <v>113</v>
      </c>
    </row>
    <row r="17">
      <c r="A17" s="20" t="n"/>
      <c r="B17" s="13" t="inlineStr">
        <is>
          <t>Never</t>
        </is>
      </c>
      <c r="C17" s="14" t="n">
        <v>0.2</v>
      </c>
      <c r="D17" s="14" t="n">
        <v>0.26</v>
      </c>
      <c r="E17" s="14" t="n">
        <v>0.13</v>
      </c>
      <c r="F17" s="14" t="n">
        <v>0.24</v>
      </c>
      <c r="G17" s="14" t="n">
        <v>0.12</v>
      </c>
      <c r="H17" s="14" t="n">
        <v>0.07000000000000001</v>
      </c>
      <c r="I17" s="14" t="n">
        <v>0.08</v>
      </c>
      <c r="J17" s="14" t="n">
        <v>0.09</v>
      </c>
      <c r="K17" s="14" t="n">
        <v>0.24</v>
      </c>
      <c r="L17" s="14" t="n">
        <v>0.24</v>
      </c>
      <c r="M17" s="14" t="n">
        <v>0.15</v>
      </c>
      <c r="N17" s="14" t="n">
        <v>0.35</v>
      </c>
      <c r="O17" s="14" t="n">
        <v>0.3</v>
      </c>
      <c r="P17" s="14" t="n">
        <v>0.22</v>
      </c>
      <c r="Q17" s="14" t="n">
        <v>0.18</v>
      </c>
      <c r="R17" s="14" t="n">
        <v>0.31</v>
      </c>
      <c r="S17" s="14" t="n">
        <v>0.25</v>
      </c>
      <c r="T17" s="14" t="n">
        <v>0.23</v>
      </c>
      <c r="U17" s="14" t="n">
        <v>0.22</v>
      </c>
      <c r="V17" s="14" t="n">
        <v>0.08</v>
      </c>
      <c r="W17" s="14" t="n">
        <v>0.25</v>
      </c>
      <c r="X17" s="14" t="n">
        <v>0.12</v>
      </c>
      <c r="Y17" s="14" t="n">
        <v>0.14</v>
      </c>
      <c r="Z17" s="14" t="n">
        <v>0.2</v>
      </c>
      <c r="AA17" s="14" t="n">
        <v>0.29</v>
      </c>
      <c r="AB17" s="14" t="n">
        <v>0.2</v>
      </c>
      <c r="AC17" s="14" t="n">
        <v>0.22</v>
      </c>
      <c r="AD17" s="14" t="n">
        <v>0.12</v>
      </c>
      <c r="AE17" s="14" t="n">
        <v>0.17</v>
      </c>
      <c r="AF17" s="14" t="n">
        <v>0.11</v>
      </c>
    </row>
    <row r="18">
      <c r="A18" s="20" t="n"/>
      <c r="B18" s="11" t="inlineStr">
        <is>
          <t>Ne sait pas</t>
        </is>
      </c>
      <c r="C18" s="12" t="n">
        <v>35</v>
      </c>
      <c r="D18" s="12" t="n">
        <v>0</v>
      </c>
      <c r="E18" s="12" t="n">
        <v>2</v>
      </c>
      <c r="F18" s="12" t="n">
        <v>1</v>
      </c>
      <c r="G18" s="12" t="n">
        <v>0</v>
      </c>
      <c r="H18" s="12" t="n">
        <v>3</v>
      </c>
      <c r="I18" s="12" t="n">
        <v>3</v>
      </c>
      <c r="J18" s="12" t="n">
        <v>0</v>
      </c>
      <c r="K18" s="12" t="n">
        <v>1</v>
      </c>
      <c r="L18" s="12" t="n">
        <v>2</v>
      </c>
      <c r="M18" s="12" t="n">
        <v>0</v>
      </c>
      <c r="N18" s="12" t="n">
        <v>1</v>
      </c>
      <c r="O18" s="12" t="n">
        <v>0</v>
      </c>
      <c r="P18" s="12" t="n">
        <v>2</v>
      </c>
      <c r="Q18" s="12" t="n">
        <v>1</v>
      </c>
      <c r="R18" s="12" t="n">
        <v>3</v>
      </c>
      <c r="S18" s="12" t="n">
        <v>0</v>
      </c>
      <c r="T18" s="12" t="n">
        <v>0</v>
      </c>
      <c r="U18" s="12" t="n">
        <v>1</v>
      </c>
      <c r="V18" s="12" t="n">
        <v>0</v>
      </c>
      <c r="W18" s="12" t="n">
        <v>2</v>
      </c>
      <c r="X18" s="12" t="n">
        <v>0</v>
      </c>
      <c r="Y18" s="12" t="n">
        <v>0</v>
      </c>
      <c r="Z18" s="12" t="n">
        <v>6</v>
      </c>
      <c r="AA18" s="12" t="n">
        <v>0</v>
      </c>
      <c r="AB18" s="12" t="n">
        <v>1</v>
      </c>
      <c r="AC18" s="12" t="n">
        <v>0</v>
      </c>
      <c r="AD18" s="12" t="n">
        <v>0</v>
      </c>
      <c r="AE18" s="12" t="n">
        <v>6</v>
      </c>
      <c r="AF18" s="12" t="n">
        <v>0</v>
      </c>
    </row>
    <row r="19">
      <c r="A19" s="23" t="n"/>
      <c r="B19" s="13" t="inlineStr">
        <is>
          <t>Don't know</t>
        </is>
      </c>
      <c r="C19" s="15" t="inlineStr">
        <is>
          <t>-</t>
        </is>
      </c>
      <c r="D19" s="15" t="inlineStr">
        <is>
          <t>-</t>
        </is>
      </c>
      <c r="E19" s="15" t="inlineStr">
        <is>
          <t>-</t>
        </is>
      </c>
      <c r="F19" s="15" t="inlineStr">
        <is>
          <t>-</t>
        </is>
      </c>
      <c r="G19" s="15" t="inlineStr">
        <is>
          <t>-</t>
        </is>
      </c>
      <c r="H19" s="15" t="inlineStr">
        <is>
          <t>-</t>
        </is>
      </c>
      <c r="I19" s="15" t="inlineStr">
        <is>
          <t>-</t>
        </is>
      </c>
      <c r="J19" s="15" t="inlineStr">
        <is>
          <t>-</t>
        </is>
      </c>
      <c r="K19" s="15" t="inlineStr">
        <is>
          <t>-</t>
        </is>
      </c>
      <c r="L19" s="15" t="inlineStr">
        <is>
          <t>-</t>
        </is>
      </c>
      <c r="M19" s="15" t="inlineStr">
        <is>
          <t>-</t>
        </is>
      </c>
      <c r="N19" s="15" t="inlineStr">
        <is>
          <t>-</t>
        </is>
      </c>
      <c r="O19" s="15" t="inlineStr">
        <is>
          <t>-</t>
        </is>
      </c>
      <c r="P19" s="15" t="inlineStr">
        <is>
          <t>-</t>
        </is>
      </c>
      <c r="Q19" s="15" t="inlineStr">
        <is>
          <t>-</t>
        </is>
      </c>
      <c r="R19" s="14" t="n">
        <v>0.01</v>
      </c>
      <c r="S19" s="15" t="inlineStr">
        <is>
          <t>-</t>
        </is>
      </c>
      <c r="T19" s="15" t="inlineStr">
        <is>
          <t>-</t>
        </is>
      </c>
      <c r="U19" s="15" t="inlineStr">
        <is>
          <t>-</t>
        </is>
      </c>
      <c r="V19" s="15" t="inlineStr">
        <is>
          <t>-</t>
        </is>
      </c>
      <c r="W19" s="15" t="inlineStr">
        <is>
          <t>-</t>
        </is>
      </c>
      <c r="X19" s="15" t="inlineStr">
        <is>
          <t>-</t>
        </is>
      </c>
      <c r="Y19" s="15" t="inlineStr">
        <is>
          <t>-</t>
        </is>
      </c>
      <c r="Z19" s="14" t="n">
        <v>0.01</v>
      </c>
      <c r="AA19" s="15" t="inlineStr">
        <is>
          <t>-</t>
        </is>
      </c>
      <c r="AB19" s="15" t="inlineStr">
        <is>
          <t>-</t>
        </is>
      </c>
      <c r="AC19" s="15" t="inlineStr">
        <is>
          <t>-</t>
        </is>
      </c>
      <c r="AD19" s="15" t="inlineStr">
        <is>
          <t>-</t>
        </is>
      </c>
      <c r="AE19" s="14" t="n">
        <v>0.01</v>
      </c>
      <c r="AF19" s="15" t="inlineStr">
        <is>
          <t>-</t>
        </is>
      </c>
    </row>
  </sheetData>
  <mergeCells count="9">
    <mergeCell ref="B4:F4"/>
    <mergeCell ref="H3:L3"/>
    <mergeCell ref="C8:AF8"/>
    <mergeCell ref="B3:F3"/>
    <mergeCell ref="B5:F5"/>
    <mergeCell ref="A10:A19"/>
    <mergeCell ref="H5:L5"/>
    <mergeCell ref="B10:B11"/>
    <mergeCell ref="H4:L4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F19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24" customHeight="1" s="18">
      <c r="B3" s="21" t="inlineStr">
        <is>
          <t>D71.2. Quand vous vous retrouvez avec des amis ou des proches, diriez-vous que vous discutez fréquemment, occasionnellement ou jamais à propos … ?</t>
        </is>
      </c>
      <c r="H3" s="21" t="inlineStr">
        <is>
          <t>D71.2. When you get together with friends or relatives, would you say you discuss frequently, occasionally or never about...?</t>
        </is>
      </c>
    </row>
    <row r="4" ht="27" customHeight="1" s="18">
      <c r="B4" s="21" t="inlineStr">
        <is>
          <t>De sujets de politique européenne</t>
        </is>
      </c>
      <c r="H4" s="21" t="inlineStr">
        <is>
          <t>European political matters</t>
        </is>
      </c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HYPERLINK("#Content!A73","&lt;&lt;Back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Fréquemment</t>
        </is>
      </c>
      <c r="C12" s="12" t="n">
        <v>4284</v>
      </c>
      <c r="D12" s="12" t="n">
        <v>128</v>
      </c>
      <c r="E12" s="12" t="n">
        <v>180</v>
      </c>
      <c r="F12" s="12" t="n">
        <v>78</v>
      </c>
      <c r="G12" s="12" t="n">
        <v>229</v>
      </c>
      <c r="H12" s="12" t="n">
        <v>289</v>
      </c>
      <c r="I12" s="12" t="n">
        <v>331</v>
      </c>
      <c r="J12" s="12" t="n">
        <v>42</v>
      </c>
      <c r="K12" s="12" t="n">
        <v>160</v>
      </c>
      <c r="L12" s="12" t="n">
        <v>157</v>
      </c>
      <c r="M12" s="12" t="n">
        <v>225</v>
      </c>
      <c r="N12" s="12" t="n">
        <v>138</v>
      </c>
      <c r="O12" s="12" t="n">
        <v>106</v>
      </c>
      <c r="P12" s="12" t="n">
        <v>97</v>
      </c>
      <c r="Q12" s="12" t="n">
        <v>184</v>
      </c>
      <c r="R12" s="12" t="n">
        <v>68</v>
      </c>
      <c r="S12" s="12" t="n">
        <v>126</v>
      </c>
      <c r="T12" s="12" t="n">
        <v>156</v>
      </c>
      <c r="U12" s="12" t="n">
        <v>134</v>
      </c>
      <c r="V12" s="12" t="n">
        <v>197</v>
      </c>
      <c r="W12" s="12" t="n">
        <v>66</v>
      </c>
      <c r="X12" s="12" t="n">
        <v>255</v>
      </c>
      <c r="Y12" s="12" t="n">
        <v>194</v>
      </c>
      <c r="Z12" s="12" t="n">
        <v>91</v>
      </c>
      <c r="AA12" s="12" t="n">
        <v>93</v>
      </c>
      <c r="AB12" s="12" t="n">
        <v>155</v>
      </c>
      <c r="AC12" s="12" t="n">
        <v>77</v>
      </c>
      <c r="AD12" s="12" t="n">
        <v>223</v>
      </c>
      <c r="AE12" s="12" t="n">
        <v>168</v>
      </c>
      <c r="AF12" s="12" t="n">
        <v>287</v>
      </c>
    </row>
    <row r="13">
      <c r="A13" s="20" t="n"/>
      <c r="B13" s="13" t="inlineStr">
        <is>
          <t>Frequently</t>
        </is>
      </c>
      <c r="C13" s="14" t="n">
        <v>0.16</v>
      </c>
      <c r="D13" s="14" t="n">
        <v>0.12</v>
      </c>
      <c r="E13" s="14" t="n">
        <v>0.18</v>
      </c>
      <c r="F13" s="14" t="n">
        <v>0.08</v>
      </c>
      <c r="G13" s="14" t="n">
        <v>0.23</v>
      </c>
      <c r="H13" s="14" t="n">
        <v>0.24</v>
      </c>
      <c r="I13" s="14" t="n">
        <v>0.22</v>
      </c>
      <c r="J13" s="14" t="n">
        <v>0.14</v>
      </c>
      <c r="K13" s="14" t="n">
        <v>0.16</v>
      </c>
      <c r="L13" s="14" t="n">
        <v>0.16</v>
      </c>
      <c r="M13" s="14" t="n">
        <v>0.22</v>
      </c>
      <c r="N13" s="14" t="n">
        <v>0.14</v>
      </c>
      <c r="O13" s="14" t="n">
        <v>0.11</v>
      </c>
      <c r="P13" s="14" t="n">
        <v>0.1</v>
      </c>
      <c r="Q13" s="14" t="n">
        <v>0.18</v>
      </c>
      <c r="R13" s="14" t="n">
        <v>0.13</v>
      </c>
      <c r="S13" s="14" t="n">
        <v>0.13</v>
      </c>
      <c r="T13" s="14" t="n">
        <v>0.15</v>
      </c>
      <c r="U13" s="14" t="n">
        <v>0.27</v>
      </c>
      <c r="V13" s="14" t="n">
        <v>0.19</v>
      </c>
      <c r="W13" s="14" t="n">
        <v>0.13</v>
      </c>
      <c r="X13" s="14" t="n">
        <v>0.25</v>
      </c>
      <c r="Y13" s="14" t="n">
        <v>0.19</v>
      </c>
      <c r="Z13" s="14" t="n">
        <v>0.09</v>
      </c>
      <c r="AA13" s="14" t="n">
        <v>0.09</v>
      </c>
      <c r="AB13" s="14" t="n">
        <v>0.15</v>
      </c>
      <c r="AC13" s="14" t="n">
        <v>0.08</v>
      </c>
      <c r="AD13" s="14" t="n">
        <v>0.22</v>
      </c>
      <c r="AE13" s="14" t="n">
        <v>0.17</v>
      </c>
      <c r="AF13" s="14" t="n">
        <v>0.28</v>
      </c>
    </row>
    <row r="14">
      <c r="A14" s="20" t="n"/>
      <c r="B14" s="11" t="inlineStr">
        <is>
          <t>Occasionnellement</t>
        </is>
      </c>
      <c r="C14" s="12" t="n">
        <v>14037</v>
      </c>
      <c r="D14" s="12" t="n">
        <v>558</v>
      </c>
      <c r="E14" s="12" t="n">
        <v>589</v>
      </c>
      <c r="F14" s="12" t="n">
        <v>623</v>
      </c>
      <c r="G14" s="12" t="n">
        <v>589</v>
      </c>
      <c r="H14" s="12" t="n">
        <v>687</v>
      </c>
      <c r="I14" s="12" t="n">
        <v>879</v>
      </c>
      <c r="J14" s="12" t="n">
        <v>192</v>
      </c>
      <c r="K14" s="12" t="n">
        <v>520</v>
      </c>
      <c r="L14" s="12" t="n">
        <v>497</v>
      </c>
      <c r="M14" s="12" t="n">
        <v>524</v>
      </c>
      <c r="N14" s="12" t="n">
        <v>402</v>
      </c>
      <c r="O14" s="12" t="n">
        <v>420</v>
      </c>
      <c r="P14" s="12" t="n">
        <v>624</v>
      </c>
      <c r="Q14" s="12" t="n">
        <v>586</v>
      </c>
      <c r="R14" s="12" t="n">
        <v>242</v>
      </c>
      <c r="S14" s="12" t="n">
        <v>554</v>
      </c>
      <c r="T14" s="12" t="n">
        <v>588</v>
      </c>
      <c r="U14" s="12" t="n">
        <v>297</v>
      </c>
      <c r="V14" s="12" t="n">
        <v>706</v>
      </c>
      <c r="W14" s="12" t="n">
        <v>253</v>
      </c>
      <c r="X14" s="12" t="n">
        <v>535</v>
      </c>
      <c r="Y14" s="12" t="n">
        <v>586</v>
      </c>
      <c r="Z14" s="12" t="n">
        <v>632</v>
      </c>
      <c r="AA14" s="12" t="n">
        <v>472</v>
      </c>
      <c r="AB14" s="12" t="n">
        <v>580</v>
      </c>
      <c r="AC14" s="12" t="n">
        <v>618</v>
      </c>
      <c r="AD14" s="12" t="n">
        <v>640</v>
      </c>
      <c r="AE14" s="12" t="n">
        <v>599</v>
      </c>
      <c r="AF14" s="12" t="n">
        <v>578</v>
      </c>
    </row>
    <row r="15">
      <c r="A15" s="20" t="n"/>
      <c r="B15" s="13" t="inlineStr">
        <is>
          <t>Occasionally</t>
        </is>
      </c>
      <c r="C15" s="14" t="n">
        <v>0.53</v>
      </c>
      <c r="D15" s="14" t="n">
        <v>0.55</v>
      </c>
      <c r="E15" s="14" t="n">
        <v>0.58</v>
      </c>
      <c r="F15" s="14" t="n">
        <v>0.59</v>
      </c>
      <c r="G15" s="14" t="n">
        <v>0.58</v>
      </c>
      <c r="H15" s="14" t="n">
        <v>0.5700000000000001</v>
      </c>
      <c r="I15" s="14" t="n">
        <v>0.58</v>
      </c>
      <c r="J15" s="14" t="n">
        <v>0.66</v>
      </c>
      <c r="K15" s="14" t="n">
        <v>0.52</v>
      </c>
      <c r="L15" s="14" t="n">
        <v>0.49</v>
      </c>
      <c r="M15" s="14" t="n">
        <v>0.52</v>
      </c>
      <c r="N15" s="14" t="n">
        <v>0.4</v>
      </c>
      <c r="O15" s="14" t="n">
        <v>0.41</v>
      </c>
      <c r="P15" s="14" t="n">
        <v>0.62</v>
      </c>
      <c r="Q15" s="14" t="n">
        <v>0.5700000000000001</v>
      </c>
      <c r="R15" s="14" t="n">
        <v>0.48</v>
      </c>
      <c r="S15" s="14" t="n">
        <v>0.55</v>
      </c>
      <c r="T15" s="14" t="n">
        <v>0.58</v>
      </c>
      <c r="U15" s="14" t="n">
        <v>0.58</v>
      </c>
      <c r="V15" s="14" t="n">
        <v>0.6900000000000001</v>
      </c>
      <c r="W15" s="14" t="n">
        <v>0.5</v>
      </c>
      <c r="X15" s="14" t="n">
        <v>0.52</v>
      </c>
      <c r="Y15" s="14" t="n">
        <v>0.58</v>
      </c>
      <c r="Z15" s="14" t="n">
        <v>0.62</v>
      </c>
      <c r="AA15" s="14" t="n">
        <v>0.46</v>
      </c>
      <c r="AB15" s="14" t="n">
        <v>0.5600000000000001</v>
      </c>
      <c r="AC15" s="14" t="n">
        <v>0.61</v>
      </c>
      <c r="AD15" s="14" t="n">
        <v>0.64</v>
      </c>
      <c r="AE15" s="14" t="n">
        <v>0.59</v>
      </c>
      <c r="AF15" s="14" t="n">
        <v>0.5600000000000001</v>
      </c>
    </row>
    <row r="16">
      <c r="A16" s="20" t="n"/>
      <c r="B16" s="11" t="inlineStr">
        <is>
          <t>Jamais</t>
        </is>
      </c>
      <c r="C16" s="12" t="n">
        <v>8045</v>
      </c>
      <c r="D16" s="12" t="n">
        <v>334</v>
      </c>
      <c r="E16" s="12" t="n">
        <v>239</v>
      </c>
      <c r="F16" s="12" t="n">
        <v>344</v>
      </c>
      <c r="G16" s="12" t="n">
        <v>189</v>
      </c>
      <c r="H16" s="12" t="n">
        <v>233</v>
      </c>
      <c r="I16" s="12" t="n">
        <v>292</v>
      </c>
      <c r="J16" s="12" t="n">
        <v>59</v>
      </c>
      <c r="K16" s="12" t="n">
        <v>322</v>
      </c>
      <c r="L16" s="12" t="n">
        <v>355</v>
      </c>
      <c r="M16" s="12" t="n">
        <v>259</v>
      </c>
      <c r="N16" s="12" t="n">
        <v>466</v>
      </c>
      <c r="O16" s="12" t="n">
        <v>489</v>
      </c>
      <c r="P16" s="12" t="n">
        <v>283</v>
      </c>
      <c r="Q16" s="12" t="n">
        <v>259</v>
      </c>
      <c r="R16" s="12" t="n">
        <v>191</v>
      </c>
      <c r="S16" s="12" t="n">
        <v>321</v>
      </c>
      <c r="T16" s="12" t="n">
        <v>272</v>
      </c>
      <c r="U16" s="12" t="n">
        <v>76</v>
      </c>
      <c r="V16" s="12" t="n">
        <v>116</v>
      </c>
      <c r="W16" s="12" t="n">
        <v>184</v>
      </c>
      <c r="X16" s="12" t="n">
        <v>233</v>
      </c>
      <c r="Y16" s="12" t="n">
        <v>220</v>
      </c>
      <c r="Z16" s="12" t="n">
        <v>290</v>
      </c>
      <c r="AA16" s="12" t="n">
        <v>466</v>
      </c>
      <c r="AB16" s="12" t="n">
        <v>306</v>
      </c>
      <c r="AC16" s="12" t="n">
        <v>311</v>
      </c>
      <c r="AD16" s="12" t="n">
        <v>137</v>
      </c>
      <c r="AE16" s="12" t="n">
        <v>244</v>
      </c>
      <c r="AF16" s="12" t="n">
        <v>171</v>
      </c>
    </row>
    <row r="17">
      <c r="A17" s="20" t="n"/>
      <c r="B17" s="13" t="inlineStr">
        <is>
          <t>Never</t>
        </is>
      </c>
      <c r="C17" s="14" t="n">
        <v>0.31</v>
      </c>
      <c r="D17" s="14" t="n">
        <v>0.33</v>
      </c>
      <c r="E17" s="14" t="n">
        <v>0.23</v>
      </c>
      <c r="F17" s="14" t="n">
        <v>0.33</v>
      </c>
      <c r="G17" s="14" t="n">
        <v>0.19</v>
      </c>
      <c r="H17" s="14" t="n">
        <v>0.19</v>
      </c>
      <c r="I17" s="14" t="n">
        <v>0.2</v>
      </c>
      <c r="J17" s="14" t="n">
        <v>0.2</v>
      </c>
      <c r="K17" s="14" t="n">
        <v>0.32</v>
      </c>
      <c r="L17" s="14" t="n">
        <v>0.35</v>
      </c>
      <c r="M17" s="14" t="n">
        <v>0.26</v>
      </c>
      <c r="N17" s="14" t="n">
        <v>0.46</v>
      </c>
      <c r="O17" s="14" t="n">
        <v>0.48</v>
      </c>
      <c r="P17" s="14" t="n">
        <v>0.28</v>
      </c>
      <c r="Q17" s="14" t="n">
        <v>0.25</v>
      </c>
      <c r="R17" s="14" t="n">
        <v>0.38</v>
      </c>
      <c r="S17" s="14" t="n">
        <v>0.32</v>
      </c>
      <c r="T17" s="14" t="n">
        <v>0.27</v>
      </c>
      <c r="U17" s="14" t="n">
        <v>0.15</v>
      </c>
      <c r="V17" s="14" t="n">
        <v>0.12</v>
      </c>
      <c r="W17" s="14" t="n">
        <v>0.37</v>
      </c>
      <c r="X17" s="14" t="n">
        <v>0.23</v>
      </c>
      <c r="Y17" s="14" t="n">
        <v>0.22</v>
      </c>
      <c r="Z17" s="14" t="n">
        <v>0.28</v>
      </c>
      <c r="AA17" s="14" t="n">
        <v>0.45</v>
      </c>
      <c r="AB17" s="14" t="n">
        <v>0.29</v>
      </c>
      <c r="AC17" s="14" t="n">
        <v>0.31</v>
      </c>
      <c r="AD17" s="14" t="n">
        <v>0.14</v>
      </c>
      <c r="AE17" s="14" t="n">
        <v>0.24</v>
      </c>
      <c r="AF17" s="14" t="n">
        <v>0.16</v>
      </c>
    </row>
    <row r="18">
      <c r="A18" s="20" t="n"/>
      <c r="B18" s="11" t="inlineStr">
        <is>
          <t>Ne sait pas</t>
        </is>
      </c>
      <c r="C18" s="12" t="n">
        <v>55</v>
      </c>
      <c r="D18" s="12" t="n">
        <v>0</v>
      </c>
      <c r="E18" s="12" t="n">
        <v>7</v>
      </c>
      <c r="F18" s="12" t="n">
        <v>4</v>
      </c>
      <c r="G18" s="12" t="n">
        <v>0</v>
      </c>
      <c r="H18" s="12" t="n">
        <v>5</v>
      </c>
      <c r="I18" s="12" t="n">
        <v>5</v>
      </c>
      <c r="J18" s="12" t="n">
        <v>1</v>
      </c>
      <c r="K18" s="12" t="n">
        <v>5</v>
      </c>
      <c r="L18" s="12" t="n">
        <v>1</v>
      </c>
      <c r="M18" s="12" t="n">
        <v>0</v>
      </c>
      <c r="N18" s="12" t="n">
        <v>1</v>
      </c>
      <c r="O18" s="12" t="n">
        <v>1</v>
      </c>
      <c r="P18" s="12" t="n">
        <v>2</v>
      </c>
      <c r="Q18" s="12" t="n">
        <v>0</v>
      </c>
      <c r="R18" s="12" t="n">
        <v>3</v>
      </c>
      <c r="S18" s="12" t="n">
        <v>3</v>
      </c>
      <c r="T18" s="12" t="n">
        <v>2</v>
      </c>
      <c r="U18" s="12" t="n">
        <v>2</v>
      </c>
      <c r="V18" s="12" t="n">
        <v>1</v>
      </c>
      <c r="W18" s="12" t="n">
        <v>2</v>
      </c>
      <c r="X18" s="12" t="n">
        <v>0</v>
      </c>
      <c r="Y18" s="12" t="n">
        <v>4</v>
      </c>
      <c r="Z18" s="12" t="n">
        <v>7</v>
      </c>
      <c r="AA18" s="12" t="n">
        <v>0</v>
      </c>
      <c r="AB18" s="12" t="n">
        <v>4</v>
      </c>
      <c r="AC18" s="12" t="n">
        <v>1</v>
      </c>
      <c r="AD18" s="12" t="n">
        <v>0</v>
      </c>
      <c r="AE18" s="12" t="n">
        <v>4</v>
      </c>
      <c r="AF18" s="12" t="n">
        <v>0</v>
      </c>
    </row>
    <row r="19">
      <c r="A19" s="23" t="n"/>
      <c r="B19" s="13" t="inlineStr">
        <is>
          <t>Don't know</t>
        </is>
      </c>
      <c r="C19" s="15" t="inlineStr">
        <is>
          <t>-</t>
        </is>
      </c>
      <c r="D19" s="15" t="inlineStr">
        <is>
          <t>-</t>
        </is>
      </c>
      <c r="E19" s="14" t="n">
        <v>0.01</v>
      </c>
      <c r="F19" s="15" t="inlineStr">
        <is>
          <t>-</t>
        </is>
      </c>
      <c r="G19" s="15" t="inlineStr">
        <is>
          <t>-</t>
        </is>
      </c>
      <c r="H19" s="15" t="inlineStr">
        <is>
          <t>-</t>
        </is>
      </c>
      <c r="I19" s="15" t="inlineStr">
        <is>
          <t>-</t>
        </is>
      </c>
      <c r="J19" s="15" t="inlineStr">
        <is>
          <t>-</t>
        </is>
      </c>
      <c r="K19" s="15" t="inlineStr">
        <is>
          <t>-</t>
        </is>
      </c>
      <c r="L19" s="15" t="inlineStr">
        <is>
          <t>-</t>
        </is>
      </c>
      <c r="M19" s="15" t="inlineStr">
        <is>
          <t>-</t>
        </is>
      </c>
      <c r="N19" s="15" t="inlineStr">
        <is>
          <t>-</t>
        </is>
      </c>
      <c r="O19" s="15" t="inlineStr">
        <is>
          <t>-</t>
        </is>
      </c>
      <c r="P19" s="15" t="inlineStr">
        <is>
          <t>-</t>
        </is>
      </c>
      <c r="Q19" s="15" t="inlineStr">
        <is>
          <t>-</t>
        </is>
      </c>
      <c r="R19" s="14" t="n">
        <v>0.01</v>
      </c>
      <c r="S19" s="15" t="inlineStr">
        <is>
          <t>-</t>
        </is>
      </c>
      <c r="T19" s="15" t="inlineStr">
        <is>
          <t>-</t>
        </is>
      </c>
      <c r="U19" s="15" t="inlineStr">
        <is>
          <t>-</t>
        </is>
      </c>
      <c r="V19" s="15" t="inlineStr">
        <is>
          <t>-</t>
        </is>
      </c>
      <c r="W19" s="15" t="inlineStr">
        <is>
          <t>-</t>
        </is>
      </c>
      <c r="X19" s="15" t="inlineStr">
        <is>
          <t>-</t>
        </is>
      </c>
      <c r="Y19" s="14" t="n">
        <v>0.01</v>
      </c>
      <c r="Z19" s="14" t="n">
        <v>0.01</v>
      </c>
      <c r="AA19" s="15" t="inlineStr">
        <is>
          <t>-</t>
        </is>
      </c>
      <c r="AB19" s="15" t="inlineStr">
        <is>
          <t>-</t>
        </is>
      </c>
      <c r="AC19" s="15" t="inlineStr">
        <is>
          <t>-</t>
        </is>
      </c>
      <c r="AD19" s="15" t="inlineStr">
        <is>
          <t>-</t>
        </is>
      </c>
      <c r="AE19" s="15" t="inlineStr">
        <is>
          <t>-</t>
        </is>
      </c>
      <c r="AF19" s="15" t="inlineStr">
        <is>
          <t>-</t>
        </is>
      </c>
    </row>
  </sheetData>
  <mergeCells count="9">
    <mergeCell ref="B4:F4"/>
    <mergeCell ref="H3:L3"/>
    <mergeCell ref="C8:AF8"/>
    <mergeCell ref="B3:F3"/>
    <mergeCell ref="B5:F5"/>
    <mergeCell ref="A10:A19"/>
    <mergeCell ref="H5:L5"/>
    <mergeCell ref="B10:B11"/>
    <mergeCell ref="H4:L4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F19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24" customHeight="1" s="18">
      <c r="B3" s="21" t="inlineStr">
        <is>
          <t>D71.3. Quand vous vous retrouvez avec des amis ou des proches, diriez-vous que vous discutez fréquemment, occasionnellement ou jamais à propos … ?</t>
        </is>
      </c>
      <c r="H3" s="21" t="inlineStr">
        <is>
          <t>D71.3. When you get together with friends or relatives, would you say you discuss frequently, occasionally or never about...?</t>
        </is>
      </c>
    </row>
    <row r="4" ht="27" customHeight="1" s="18">
      <c r="B4" s="21" t="inlineStr">
        <is>
          <t>De sujets de politique locale</t>
        </is>
      </c>
      <c r="H4" s="21" t="inlineStr">
        <is>
          <t>Local political matters</t>
        </is>
      </c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HYPERLINK("#Content!A74","&lt;&lt;Back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Fréquemment</t>
        </is>
      </c>
      <c r="C12" s="12" t="n">
        <v>5581</v>
      </c>
      <c r="D12" s="12" t="n">
        <v>145</v>
      </c>
      <c r="E12" s="12" t="n">
        <v>326</v>
      </c>
      <c r="F12" s="12" t="n">
        <v>171</v>
      </c>
      <c r="G12" s="12" t="n">
        <v>234</v>
      </c>
      <c r="H12" s="12" t="n">
        <v>392</v>
      </c>
      <c r="I12" s="12" t="n">
        <v>486</v>
      </c>
      <c r="J12" s="12" t="n">
        <v>94</v>
      </c>
      <c r="K12" s="12" t="n">
        <v>181</v>
      </c>
      <c r="L12" s="12" t="n">
        <v>195</v>
      </c>
      <c r="M12" s="12" t="n">
        <v>311</v>
      </c>
      <c r="N12" s="12" t="n">
        <v>186</v>
      </c>
      <c r="O12" s="12" t="n">
        <v>136</v>
      </c>
      <c r="P12" s="12" t="n">
        <v>233</v>
      </c>
      <c r="Q12" s="12" t="n">
        <v>235</v>
      </c>
      <c r="R12" s="12" t="n">
        <v>132</v>
      </c>
      <c r="S12" s="12" t="n">
        <v>164</v>
      </c>
      <c r="T12" s="12" t="n">
        <v>175</v>
      </c>
      <c r="U12" s="12" t="n">
        <v>87</v>
      </c>
      <c r="V12" s="12" t="n">
        <v>226</v>
      </c>
      <c r="W12" s="12" t="n">
        <v>115</v>
      </c>
      <c r="X12" s="12" t="n">
        <v>207</v>
      </c>
      <c r="Y12" s="12" t="n">
        <v>206</v>
      </c>
      <c r="Z12" s="12" t="n">
        <v>132</v>
      </c>
      <c r="AA12" s="12" t="n">
        <v>132</v>
      </c>
      <c r="AB12" s="12" t="n">
        <v>212</v>
      </c>
      <c r="AC12" s="12" t="n">
        <v>124</v>
      </c>
      <c r="AD12" s="12" t="n">
        <v>218</v>
      </c>
      <c r="AE12" s="12" t="n">
        <v>224</v>
      </c>
      <c r="AF12" s="12" t="n">
        <v>219</v>
      </c>
    </row>
    <row r="13">
      <c r="A13" s="20" t="n"/>
      <c r="B13" s="13" t="inlineStr">
        <is>
          <t>Frequently</t>
        </is>
      </c>
      <c r="C13" s="14" t="n">
        <v>0.21</v>
      </c>
      <c r="D13" s="14" t="n">
        <v>0.14</v>
      </c>
      <c r="E13" s="14" t="n">
        <v>0.32</v>
      </c>
      <c r="F13" s="14" t="n">
        <v>0.16</v>
      </c>
      <c r="G13" s="14" t="n">
        <v>0.23</v>
      </c>
      <c r="H13" s="14" t="n">
        <v>0.32</v>
      </c>
      <c r="I13" s="14" t="n">
        <v>0.32</v>
      </c>
      <c r="J13" s="14" t="n">
        <v>0.32</v>
      </c>
      <c r="K13" s="14" t="n">
        <v>0.18</v>
      </c>
      <c r="L13" s="14" t="n">
        <v>0.2</v>
      </c>
      <c r="M13" s="14" t="n">
        <v>0.31</v>
      </c>
      <c r="N13" s="14" t="n">
        <v>0.19</v>
      </c>
      <c r="O13" s="14" t="n">
        <v>0.13</v>
      </c>
      <c r="P13" s="14" t="n">
        <v>0.23</v>
      </c>
      <c r="Q13" s="14" t="n">
        <v>0.23</v>
      </c>
      <c r="R13" s="14" t="n">
        <v>0.26</v>
      </c>
      <c r="S13" s="14" t="n">
        <v>0.16</v>
      </c>
      <c r="T13" s="14" t="n">
        <v>0.17</v>
      </c>
      <c r="U13" s="14" t="n">
        <v>0.17</v>
      </c>
      <c r="V13" s="14" t="n">
        <v>0.22</v>
      </c>
      <c r="W13" s="14" t="n">
        <v>0.23</v>
      </c>
      <c r="X13" s="14" t="n">
        <v>0.2</v>
      </c>
      <c r="Y13" s="14" t="n">
        <v>0.21</v>
      </c>
      <c r="Z13" s="14" t="n">
        <v>0.13</v>
      </c>
      <c r="AA13" s="14" t="n">
        <v>0.13</v>
      </c>
      <c r="AB13" s="14" t="n">
        <v>0.2</v>
      </c>
      <c r="AC13" s="14" t="n">
        <v>0.12</v>
      </c>
      <c r="AD13" s="14" t="n">
        <v>0.22</v>
      </c>
      <c r="AE13" s="14" t="n">
        <v>0.22</v>
      </c>
      <c r="AF13" s="14" t="n">
        <v>0.21</v>
      </c>
    </row>
    <row r="14">
      <c r="A14" s="20" t="n"/>
      <c r="B14" s="11" t="inlineStr">
        <is>
          <t>Occasionnellement</t>
        </is>
      </c>
      <c r="C14" s="12" t="n">
        <v>14656</v>
      </c>
      <c r="D14" s="12" t="n">
        <v>586</v>
      </c>
      <c r="E14" s="12" t="n">
        <v>573</v>
      </c>
      <c r="F14" s="12" t="n">
        <v>621</v>
      </c>
      <c r="G14" s="12" t="n">
        <v>592</v>
      </c>
      <c r="H14" s="12" t="n">
        <v>678</v>
      </c>
      <c r="I14" s="12" t="n">
        <v>847</v>
      </c>
      <c r="J14" s="12" t="n">
        <v>169</v>
      </c>
      <c r="K14" s="12" t="n">
        <v>552</v>
      </c>
      <c r="L14" s="12" t="n">
        <v>558</v>
      </c>
      <c r="M14" s="12" t="n">
        <v>545</v>
      </c>
      <c r="N14" s="12" t="n">
        <v>464</v>
      </c>
      <c r="O14" s="12" t="n">
        <v>507</v>
      </c>
      <c r="P14" s="12" t="n">
        <v>598</v>
      </c>
      <c r="Q14" s="12" t="n">
        <v>564</v>
      </c>
      <c r="R14" s="12" t="n">
        <v>246</v>
      </c>
      <c r="S14" s="12" t="n">
        <v>609</v>
      </c>
      <c r="T14" s="12" t="n">
        <v>569</v>
      </c>
      <c r="U14" s="12" t="n">
        <v>257</v>
      </c>
      <c r="V14" s="12" t="n">
        <v>692</v>
      </c>
      <c r="W14" s="12" t="n">
        <v>253</v>
      </c>
      <c r="X14" s="12" t="n">
        <v>576</v>
      </c>
      <c r="Y14" s="12" t="n">
        <v>542</v>
      </c>
      <c r="Z14" s="12" t="n">
        <v>666</v>
      </c>
      <c r="AA14" s="12" t="n">
        <v>587</v>
      </c>
      <c r="AB14" s="12" t="n">
        <v>643</v>
      </c>
      <c r="AC14" s="12" t="n">
        <v>665</v>
      </c>
      <c r="AD14" s="12" t="n">
        <v>632</v>
      </c>
      <c r="AE14" s="12" t="n">
        <v>572</v>
      </c>
      <c r="AF14" s="12" t="n">
        <v>621</v>
      </c>
    </row>
    <row r="15">
      <c r="A15" s="20" t="n"/>
      <c r="B15" s="13" t="inlineStr">
        <is>
          <t>Occasionally</t>
        </is>
      </c>
      <c r="C15" s="14" t="n">
        <v>0.5600000000000001</v>
      </c>
      <c r="D15" s="14" t="n">
        <v>0.58</v>
      </c>
      <c r="E15" s="14" t="n">
        <v>0.5700000000000001</v>
      </c>
      <c r="F15" s="14" t="n">
        <v>0.59</v>
      </c>
      <c r="G15" s="14" t="n">
        <v>0.59</v>
      </c>
      <c r="H15" s="14" t="n">
        <v>0.5600000000000001</v>
      </c>
      <c r="I15" s="14" t="n">
        <v>0.5600000000000001</v>
      </c>
      <c r="J15" s="14" t="n">
        <v>0.58</v>
      </c>
      <c r="K15" s="14" t="n">
        <v>0.55</v>
      </c>
      <c r="L15" s="14" t="n">
        <v>0.55</v>
      </c>
      <c r="M15" s="14" t="n">
        <v>0.54</v>
      </c>
      <c r="N15" s="14" t="n">
        <v>0.46</v>
      </c>
      <c r="O15" s="14" t="n">
        <v>0.5</v>
      </c>
      <c r="P15" s="14" t="n">
        <v>0.59</v>
      </c>
      <c r="Q15" s="14" t="n">
        <v>0.55</v>
      </c>
      <c r="R15" s="14" t="n">
        <v>0.49</v>
      </c>
      <c r="S15" s="14" t="n">
        <v>0.61</v>
      </c>
      <c r="T15" s="14" t="n">
        <v>0.5600000000000001</v>
      </c>
      <c r="U15" s="14" t="n">
        <v>0.51</v>
      </c>
      <c r="V15" s="14" t="n">
        <v>0.68</v>
      </c>
      <c r="W15" s="14" t="n">
        <v>0.5</v>
      </c>
      <c r="X15" s="14" t="n">
        <v>0.5600000000000001</v>
      </c>
      <c r="Y15" s="14" t="n">
        <v>0.54</v>
      </c>
      <c r="Z15" s="14" t="n">
        <v>0.65</v>
      </c>
      <c r="AA15" s="14" t="n">
        <v>0.5700000000000001</v>
      </c>
      <c r="AB15" s="14" t="n">
        <v>0.62</v>
      </c>
      <c r="AC15" s="14" t="n">
        <v>0.66</v>
      </c>
      <c r="AD15" s="14" t="n">
        <v>0.63</v>
      </c>
      <c r="AE15" s="14" t="n">
        <v>0.5600000000000001</v>
      </c>
      <c r="AF15" s="14" t="n">
        <v>0.6</v>
      </c>
    </row>
    <row r="16">
      <c r="A16" s="20" t="n"/>
      <c r="B16" s="11" t="inlineStr">
        <is>
          <t>Jamais</t>
        </is>
      </c>
      <c r="C16" s="12" t="n">
        <v>6147</v>
      </c>
      <c r="D16" s="12" t="n">
        <v>289</v>
      </c>
      <c r="E16" s="12" t="n">
        <v>112</v>
      </c>
      <c r="F16" s="12" t="n">
        <v>257</v>
      </c>
      <c r="G16" s="12" t="n">
        <v>181</v>
      </c>
      <c r="H16" s="12" t="n">
        <v>139</v>
      </c>
      <c r="I16" s="12" t="n">
        <v>169</v>
      </c>
      <c r="J16" s="12" t="n">
        <v>30</v>
      </c>
      <c r="K16" s="12" t="n">
        <v>270</v>
      </c>
      <c r="L16" s="12" t="n">
        <v>256</v>
      </c>
      <c r="M16" s="12" t="n">
        <v>151</v>
      </c>
      <c r="N16" s="12" t="n">
        <v>356</v>
      </c>
      <c r="O16" s="12" t="n">
        <v>373</v>
      </c>
      <c r="P16" s="12" t="n">
        <v>175</v>
      </c>
      <c r="Q16" s="12" t="n">
        <v>229</v>
      </c>
      <c r="R16" s="12" t="n">
        <v>124</v>
      </c>
      <c r="S16" s="12" t="n">
        <v>231</v>
      </c>
      <c r="T16" s="12" t="n">
        <v>272</v>
      </c>
      <c r="U16" s="12" t="n">
        <v>163</v>
      </c>
      <c r="V16" s="12" t="n">
        <v>101</v>
      </c>
      <c r="W16" s="12" t="n">
        <v>136</v>
      </c>
      <c r="X16" s="12" t="n">
        <v>240</v>
      </c>
      <c r="Y16" s="12" t="n">
        <v>254</v>
      </c>
      <c r="Z16" s="12" t="n">
        <v>217</v>
      </c>
      <c r="AA16" s="12" t="n">
        <v>312</v>
      </c>
      <c r="AB16" s="12" t="n">
        <v>188</v>
      </c>
      <c r="AC16" s="12" t="n">
        <v>217</v>
      </c>
      <c r="AD16" s="12" t="n">
        <v>151</v>
      </c>
      <c r="AE16" s="12" t="n">
        <v>215</v>
      </c>
      <c r="AF16" s="12" t="n">
        <v>197</v>
      </c>
    </row>
    <row r="17">
      <c r="A17" s="20" t="n"/>
      <c r="B17" s="13" t="inlineStr">
        <is>
          <t>Never</t>
        </is>
      </c>
      <c r="C17" s="14" t="n">
        <v>0.23</v>
      </c>
      <c r="D17" s="14" t="n">
        <v>0.28</v>
      </c>
      <c r="E17" s="14" t="n">
        <v>0.11</v>
      </c>
      <c r="F17" s="14" t="n">
        <v>0.25</v>
      </c>
      <c r="G17" s="14" t="n">
        <v>0.18</v>
      </c>
      <c r="H17" s="14" t="n">
        <v>0.12</v>
      </c>
      <c r="I17" s="14" t="n">
        <v>0.11</v>
      </c>
      <c r="J17" s="14" t="n">
        <v>0.1</v>
      </c>
      <c r="K17" s="14" t="n">
        <v>0.27</v>
      </c>
      <c r="L17" s="14" t="n">
        <v>0.25</v>
      </c>
      <c r="M17" s="14" t="n">
        <v>0.15</v>
      </c>
      <c r="N17" s="14" t="n">
        <v>0.35</v>
      </c>
      <c r="O17" s="14" t="n">
        <v>0.37</v>
      </c>
      <c r="P17" s="14" t="n">
        <v>0.18</v>
      </c>
      <c r="Q17" s="14" t="n">
        <v>0.22</v>
      </c>
      <c r="R17" s="14" t="n">
        <v>0.25</v>
      </c>
      <c r="S17" s="14" t="n">
        <v>0.23</v>
      </c>
      <c r="T17" s="14" t="n">
        <v>0.27</v>
      </c>
      <c r="U17" s="14" t="n">
        <v>0.32</v>
      </c>
      <c r="V17" s="14" t="n">
        <v>0.1</v>
      </c>
      <c r="W17" s="14" t="n">
        <v>0.27</v>
      </c>
      <c r="X17" s="14" t="n">
        <v>0.24</v>
      </c>
      <c r="Y17" s="14" t="n">
        <v>0.25</v>
      </c>
      <c r="Z17" s="14" t="n">
        <v>0.21</v>
      </c>
      <c r="AA17" s="14" t="n">
        <v>0.3</v>
      </c>
      <c r="AB17" s="14" t="n">
        <v>0.18</v>
      </c>
      <c r="AC17" s="14" t="n">
        <v>0.22</v>
      </c>
      <c r="AD17" s="14" t="n">
        <v>0.15</v>
      </c>
      <c r="AE17" s="14" t="n">
        <v>0.21</v>
      </c>
      <c r="AF17" s="14" t="n">
        <v>0.19</v>
      </c>
    </row>
    <row r="18">
      <c r="A18" s="20" t="n"/>
      <c r="B18" s="11" t="inlineStr">
        <is>
          <t>Ne sait pas</t>
        </is>
      </c>
      <c r="C18" s="12" t="n">
        <v>37</v>
      </c>
      <c r="D18" s="12" t="n">
        <v>1</v>
      </c>
      <c r="E18" s="12" t="n">
        <v>3</v>
      </c>
      <c r="F18" s="12" t="n">
        <v>0</v>
      </c>
      <c r="G18" s="12" t="n">
        <v>0</v>
      </c>
      <c r="H18" s="12" t="n">
        <v>5</v>
      </c>
      <c r="I18" s="12" t="n">
        <v>5</v>
      </c>
      <c r="J18" s="12" t="n">
        <v>0</v>
      </c>
      <c r="K18" s="12" t="n">
        <v>3</v>
      </c>
      <c r="L18" s="12" t="n">
        <v>1</v>
      </c>
      <c r="M18" s="12" t="n">
        <v>0</v>
      </c>
      <c r="N18" s="12" t="n">
        <v>0</v>
      </c>
      <c r="O18" s="12" t="n">
        <v>0</v>
      </c>
      <c r="P18" s="12" t="n">
        <v>1</v>
      </c>
      <c r="Q18" s="12" t="n">
        <v>1</v>
      </c>
      <c r="R18" s="12" t="n">
        <v>2</v>
      </c>
      <c r="S18" s="12" t="n">
        <v>1</v>
      </c>
      <c r="T18" s="12" t="n">
        <v>0</v>
      </c>
      <c r="U18" s="12" t="n">
        <v>1</v>
      </c>
      <c r="V18" s="12" t="n">
        <v>1</v>
      </c>
      <c r="W18" s="12" t="n">
        <v>1</v>
      </c>
      <c r="X18" s="12" t="n">
        <v>0</v>
      </c>
      <c r="Y18" s="12" t="n">
        <v>1</v>
      </c>
      <c r="Z18" s="12" t="n">
        <v>5</v>
      </c>
      <c r="AA18" s="12" t="n">
        <v>0</v>
      </c>
      <c r="AB18" s="12" t="n">
        <v>2</v>
      </c>
      <c r="AC18" s="12" t="n">
        <v>0</v>
      </c>
      <c r="AD18" s="12" t="n">
        <v>0</v>
      </c>
      <c r="AE18" s="12" t="n">
        <v>4</v>
      </c>
      <c r="AF18" s="12" t="n">
        <v>0</v>
      </c>
    </row>
    <row r="19">
      <c r="A19" s="23" t="n"/>
      <c r="B19" s="13" t="inlineStr">
        <is>
          <t>Don't know</t>
        </is>
      </c>
      <c r="C19" s="15" t="inlineStr">
        <is>
          <t>-</t>
        </is>
      </c>
      <c r="D19" s="15" t="inlineStr">
        <is>
          <t>-</t>
        </is>
      </c>
      <c r="E19" s="15" t="inlineStr">
        <is>
          <t>-</t>
        </is>
      </c>
      <c r="F19" s="15" t="inlineStr">
        <is>
          <t>-</t>
        </is>
      </c>
      <c r="G19" s="15" t="inlineStr">
        <is>
          <t>-</t>
        </is>
      </c>
      <c r="H19" s="15" t="inlineStr">
        <is>
          <t>-</t>
        </is>
      </c>
      <c r="I19" s="14" t="n">
        <v>0.01</v>
      </c>
      <c r="J19" s="15" t="inlineStr">
        <is>
          <t>-</t>
        </is>
      </c>
      <c r="K19" s="15" t="inlineStr">
        <is>
          <t>-</t>
        </is>
      </c>
      <c r="L19" s="15" t="inlineStr">
        <is>
          <t>-</t>
        </is>
      </c>
      <c r="M19" s="15" t="inlineStr">
        <is>
          <t>-</t>
        </is>
      </c>
      <c r="N19" s="15" t="inlineStr">
        <is>
          <t>-</t>
        </is>
      </c>
      <c r="O19" s="15" t="inlineStr">
        <is>
          <t>-</t>
        </is>
      </c>
      <c r="P19" s="15" t="inlineStr">
        <is>
          <t>-</t>
        </is>
      </c>
      <c r="Q19" s="15" t="inlineStr">
        <is>
          <t>-</t>
        </is>
      </c>
      <c r="R19" s="15" t="inlineStr">
        <is>
          <t>-</t>
        </is>
      </c>
      <c r="S19" s="15" t="inlineStr">
        <is>
          <t>-</t>
        </is>
      </c>
      <c r="T19" s="15" t="inlineStr">
        <is>
          <t>-</t>
        </is>
      </c>
      <c r="U19" s="15" t="inlineStr">
        <is>
          <t>-</t>
        </is>
      </c>
      <c r="V19" s="15" t="inlineStr">
        <is>
          <t>-</t>
        </is>
      </c>
      <c r="W19" s="15" t="inlineStr">
        <is>
          <t>-</t>
        </is>
      </c>
      <c r="X19" s="15" t="inlineStr">
        <is>
          <t>-</t>
        </is>
      </c>
      <c r="Y19" s="15" t="inlineStr">
        <is>
          <t>-</t>
        </is>
      </c>
      <c r="Z19" s="14" t="n">
        <v>0.01</v>
      </c>
      <c r="AA19" s="15" t="inlineStr">
        <is>
          <t>-</t>
        </is>
      </c>
      <c r="AB19" s="15" t="inlineStr">
        <is>
          <t>-</t>
        </is>
      </c>
      <c r="AC19" s="15" t="inlineStr">
        <is>
          <t>-</t>
        </is>
      </c>
      <c r="AD19" s="15" t="inlineStr">
        <is>
          <t>-</t>
        </is>
      </c>
      <c r="AE19" s="14" t="n">
        <v>0.01</v>
      </c>
      <c r="AF19" s="15" t="inlineStr">
        <is>
          <t>-</t>
        </is>
      </c>
    </row>
  </sheetData>
  <mergeCells count="9">
    <mergeCell ref="B4:F4"/>
    <mergeCell ref="H3:L3"/>
    <mergeCell ref="C8:AF8"/>
    <mergeCell ref="B3:F3"/>
    <mergeCell ref="B5:F5"/>
    <mergeCell ref="A10:A19"/>
    <mergeCell ref="H5:L5"/>
    <mergeCell ref="B10:B11"/>
    <mergeCell ref="H4:L4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F19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12" customHeight="1" s="18">
      <c r="B3" s="21" t="inlineStr">
        <is>
          <t>C2. Indice d'intérêt pour la politique</t>
        </is>
      </c>
      <c r="H3" s="21" t="inlineStr">
        <is>
          <t>C2. Political interest index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HYPERLINK("#Content!A75","&lt;&lt;Back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+ +</t>
        </is>
      </c>
      <c r="C12" s="12" t="n">
        <v>4765</v>
      </c>
      <c r="D12" s="12" t="n">
        <v>127</v>
      </c>
      <c r="E12" s="12" t="n">
        <v>250</v>
      </c>
      <c r="F12" s="12" t="n">
        <v>109</v>
      </c>
      <c r="G12" s="12" t="n">
        <v>244</v>
      </c>
      <c r="H12" s="12" t="n">
        <v>320</v>
      </c>
      <c r="I12" s="12" t="n">
        <v>380</v>
      </c>
      <c r="J12" s="12" t="n">
        <v>61</v>
      </c>
      <c r="K12" s="12" t="n">
        <v>171</v>
      </c>
      <c r="L12" s="12" t="n">
        <v>182</v>
      </c>
      <c r="M12" s="12" t="n">
        <v>279</v>
      </c>
      <c r="N12" s="12" t="n">
        <v>161</v>
      </c>
      <c r="O12" s="12" t="n">
        <v>107</v>
      </c>
      <c r="P12" s="12" t="n">
        <v>126</v>
      </c>
      <c r="Q12" s="12" t="n">
        <v>204</v>
      </c>
      <c r="R12" s="12" t="n">
        <v>88</v>
      </c>
      <c r="S12" s="12" t="n">
        <v>137</v>
      </c>
      <c r="T12" s="12" t="n">
        <v>140</v>
      </c>
      <c r="U12" s="12" t="n">
        <v>105</v>
      </c>
      <c r="V12" s="12" t="n">
        <v>225</v>
      </c>
      <c r="W12" s="12" t="n">
        <v>92</v>
      </c>
      <c r="X12" s="12" t="n">
        <v>278</v>
      </c>
      <c r="Y12" s="12" t="n">
        <v>199</v>
      </c>
      <c r="Z12" s="12" t="n">
        <v>97</v>
      </c>
      <c r="AA12" s="12" t="n">
        <v>125</v>
      </c>
      <c r="AB12" s="12" t="n">
        <v>142</v>
      </c>
      <c r="AC12" s="12" t="n">
        <v>95</v>
      </c>
      <c r="AD12" s="12" t="n">
        <v>221</v>
      </c>
      <c r="AE12" s="12" t="n">
        <v>208</v>
      </c>
      <c r="AF12" s="12" t="n">
        <v>298</v>
      </c>
    </row>
    <row r="13">
      <c r="A13" s="20" t="n"/>
      <c r="B13" s="13" t="inlineStr">
        <is>
          <t>+ +</t>
        </is>
      </c>
      <c r="C13" s="14" t="n">
        <v>0.18</v>
      </c>
      <c r="D13" s="14" t="n">
        <v>0.13</v>
      </c>
      <c r="E13" s="14" t="n">
        <v>0.25</v>
      </c>
      <c r="F13" s="14" t="n">
        <v>0.1</v>
      </c>
      <c r="G13" s="14" t="n">
        <v>0.24</v>
      </c>
      <c r="H13" s="14" t="n">
        <v>0.26</v>
      </c>
      <c r="I13" s="14" t="n">
        <v>0.25</v>
      </c>
      <c r="J13" s="14" t="n">
        <v>0.21</v>
      </c>
      <c r="K13" s="14" t="n">
        <v>0.17</v>
      </c>
      <c r="L13" s="14" t="n">
        <v>0.18</v>
      </c>
      <c r="M13" s="14" t="n">
        <v>0.28</v>
      </c>
      <c r="N13" s="14" t="n">
        <v>0.16</v>
      </c>
      <c r="O13" s="14" t="n">
        <v>0.11</v>
      </c>
      <c r="P13" s="14" t="n">
        <v>0.13</v>
      </c>
      <c r="Q13" s="14" t="n">
        <v>0.2</v>
      </c>
      <c r="R13" s="14" t="n">
        <v>0.17</v>
      </c>
      <c r="S13" s="14" t="n">
        <v>0.14</v>
      </c>
      <c r="T13" s="14" t="n">
        <v>0.14</v>
      </c>
      <c r="U13" s="14" t="n">
        <v>0.21</v>
      </c>
      <c r="V13" s="14" t="n">
        <v>0.22</v>
      </c>
      <c r="W13" s="14" t="n">
        <v>0.18</v>
      </c>
      <c r="X13" s="14" t="n">
        <v>0.27</v>
      </c>
      <c r="Y13" s="14" t="n">
        <v>0.2</v>
      </c>
      <c r="Z13" s="14" t="n">
        <v>0.09</v>
      </c>
      <c r="AA13" s="14" t="n">
        <v>0.12</v>
      </c>
      <c r="AB13" s="14" t="n">
        <v>0.14</v>
      </c>
      <c r="AC13" s="14" t="n">
        <v>0.09</v>
      </c>
      <c r="AD13" s="14" t="n">
        <v>0.22</v>
      </c>
      <c r="AE13" s="14" t="n">
        <v>0.21</v>
      </c>
      <c r="AF13" s="14" t="n">
        <v>0.29</v>
      </c>
    </row>
    <row r="14">
      <c r="A14" s="20" t="n"/>
      <c r="B14" s="11" t="inlineStr">
        <is>
          <t>+</t>
        </is>
      </c>
      <c r="C14" s="12" t="n">
        <v>12829</v>
      </c>
      <c r="D14" s="12" t="n">
        <v>481</v>
      </c>
      <c r="E14" s="12" t="n">
        <v>542</v>
      </c>
      <c r="F14" s="12" t="n">
        <v>587</v>
      </c>
      <c r="G14" s="12" t="n">
        <v>519</v>
      </c>
      <c r="H14" s="12" t="n">
        <v>623</v>
      </c>
      <c r="I14" s="12" t="n">
        <v>796</v>
      </c>
      <c r="J14" s="12" t="n">
        <v>173</v>
      </c>
      <c r="K14" s="12" t="n">
        <v>466</v>
      </c>
      <c r="L14" s="12" t="n">
        <v>433</v>
      </c>
      <c r="M14" s="12" t="n">
        <v>480</v>
      </c>
      <c r="N14" s="12" t="n">
        <v>370</v>
      </c>
      <c r="O14" s="12" t="n">
        <v>401</v>
      </c>
      <c r="P14" s="12" t="n">
        <v>577</v>
      </c>
      <c r="Q14" s="12" t="n">
        <v>515</v>
      </c>
      <c r="R14" s="12" t="n">
        <v>218</v>
      </c>
      <c r="S14" s="12" t="n">
        <v>523</v>
      </c>
      <c r="T14" s="12" t="n">
        <v>578</v>
      </c>
      <c r="U14" s="12" t="n">
        <v>239</v>
      </c>
      <c r="V14" s="12" t="n">
        <v>658</v>
      </c>
      <c r="W14" s="12" t="n">
        <v>215</v>
      </c>
      <c r="X14" s="12" t="n">
        <v>448</v>
      </c>
      <c r="Y14" s="12" t="n">
        <v>496</v>
      </c>
      <c r="Z14" s="12" t="n">
        <v>618</v>
      </c>
      <c r="AA14" s="12" t="n">
        <v>423</v>
      </c>
      <c r="AB14" s="12" t="n">
        <v>577</v>
      </c>
      <c r="AC14" s="12" t="n">
        <v>571</v>
      </c>
      <c r="AD14" s="12" t="n">
        <v>593</v>
      </c>
      <c r="AE14" s="12" t="n">
        <v>491</v>
      </c>
      <c r="AF14" s="12" t="n">
        <v>484</v>
      </c>
    </row>
    <row r="15">
      <c r="A15" s="20" t="n"/>
      <c r="B15" s="13" t="inlineStr">
        <is>
          <t>+</t>
        </is>
      </c>
      <c r="C15" s="14" t="n">
        <v>0.49</v>
      </c>
      <c r="D15" s="14" t="n">
        <v>0.47</v>
      </c>
      <c r="E15" s="14" t="n">
        <v>0.53</v>
      </c>
      <c r="F15" s="14" t="n">
        <v>0.5600000000000001</v>
      </c>
      <c r="G15" s="14" t="n">
        <v>0.52</v>
      </c>
      <c r="H15" s="14" t="n">
        <v>0.52</v>
      </c>
      <c r="I15" s="14" t="n">
        <v>0.53</v>
      </c>
      <c r="J15" s="14" t="n">
        <v>0.59</v>
      </c>
      <c r="K15" s="14" t="n">
        <v>0.46</v>
      </c>
      <c r="L15" s="14" t="n">
        <v>0.43</v>
      </c>
      <c r="M15" s="14" t="n">
        <v>0.48</v>
      </c>
      <c r="N15" s="14" t="n">
        <v>0.37</v>
      </c>
      <c r="O15" s="14" t="n">
        <v>0.39</v>
      </c>
      <c r="P15" s="14" t="n">
        <v>0.5700000000000001</v>
      </c>
      <c r="Q15" s="14" t="n">
        <v>0.5</v>
      </c>
      <c r="R15" s="14" t="n">
        <v>0.43</v>
      </c>
      <c r="S15" s="14" t="n">
        <v>0.52</v>
      </c>
      <c r="T15" s="14" t="n">
        <v>0.5700000000000001</v>
      </c>
      <c r="U15" s="14" t="n">
        <v>0.47</v>
      </c>
      <c r="V15" s="14" t="n">
        <v>0.64</v>
      </c>
      <c r="W15" s="14" t="n">
        <v>0.43</v>
      </c>
      <c r="X15" s="14" t="n">
        <v>0.44</v>
      </c>
      <c r="Y15" s="14" t="n">
        <v>0.49</v>
      </c>
      <c r="Z15" s="14" t="n">
        <v>0.61</v>
      </c>
      <c r="AA15" s="14" t="n">
        <v>0.41</v>
      </c>
      <c r="AB15" s="14" t="n">
        <v>0.55</v>
      </c>
      <c r="AC15" s="14" t="n">
        <v>0.5700000000000001</v>
      </c>
      <c r="AD15" s="14" t="n">
        <v>0.59</v>
      </c>
      <c r="AE15" s="14" t="n">
        <v>0.48</v>
      </c>
      <c r="AF15" s="14" t="n">
        <v>0.46</v>
      </c>
    </row>
    <row r="16">
      <c r="A16" s="20" t="n"/>
      <c r="B16" s="11" t="inlineStr">
        <is>
          <t>-</t>
        </is>
      </c>
      <c r="C16" s="12" t="n">
        <v>4843</v>
      </c>
      <c r="D16" s="12" t="n">
        <v>236</v>
      </c>
      <c r="E16" s="12" t="n">
        <v>131</v>
      </c>
      <c r="F16" s="12" t="n">
        <v>155</v>
      </c>
      <c r="G16" s="12" t="n">
        <v>184</v>
      </c>
      <c r="H16" s="12" t="n">
        <v>221</v>
      </c>
      <c r="I16" s="12" t="n">
        <v>267</v>
      </c>
      <c r="J16" s="12" t="n">
        <v>46</v>
      </c>
      <c r="K16" s="12" t="n">
        <v>178</v>
      </c>
      <c r="L16" s="12" t="n">
        <v>217</v>
      </c>
      <c r="M16" s="12" t="n">
        <v>125</v>
      </c>
      <c r="N16" s="12" t="n">
        <v>166</v>
      </c>
      <c r="O16" s="12" t="n">
        <v>266</v>
      </c>
      <c r="P16" s="12" t="n">
        <v>166</v>
      </c>
      <c r="Q16" s="12" t="n">
        <v>181</v>
      </c>
      <c r="R16" s="12" t="n">
        <v>85</v>
      </c>
      <c r="S16" s="12" t="n">
        <v>166</v>
      </c>
      <c r="T16" s="12" t="n">
        <v>96</v>
      </c>
      <c r="U16" s="12" t="n">
        <v>101</v>
      </c>
      <c r="V16" s="12" t="n">
        <v>78</v>
      </c>
      <c r="W16" s="12" t="n">
        <v>105</v>
      </c>
      <c r="X16" s="12" t="n">
        <v>213</v>
      </c>
      <c r="Y16" s="12" t="n">
        <v>199</v>
      </c>
      <c r="Z16" s="12" t="n">
        <v>136</v>
      </c>
      <c r="AA16" s="12" t="n">
        <v>206</v>
      </c>
      <c r="AB16" s="12" t="n">
        <v>191</v>
      </c>
      <c r="AC16" s="12" t="n">
        <v>186</v>
      </c>
      <c r="AD16" s="12" t="n">
        <v>99</v>
      </c>
      <c r="AE16" s="12" t="n">
        <v>201</v>
      </c>
      <c r="AF16" s="12" t="n">
        <v>207</v>
      </c>
    </row>
    <row r="17">
      <c r="A17" s="20" t="n"/>
      <c r="B17" s="13" t="inlineStr">
        <is>
          <t>-</t>
        </is>
      </c>
      <c r="C17" s="14" t="n">
        <v>0.18</v>
      </c>
      <c r="D17" s="14" t="n">
        <v>0.23</v>
      </c>
      <c r="E17" s="14" t="n">
        <v>0.13</v>
      </c>
      <c r="F17" s="14" t="n">
        <v>0.15</v>
      </c>
      <c r="G17" s="14" t="n">
        <v>0.18</v>
      </c>
      <c r="H17" s="14" t="n">
        <v>0.18</v>
      </c>
      <c r="I17" s="14" t="n">
        <v>0.18</v>
      </c>
      <c r="J17" s="14" t="n">
        <v>0.16</v>
      </c>
      <c r="K17" s="14" t="n">
        <v>0.18</v>
      </c>
      <c r="L17" s="14" t="n">
        <v>0.21</v>
      </c>
      <c r="M17" s="14" t="n">
        <v>0.12</v>
      </c>
      <c r="N17" s="14" t="n">
        <v>0.16</v>
      </c>
      <c r="O17" s="14" t="n">
        <v>0.26</v>
      </c>
      <c r="P17" s="14" t="n">
        <v>0.16</v>
      </c>
      <c r="Q17" s="14" t="n">
        <v>0.18</v>
      </c>
      <c r="R17" s="14" t="n">
        <v>0.17</v>
      </c>
      <c r="S17" s="14" t="n">
        <v>0.16</v>
      </c>
      <c r="T17" s="14" t="n">
        <v>0.09</v>
      </c>
      <c r="U17" s="14" t="n">
        <v>0.2</v>
      </c>
      <c r="V17" s="14" t="n">
        <v>0.08</v>
      </c>
      <c r="W17" s="14" t="n">
        <v>0.21</v>
      </c>
      <c r="X17" s="14" t="n">
        <v>0.21</v>
      </c>
      <c r="Y17" s="14" t="n">
        <v>0.2</v>
      </c>
      <c r="Z17" s="14" t="n">
        <v>0.13</v>
      </c>
      <c r="AA17" s="14" t="n">
        <v>0.2</v>
      </c>
      <c r="AB17" s="14" t="n">
        <v>0.18</v>
      </c>
      <c r="AC17" s="14" t="n">
        <v>0.19</v>
      </c>
      <c r="AD17" s="14" t="n">
        <v>0.1</v>
      </c>
      <c r="AE17" s="14" t="n">
        <v>0.2</v>
      </c>
      <c r="AF17" s="14" t="n">
        <v>0.2</v>
      </c>
    </row>
    <row r="18">
      <c r="A18" s="20" t="n"/>
      <c r="B18" s="11" t="inlineStr">
        <is>
          <t>- -</t>
        </is>
      </c>
      <c r="C18" s="12" t="n">
        <v>3984</v>
      </c>
      <c r="D18" s="12" t="n">
        <v>177</v>
      </c>
      <c r="E18" s="12" t="n">
        <v>91</v>
      </c>
      <c r="F18" s="12" t="n">
        <v>199</v>
      </c>
      <c r="G18" s="12" t="n">
        <v>60</v>
      </c>
      <c r="H18" s="12" t="n">
        <v>50</v>
      </c>
      <c r="I18" s="12" t="n">
        <v>63</v>
      </c>
      <c r="J18" s="12" t="n">
        <v>13</v>
      </c>
      <c r="K18" s="12" t="n">
        <v>190</v>
      </c>
      <c r="L18" s="12" t="n">
        <v>178</v>
      </c>
      <c r="M18" s="12" t="n">
        <v>124</v>
      </c>
      <c r="N18" s="12" t="n">
        <v>309</v>
      </c>
      <c r="O18" s="12" t="n">
        <v>242</v>
      </c>
      <c r="P18" s="12" t="n">
        <v>138</v>
      </c>
      <c r="Q18" s="12" t="n">
        <v>129</v>
      </c>
      <c r="R18" s="12" t="n">
        <v>114</v>
      </c>
      <c r="S18" s="12" t="n">
        <v>179</v>
      </c>
      <c r="T18" s="12" t="n">
        <v>203</v>
      </c>
      <c r="U18" s="12" t="n">
        <v>63</v>
      </c>
      <c r="V18" s="12" t="n">
        <v>59</v>
      </c>
      <c r="W18" s="12" t="n">
        <v>94</v>
      </c>
      <c r="X18" s="12" t="n">
        <v>84</v>
      </c>
      <c r="Y18" s="12" t="n">
        <v>108</v>
      </c>
      <c r="Z18" s="12" t="n">
        <v>169</v>
      </c>
      <c r="AA18" s="12" t="n">
        <v>276</v>
      </c>
      <c r="AB18" s="12" t="n">
        <v>134</v>
      </c>
      <c r="AC18" s="12" t="n">
        <v>155</v>
      </c>
      <c r="AD18" s="12" t="n">
        <v>89</v>
      </c>
      <c r="AE18" s="12" t="n">
        <v>116</v>
      </c>
      <c r="AF18" s="12" t="n">
        <v>49</v>
      </c>
    </row>
    <row r="19">
      <c r="A19" s="23" t="n"/>
      <c r="B19" s="13" t="inlineStr">
        <is>
          <t>- -</t>
        </is>
      </c>
      <c r="C19" s="14" t="n">
        <v>0.15</v>
      </c>
      <c r="D19" s="14" t="n">
        <v>0.17</v>
      </c>
      <c r="E19" s="14" t="n">
        <v>0.09</v>
      </c>
      <c r="F19" s="14" t="n">
        <v>0.19</v>
      </c>
      <c r="G19" s="14" t="n">
        <v>0.06</v>
      </c>
      <c r="H19" s="14" t="n">
        <v>0.04</v>
      </c>
      <c r="I19" s="14" t="n">
        <v>0.04</v>
      </c>
      <c r="J19" s="14" t="n">
        <v>0.04</v>
      </c>
      <c r="K19" s="14" t="n">
        <v>0.19</v>
      </c>
      <c r="L19" s="14" t="n">
        <v>0.18</v>
      </c>
      <c r="M19" s="14" t="n">
        <v>0.12</v>
      </c>
      <c r="N19" s="14" t="n">
        <v>0.31</v>
      </c>
      <c r="O19" s="14" t="n">
        <v>0.24</v>
      </c>
      <c r="P19" s="14" t="n">
        <v>0.14</v>
      </c>
      <c r="Q19" s="14" t="n">
        <v>0.12</v>
      </c>
      <c r="R19" s="14" t="n">
        <v>0.23</v>
      </c>
      <c r="S19" s="14" t="n">
        <v>0.18</v>
      </c>
      <c r="T19" s="14" t="n">
        <v>0.2</v>
      </c>
      <c r="U19" s="14" t="n">
        <v>0.12</v>
      </c>
      <c r="V19" s="14" t="n">
        <v>0.06</v>
      </c>
      <c r="W19" s="14" t="n">
        <v>0.18</v>
      </c>
      <c r="X19" s="14" t="n">
        <v>0.08</v>
      </c>
      <c r="Y19" s="14" t="n">
        <v>0.11</v>
      </c>
      <c r="Z19" s="14" t="n">
        <v>0.17</v>
      </c>
      <c r="AA19" s="14" t="n">
        <v>0.27</v>
      </c>
      <c r="AB19" s="14" t="n">
        <v>0.13</v>
      </c>
      <c r="AC19" s="14" t="n">
        <v>0.15</v>
      </c>
      <c r="AD19" s="14" t="n">
        <v>0.09</v>
      </c>
      <c r="AE19" s="14" t="n">
        <v>0.11</v>
      </c>
      <c r="AF19" s="14" t="n">
        <v>0.05</v>
      </c>
    </row>
  </sheetData>
  <mergeCells count="9">
    <mergeCell ref="B4:F4"/>
    <mergeCell ref="H3:L3"/>
    <mergeCell ref="C8:AF8"/>
    <mergeCell ref="B3:F3"/>
    <mergeCell ref="B5:F5"/>
    <mergeCell ref="A10:A19"/>
    <mergeCell ref="H5:L5"/>
    <mergeCell ref="B10:B11"/>
    <mergeCell ref="H4:L4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36" customHeight="1" s="18">
      <c r="B3" s="21" t="inlineStr">
        <is>
          <t>SD18a. Dans l’ensemble, êtes-vous très satisfait(e), plutôt satisfait(e), plutôt pas satisfait(e) ou pas du tout satisfait(e) du fonctionnement de la démocratie en (NOTRE PAYS) ?</t>
        </is>
      </c>
      <c r="H3" s="21" t="inlineStr">
        <is>
          <t>SD18a. On the whole, are you very satisfied, fairly satisfied, not very satisfied or not at all satisfied with the way democracy works in (OUR COUNTRY)?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HYPERLINK("#Content!A76","&lt;&lt;Back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Très satisfait(e)</t>
        </is>
      </c>
      <c r="C12" s="12" t="n">
        <v>2098</v>
      </c>
      <c r="D12" s="12" t="n">
        <v>60</v>
      </c>
      <c r="E12" s="12" t="n">
        <v>66</v>
      </c>
      <c r="F12" s="12" t="n">
        <v>48</v>
      </c>
      <c r="G12" s="12" t="n">
        <v>464</v>
      </c>
      <c r="H12" s="12" t="n">
        <v>106</v>
      </c>
      <c r="I12" s="12" t="n">
        <v>115</v>
      </c>
      <c r="J12" s="12" t="n">
        <v>9</v>
      </c>
      <c r="K12" s="12" t="n">
        <v>51</v>
      </c>
      <c r="L12" s="12" t="n">
        <v>169</v>
      </c>
      <c r="M12" s="12" t="n">
        <v>32</v>
      </c>
      <c r="N12" s="12" t="n">
        <v>76</v>
      </c>
      <c r="O12" s="12" t="n">
        <v>58</v>
      </c>
      <c r="P12" s="12" t="n">
        <v>42</v>
      </c>
      <c r="Q12" s="12" t="n">
        <v>40</v>
      </c>
      <c r="R12" s="12" t="n">
        <v>19</v>
      </c>
      <c r="S12" s="12" t="n">
        <v>50</v>
      </c>
      <c r="T12" s="12" t="n">
        <v>57</v>
      </c>
      <c r="U12" s="12" t="n">
        <v>143</v>
      </c>
      <c r="V12" s="12" t="n">
        <v>44</v>
      </c>
      <c r="W12" s="12" t="n">
        <v>62</v>
      </c>
      <c r="X12" s="12" t="n">
        <v>124</v>
      </c>
      <c r="Y12" s="12" t="n">
        <v>192</v>
      </c>
      <c r="Z12" s="12" t="n">
        <v>65</v>
      </c>
      <c r="AA12" s="12" t="n">
        <v>95</v>
      </c>
      <c r="AB12" s="12" t="n">
        <v>36</v>
      </c>
      <c r="AC12" s="12" t="n">
        <v>38</v>
      </c>
      <c r="AD12" s="12" t="n">
        <v>91</v>
      </c>
      <c r="AE12" s="12" t="n">
        <v>219</v>
      </c>
      <c r="AF12" s="12" t="n">
        <v>304</v>
      </c>
    </row>
    <row r="13">
      <c r="A13" s="20" t="n"/>
      <c r="B13" s="13" t="inlineStr">
        <is>
          <t>Very satisfied</t>
        </is>
      </c>
      <c r="C13" s="14" t="n">
        <v>0.08</v>
      </c>
      <c r="D13" s="14" t="n">
        <v>0.06</v>
      </c>
      <c r="E13" s="14" t="n">
        <v>0.06</v>
      </c>
      <c r="F13" s="14" t="n">
        <v>0.04</v>
      </c>
      <c r="G13" s="14" t="n">
        <v>0.46</v>
      </c>
      <c r="H13" s="14" t="n">
        <v>0.09</v>
      </c>
      <c r="I13" s="14" t="n">
        <v>0.08</v>
      </c>
      <c r="J13" s="14" t="n">
        <v>0.03</v>
      </c>
      <c r="K13" s="14" t="n">
        <v>0.05</v>
      </c>
      <c r="L13" s="14" t="n">
        <v>0.17</v>
      </c>
      <c r="M13" s="14" t="n">
        <v>0.03</v>
      </c>
      <c r="N13" s="14" t="n">
        <v>0.08</v>
      </c>
      <c r="O13" s="14" t="n">
        <v>0.06</v>
      </c>
      <c r="P13" s="14" t="n">
        <v>0.04</v>
      </c>
      <c r="Q13" s="14" t="n">
        <v>0.04</v>
      </c>
      <c r="R13" s="14" t="n">
        <v>0.03</v>
      </c>
      <c r="S13" s="14" t="n">
        <v>0.05</v>
      </c>
      <c r="T13" s="14" t="n">
        <v>0.05</v>
      </c>
      <c r="U13" s="14" t="n">
        <v>0.28</v>
      </c>
      <c r="V13" s="14" t="n">
        <v>0.04</v>
      </c>
      <c r="W13" s="14" t="n">
        <v>0.12</v>
      </c>
      <c r="X13" s="14" t="n">
        <v>0.12</v>
      </c>
      <c r="Y13" s="14" t="n">
        <v>0.19</v>
      </c>
      <c r="Z13" s="14" t="n">
        <v>0.06</v>
      </c>
      <c r="AA13" s="14" t="n">
        <v>0.09</v>
      </c>
      <c r="AB13" s="14" t="n">
        <v>0.03</v>
      </c>
      <c r="AC13" s="14" t="n">
        <v>0.04</v>
      </c>
      <c r="AD13" s="14" t="n">
        <v>0.09</v>
      </c>
      <c r="AE13" s="14" t="n">
        <v>0.22</v>
      </c>
      <c r="AF13" s="14" t="n">
        <v>0.29</v>
      </c>
    </row>
    <row r="14">
      <c r="A14" s="20" t="n"/>
      <c r="B14" s="11" t="inlineStr">
        <is>
          <t>Plutôt satisfait(e)</t>
        </is>
      </c>
      <c r="C14" s="12" t="n">
        <v>14260</v>
      </c>
      <c r="D14" s="12" t="n">
        <v>624</v>
      </c>
      <c r="E14" s="12" t="n">
        <v>432</v>
      </c>
      <c r="F14" s="12" t="n">
        <v>689</v>
      </c>
      <c r="G14" s="12" t="n">
        <v>434</v>
      </c>
      <c r="H14" s="12" t="n">
        <v>661</v>
      </c>
      <c r="I14" s="12" t="n">
        <v>773</v>
      </c>
      <c r="J14" s="12" t="n">
        <v>112</v>
      </c>
      <c r="K14" s="12" t="n">
        <v>487</v>
      </c>
      <c r="L14" s="12" t="n">
        <v>536</v>
      </c>
      <c r="M14" s="12" t="n">
        <v>269</v>
      </c>
      <c r="N14" s="12" t="n">
        <v>495</v>
      </c>
      <c r="O14" s="12" t="n">
        <v>549</v>
      </c>
      <c r="P14" s="12" t="n">
        <v>432</v>
      </c>
      <c r="Q14" s="12" t="n">
        <v>575</v>
      </c>
      <c r="R14" s="12" t="n">
        <v>145</v>
      </c>
      <c r="S14" s="12" t="n">
        <v>562</v>
      </c>
      <c r="T14" s="12" t="n">
        <v>468</v>
      </c>
      <c r="U14" s="12" t="n">
        <v>313</v>
      </c>
      <c r="V14" s="12" t="n">
        <v>586</v>
      </c>
      <c r="W14" s="12" t="n">
        <v>241</v>
      </c>
      <c r="X14" s="12" t="n">
        <v>605</v>
      </c>
      <c r="Y14" s="12" t="n">
        <v>426</v>
      </c>
      <c r="Z14" s="12" t="n">
        <v>753</v>
      </c>
      <c r="AA14" s="12" t="n">
        <v>644</v>
      </c>
      <c r="AB14" s="12" t="n">
        <v>468</v>
      </c>
      <c r="AC14" s="12" t="n">
        <v>480</v>
      </c>
      <c r="AD14" s="12" t="n">
        <v>449</v>
      </c>
      <c r="AE14" s="12" t="n">
        <v>605</v>
      </c>
      <c r="AF14" s="12" t="n">
        <v>579</v>
      </c>
    </row>
    <row r="15">
      <c r="A15" s="20" t="n"/>
      <c r="B15" s="13" t="inlineStr">
        <is>
          <t>Fairly satisfied</t>
        </is>
      </c>
      <c r="C15" s="14" t="n">
        <v>0.54</v>
      </c>
      <c r="D15" s="14" t="n">
        <v>0.61</v>
      </c>
      <c r="E15" s="14" t="n">
        <v>0.43</v>
      </c>
      <c r="F15" s="14" t="n">
        <v>0.66</v>
      </c>
      <c r="G15" s="14" t="n">
        <v>0.43</v>
      </c>
      <c r="H15" s="14" t="n">
        <v>0.54</v>
      </c>
      <c r="I15" s="14" t="n">
        <v>0.51</v>
      </c>
      <c r="J15" s="14" t="n">
        <v>0.38</v>
      </c>
      <c r="K15" s="14" t="n">
        <v>0.48</v>
      </c>
      <c r="L15" s="14" t="n">
        <v>0.53</v>
      </c>
      <c r="M15" s="14" t="n">
        <v>0.27</v>
      </c>
      <c r="N15" s="14" t="n">
        <v>0.49</v>
      </c>
      <c r="O15" s="14" t="n">
        <v>0.54</v>
      </c>
      <c r="P15" s="14" t="n">
        <v>0.43</v>
      </c>
      <c r="Q15" s="14" t="n">
        <v>0.5600000000000001</v>
      </c>
      <c r="R15" s="14" t="n">
        <v>0.29</v>
      </c>
      <c r="S15" s="14" t="n">
        <v>0.5600000000000001</v>
      </c>
      <c r="T15" s="14" t="n">
        <v>0.46</v>
      </c>
      <c r="U15" s="14" t="n">
        <v>0.62</v>
      </c>
      <c r="V15" s="14" t="n">
        <v>0.58</v>
      </c>
      <c r="W15" s="14" t="n">
        <v>0.48</v>
      </c>
      <c r="X15" s="14" t="n">
        <v>0.59</v>
      </c>
      <c r="Y15" s="14" t="n">
        <v>0.42</v>
      </c>
      <c r="Z15" s="14" t="n">
        <v>0.74</v>
      </c>
      <c r="AA15" s="14" t="n">
        <v>0.62</v>
      </c>
      <c r="AB15" s="14" t="n">
        <v>0.45</v>
      </c>
      <c r="AC15" s="14" t="n">
        <v>0.48</v>
      </c>
      <c r="AD15" s="14" t="n">
        <v>0.45</v>
      </c>
      <c r="AE15" s="14" t="n">
        <v>0.59</v>
      </c>
      <c r="AF15" s="14" t="n">
        <v>0.5600000000000001</v>
      </c>
    </row>
    <row r="16">
      <c r="A16" s="20" t="n"/>
      <c r="B16" s="11" t="inlineStr">
        <is>
          <t>Plutôt pas satisfait(e)</t>
        </is>
      </c>
      <c r="C16" s="12" t="n">
        <v>7308</v>
      </c>
      <c r="D16" s="12" t="n">
        <v>263</v>
      </c>
      <c r="E16" s="12" t="n">
        <v>309</v>
      </c>
      <c r="F16" s="12" t="n">
        <v>251</v>
      </c>
      <c r="G16" s="12" t="n">
        <v>72</v>
      </c>
      <c r="H16" s="12" t="n">
        <v>358</v>
      </c>
      <c r="I16" s="12" t="n">
        <v>480</v>
      </c>
      <c r="J16" s="12" t="n">
        <v>122</v>
      </c>
      <c r="K16" s="12" t="n">
        <v>277</v>
      </c>
      <c r="L16" s="12" t="n">
        <v>211</v>
      </c>
      <c r="M16" s="12" t="n">
        <v>373</v>
      </c>
      <c r="N16" s="12" t="n">
        <v>306</v>
      </c>
      <c r="O16" s="12" t="n">
        <v>273</v>
      </c>
      <c r="P16" s="12" t="n">
        <v>385</v>
      </c>
      <c r="Q16" s="12" t="n">
        <v>325</v>
      </c>
      <c r="R16" s="12" t="n">
        <v>230</v>
      </c>
      <c r="S16" s="12" t="n">
        <v>278</v>
      </c>
      <c r="T16" s="12" t="n">
        <v>376</v>
      </c>
      <c r="U16" s="12" t="n">
        <v>35</v>
      </c>
      <c r="V16" s="12" t="n">
        <v>266</v>
      </c>
      <c r="W16" s="12" t="n">
        <v>129</v>
      </c>
      <c r="X16" s="12" t="n">
        <v>230</v>
      </c>
      <c r="Y16" s="12" t="n">
        <v>267</v>
      </c>
      <c r="Z16" s="12" t="n">
        <v>134</v>
      </c>
      <c r="AA16" s="12" t="n">
        <v>255</v>
      </c>
      <c r="AB16" s="12" t="n">
        <v>397</v>
      </c>
      <c r="AC16" s="12" t="n">
        <v>386</v>
      </c>
      <c r="AD16" s="12" t="n">
        <v>371</v>
      </c>
      <c r="AE16" s="12" t="n">
        <v>150</v>
      </c>
      <c r="AF16" s="12" t="n">
        <v>125</v>
      </c>
    </row>
    <row r="17">
      <c r="A17" s="20" t="n"/>
      <c r="B17" s="13" t="inlineStr">
        <is>
          <t>Not very satisfied</t>
        </is>
      </c>
      <c r="C17" s="14" t="n">
        <v>0.27</v>
      </c>
      <c r="D17" s="14" t="n">
        <v>0.26</v>
      </c>
      <c r="E17" s="14" t="n">
        <v>0.3</v>
      </c>
      <c r="F17" s="14" t="n">
        <v>0.24</v>
      </c>
      <c r="G17" s="14" t="n">
        <v>0.07000000000000001</v>
      </c>
      <c r="H17" s="14" t="n">
        <v>0.29</v>
      </c>
      <c r="I17" s="14" t="n">
        <v>0.32</v>
      </c>
      <c r="J17" s="14" t="n">
        <v>0.42</v>
      </c>
      <c r="K17" s="14" t="n">
        <v>0.28</v>
      </c>
      <c r="L17" s="14" t="n">
        <v>0.21</v>
      </c>
      <c r="M17" s="14" t="n">
        <v>0.37</v>
      </c>
      <c r="N17" s="14" t="n">
        <v>0.3</v>
      </c>
      <c r="O17" s="14" t="n">
        <v>0.27</v>
      </c>
      <c r="P17" s="14" t="n">
        <v>0.38</v>
      </c>
      <c r="Q17" s="14" t="n">
        <v>0.31</v>
      </c>
      <c r="R17" s="14" t="n">
        <v>0.46</v>
      </c>
      <c r="S17" s="14" t="n">
        <v>0.27</v>
      </c>
      <c r="T17" s="14" t="n">
        <v>0.37</v>
      </c>
      <c r="U17" s="14" t="n">
        <v>0.07000000000000001</v>
      </c>
      <c r="V17" s="14" t="n">
        <v>0.26</v>
      </c>
      <c r="W17" s="14" t="n">
        <v>0.26</v>
      </c>
      <c r="X17" s="14" t="n">
        <v>0.23</v>
      </c>
      <c r="Y17" s="14" t="n">
        <v>0.27</v>
      </c>
      <c r="Z17" s="14" t="n">
        <v>0.13</v>
      </c>
      <c r="AA17" s="14" t="n">
        <v>0.25</v>
      </c>
      <c r="AB17" s="14" t="n">
        <v>0.38</v>
      </c>
      <c r="AC17" s="14" t="n">
        <v>0.38</v>
      </c>
      <c r="AD17" s="14" t="n">
        <v>0.37</v>
      </c>
      <c r="AE17" s="14" t="n">
        <v>0.15</v>
      </c>
      <c r="AF17" s="14" t="n">
        <v>0.12</v>
      </c>
    </row>
    <row r="18">
      <c r="A18" s="20" t="n"/>
      <c r="B18" s="11" t="inlineStr">
        <is>
          <t>Pas du tout satisfait(e)</t>
        </is>
      </c>
      <c r="C18" s="12" t="n">
        <v>2289</v>
      </c>
      <c r="D18" s="12" t="n">
        <v>62</v>
      </c>
      <c r="E18" s="12" t="n">
        <v>188</v>
      </c>
      <c r="F18" s="12" t="n">
        <v>44</v>
      </c>
      <c r="G18" s="12" t="n">
        <v>28</v>
      </c>
      <c r="H18" s="12" t="n">
        <v>81</v>
      </c>
      <c r="I18" s="12" t="n">
        <v>127</v>
      </c>
      <c r="J18" s="12" t="n">
        <v>46</v>
      </c>
      <c r="K18" s="12" t="n">
        <v>116</v>
      </c>
      <c r="L18" s="12" t="n">
        <v>55</v>
      </c>
      <c r="M18" s="12" t="n">
        <v>317</v>
      </c>
      <c r="N18" s="12" t="n">
        <v>102</v>
      </c>
      <c r="O18" s="12" t="n">
        <v>114</v>
      </c>
      <c r="P18" s="12" t="n">
        <v>135</v>
      </c>
      <c r="Q18" s="12" t="n">
        <v>79</v>
      </c>
      <c r="R18" s="12" t="n">
        <v>106</v>
      </c>
      <c r="S18" s="12" t="n">
        <v>78</v>
      </c>
      <c r="T18" s="12" t="n">
        <v>68</v>
      </c>
      <c r="U18" s="12" t="n">
        <v>10</v>
      </c>
      <c r="V18" s="12" t="n">
        <v>95</v>
      </c>
      <c r="W18" s="12" t="n">
        <v>64</v>
      </c>
      <c r="X18" s="12" t="n">
        <v>60</v>
      </c>
      <c r="Y18" s="12" t="n">
        <v>102</v>
      </c>
      <c r="Z18" s="12" t="n">
        <v>27</v>
      </c>
      <c r="AA18" s="12" t="n">
        <v>21</v>
      </c>
      <c r="AB18" s="12" t="n">
        <v>127</v>
      </c>
      <c r="AC18" s="12" t="n">
        <v>80</v>
      </c>
      <c r="AD18" s="12" t="n">
        <v>88</v>
      </c>
      <c r="AE18" s="12" t="n">
        <v>12</v>
      </c>
      <c r="AF18" s="12" t="n">
        <v>22</v>
      </c>
    </row>
    <row r="19">
      <c r="A19" s="20" t="n"/>
      <c r="B19" s="13" t="inlineStr">
        <is>
          <t>Not at all satisfied</t>
        </is>
      </c>
      <c r="C19" s="14" t="n">
        <v>0.09</v>
      </c>
      <c r="D19" s="14" t="n">
        <v>0.06</v>
      </c>
      <c r="E19" s="14" t="n">
        <v>0.19</v>
      </c>
      <c r="F19" s="14" t="n">
        <v>0.04</v>
      </c>
      <c r="G19" s="14" t="n">
        <v>0.03</v>
      </c>
      <c r="H19" s="14" t="n">
        <v>0.07000000000000001</v>
      </c>
      <c r="I19" s="14" t="n">
        <v>0.08</v>
      </c>
      <c r="J19" s="14" t="n">
        <v>0.16</v>
      </c>
      <c r="K19" s="14" t="n">
        <v>0.12</v>
      </c>
      <c r="L19" s="14" t="n">
        <v>0.05</v>
      </c>
      <c r="M19" s="14" t="n">
        <v>0.31</v>
      </c>
      <c r="N19" s="14" t="n">
        <v>0.1</v>
      </c>
      <c r="O19" s="14" t="n">
        <v>0.11</v>
      </c>
      <c r="P19" s="14" t="n">
        <v>0.14</v>
      </c>
      <c r="Q19" s="14" t="n">
        <v>0.08</v>
      </c>
      <c r="R19" s="14" t="n">
        <v>0.21</v>
      </c>
      <c r="S19" s="14" t="n">
        <v>0.08</v>
      </c>
      <c r="T19" s="14" t="n">
        <v>0.07000000000000001</v>
      </c>
      <c r="U19" s="14" t="n">
        <v>0.02</v>
      </c>
      <c r="V19" s="14" t="n">
        <v>0.09</v>
      </c>
      <c r="W19" s="14" t="n">
        <v>0.13</v>
      </c>
      <c r="X19" s="14" t="n">
        <v>0.06</v>
      </c>
      <c r="Y19" s="14" t="n">
        <v>0.1</v>
      </c>
      <c r="Z19" s="14" t="n">
        <v>0.03</v>
      </c>
      <c r="AA19" s="14" t="n">
        <v>0.02</v>
      </c>
      <c r="AB19" s="14" t="n">
        <v>0.12</v>
      </c>
      <c r="AC19" s="14" t="n">
        <v>0.08</v>
      </c>
      <c r="AD19" s="14" t="n">
        <v>0.09</v>
      </c>
      <c r="AE19" s="14" t="n">
        <v>0.01</v>
      </c>
      <c r="AF19" s="14" t="n">
        <v>0.02</v>
      </c>
    </row>
    <row r="20">
      <c r="A20" s="20" t="n"/>
      <c r="B20" s="11" t="inlineStr">
        <is>
          <t>Ne sait pas</t>
        </is>
      </c>
      <c r="C20" s="12" t="n">
        <v>466</v>
      </c>
      <c r="D20" s="12" t="n">
        <v>11</v>
      </c>
      <c r="E20" s="12" t="n">
        <v>19</v>
      </c>
      <c r="F20" s="12" t="n">
        <v>17</v>
      </c>
      <c r="G20" s="12" t="n">
        <v>8</v>
      </c>
      <c r="H20" s="12" t="n">
        <v>8</v>
      </c>
      <c r="I20" s="12" t="n">
        <v>12</v>
      </c>
      <c r="J20" s="12" t="n">
        <v>4</v>
      </c>
      <c r="K20" s="12" t="n">
        <v>74</v>
      </c>
      <c r="L20" s="12" t="n">
        <v>39</v>
      </c>
      <c r="M20" s="12" t="n">
        <v>16</v>
      </c>
      <c r="N20" s="12" t="n">
        <v>27</v>
      </c>
      <c r="O20" s="12" t="n">
        <v>22</v>
      </c>
      <c r="P20" s="12" t="n">
        <v>13</v>
      </c>
      <c r="Q20" s="12" t="n">
        <v>10</v>
      </c>
      <c r="R20" s="12" t="n">
        <v>4</v>
      </c>
      <c r="S20" s="12" t="n">
        <v>37</v>
      </c>
      <c r="T20" s="12" t="n">
        <v>48</v>
      </c>
      <c r="U20" s="12" t="n">
        <v>8</v>
      </c>
      <c r="V20" s="12" t="n">
        <v>30</v>
      </c>
      <c r="W20" s="12" t="n">
        <v>8</v>
      </c>
      <c r="X20" s="12" t="n">
        <v>4</v>
      </c>
      <c r="Y20" s="12" t="n">
        <v>15</v>
      </c>
      <c r="Z20" s="12" t="n">
        <v>41</v>
      </c>
      <c r="AA20" s="12" t="n">
        <v>17</v>
      </c>
      <c r="AB20" s="12" t="n">
        <v>16</v>
      </c>
      <c r="AC20" s="12" t="n">
        <v>22</v>
      </c>
      <c r="AD20" s="12" t="n">
        <v>3</v>
      </c>
      <c r="AE20" s="12" t="n">
        <v>30</v>
      </c>
      <c r="AF20" s="12" t="n">
        <v>6</v>
      </c>
    </row>
    <row r="21">
      <c r="A21" s="23" t="n"/>
      <c r="B21" s="13" t="inlineStr">
        <is>
          <t>Don't know</t>
        </is>
      </c>
      <c r="C21" s="14" t="n">
        <v>0.02</v>
      </c>
      <c r="D21" s="14" t="n">
        <v>0.01</v>
      </c>
      <c r="E21" s="14" t="n">
        <v>0.02</v>
      </c>
      <c r="F21" s="14" t="n">
        <v>0.02</v>
      </c>
      <c r="G21" s="14" t="n">
        <v>0.01</v>
      </c>
      <c r="H21" s="14" t="n">
        <v>0.01</v>
      </c>
      <c r="I21" s="14" t="n">
        <v>0.01</v>
      </c>
      <c r="J21" s="14" t="n">
        <v>0.01</v>
      </c>
      <c r="K21" s="14" t="n">
        <v>0.07000000000000001</v>
      </c>
      <c r="L21" s="14" t="n">
        <v>0.04</v>
      </c>
      <c r="M21" s="14" t="n">
        <v>0.02</v>
      </c>
      <c r="N21" s="14" t="n">
        <v>0.03</v>
      </c>
      <c r="O21" s="14" t="n">
        <v>0.02</v>
      </c>
      <c r="P21" s="14" t="n">
        <v>0.01</v>
      </c>
      <c r="Q21" s="14" t="n">
        <v>0.01</v>
      </c>
      <c r="R21" s="14" t="n">
        <v>0.01</v>
      </c>
      <c r="S21" s="14" t="n">
        <v>0.04</v>
      </c>
      <c r="T21" s="14" t="n">
        <v>0.05</v>
      </c>
      <c r="U21" s="14" t="n">
        <v>0.01</v>
      </c>
      <c r="V21" s="14" t="n">
        <v>0.03</v>
      </c>
      <c r="W21" s="14" t="n">
        <v>0.01</v>
      </c>
      <c r="X21" s="15" t="inlineStr">
        <is>
          <t>-</t>
        </is>
      </c>
      <c r="Y21" s="14" t="n">
        <v>0.02</v>
      </c>
      <c r="Z21" s="14" t="n">
        <v>0.04</v>
      </c>
      <c r="AA21" s="14" t="n">
        <v>0.02</v>
      </c>
      <c r="AB21" s="14" t="n">
        <v>0.02</v>
      </c>
      <c r="AC21" s="14" t="n">
        <v>0.02</v>
      </c>
      <c r="AD21" s="15" t="inlineStr">
        <is>
          <t>-</t>
        </is>
      </c>
      <c r="AE21" s="14" t="n">
        <v>0.03</v>
      </c>
      <c r="AF21" s="14" t="n">
        <v>0.01</v>
      </c>
    </row>
    <row r="22">
      <c r="A22" s="19" t="n"/>
      <c r="B22" s="11" t="inlineStr">
        <is>
          <t>Total 'Satisfait(e)'</t>
        </is>
      </c>
      <c r="C22" s="12" t="n">
        <v>16358</v>
      </c>
      <c r="D22" s="12" t="n">
        <v>684</v>
      </c>
      <c r="E22" s="12" t="n">
        <v>498</v>
      </c>
      <c r="F22" s="12" t="n">
        <v>737</v>
      </c>
      <c r="G22" s="12" t="n">
        <v>898</v>
      </c>
      <c r="H22" s="12" t="n">
        <v>767</v>
      </c>
      <c r="I22" s="12" t="n">
        <v>888</v>
      </c>
      <c r="J22" s="12" t="n">
        <v>121</v>
      </c>
      <c r="K22" s="12" t="n">
        <v>538</v>
      </c>
      <c r="L22" s="12" t="n">
        <v>705</v>
      </c>
      <c r="M22" s="12" t="n">
        <v>301</v>
      </c>
      <c r="N22" s="12" t="n">
        <v>571</v>
      </c>
      <c r="O22" s="12" t="n">
        <v>607</v>
      </c>
      <c r="P22" s="12" t="n">
        <v>474</v>
      </c>
      <c r="Q22" s="12" t="n">
        <v>615</v>
      </c>
      <c r="R22" s="12" t="n">
        <v>164</v>
      </c>
      <c r="S22" s="12" t="n">
        <v>612</v>
      </c>
      <c r="T22" s="12" t="n">
        <v>525</v>
      </c>
      <c r="U22" s="12" t="n">
        <v>456</v>
      </c>
      <c r="V22" s="12" t="n">
        <v>630</v>
      </c>
      <c r="W22" s="12" t="n">
        <v>303</v>
      </c>
      <c r="X22" s="12" t="n">
        <v>729</v>
      </c>
      <c r="Y22" s="12" t="n">
        <v>618</v>
      </c>
      <c r="Z22" s="12" t="n">
        <v>818</v>
      </c>
      <c r="AA22" s="12" t="n">
        <v>739</v>
      </c>
      <c r="AB22" s="12" t="n">
        <v>504</v>
      </c>
      <c r="AC22" s="12" t="n">
        <v>518</v>
      </c>
      <c r="AD22" s="12" t="n">
        <v>540</v>
      </c>
      <c r="AE22" s="12" t="n">
        <v>824</v>
      </c>
      <c r="AF22" s="12" t="n">
        <v>883</v>
      </c>
    </row>
    <row r="23">
      <c r="A23" s="20" t="n"/>
      <c r="B23" s="13" t="inlineStr">
        <is>
          <t>Total 'Satisfied'</t>
        </is>
      </c>
      <c r="C23" s="14" t="n">
        <v>0.62</v>
      </c>
      <c r="D23" s="14" t="n">
        <v>0.67</v>
      </c>
      <c r="E23" s="14" t="n">
        <v>0.49</v>
      </c>
      <c r="F23" s="14" t="n">
        <v>0.7000000000000001</v>
      </c>
      <c r="G23" s="14" t="n">
        <v>0.89</v>
      </c>
      <c r="H23" s="14" t="n">
        <v>0.63</v>
      </c>
      <c r="I23" s="14" t="n">
        <v>0.59</v>
      </c>
      <c r="J23" s="14" t="n">
        <v>0.41</v>
      </c>
      <c r="K23" s="14" t="n">
        <v>0.53</v>
      </c>
      <c r="L23" s="14" t="n">
        <v>0.7000000000000001</v>
      </c>
      <c r="M23" s="14" t="n">
        <v>0.3</v>
      </c>
      <c r="N23" s="14" t="n">
        <v>0.5700000000000001</v>
      </c>
      <c r="O23" s="14" t="n">
        <v>0.6</v>
      </c>
      <c r="P23" s="14" t="n">
        <v>0.47</v>
      </c>
      <c r="Q23" s="14" t="n">
        <v>0.6</v>
      </c>
      <c r="R23" s="14" t="n">
        <v>0.32</v>
      </c>
      <c r="S23" s="14" t="n">
        <v>0.61</v>
      </c>
      <c r="T23" s="14" t="n">
        <v>0.51</v>
      </c>
      <c r="U23" s="14" t="n">
        <v>0.9</v>
      </c>
      <c r="V23" s="14" t="n">
        <v>0.62</v>
      </c>
      <c r="W23" s="14" t="n">
        <v>0.6</v>
      </c>
      <c r="X23" s="14" t="n">
        <v>0.71</v>
      </c>
      <c r="Y23" s="14" t="n">
        <v>0.61</v>
      </c>
      <c r="Z23" s="14" t="n">
        <v>0.8</v>
      </c>
      <c r="AA23" s="14" t="n">
        <v>0.71</v>
      </c>
      <c r="AB23" s="14" t="n">
        <v>0.48</v>
      </c>
      <c r="AC23" s="14" t="n">
        <v>0.52</v>
      </c>
      <c r="AD23" s="14" t="n">
        <v>0.54</v>
      </c>
      <c r="AE23" s="14" t="n">
        <v>0.8100000000000001</v>
      </c>
      <c r="AF23" s="14" t="n">
        <v>0.85</v>
      </c>
    </row>
    <row r="24">
      <c r="A24" s="20" t="n"/>
      <c r="B24" s="11" t="inlineStr">
        <is>
          <t>Total 'Pas satisfait(e)'</t>
        </is>
      </c>
      <c r="C24" s="12" t="n">
        <v>9597</v>
      </c>
      <c r="D24" s="12" t="n">
        <v>325</v>
      </c>
      <c r="E24" s="12" t="n">
        <v>497</v>
      </c>
      <c r="F24" s="12" t="n">
        <v>295</v>
      </c>
      <c r="G24" s="12" t="n">
        <v>100</v>
      </c>
      <c r="H24" s="12" t="n">
        <v>439</v>
      </c>
      <c r="I24" s="12" t="n">
        <v>607</v>
      </c>
      <c r="J24" s="12" t="n">
        <v>168</v>
      </c>
      <c r="K24" s="12" t="n">
        <v>393</v>
      </c>
      <c r="L24" s="12" t="n">
        <v>266</v>
      </c>
      <c r="M24" s="12" t="n">
        <v>690</v>
      </c>
      <c r="N24" s="12" t="n">
        <v>408</v>
      </c>
      <c r="O24" s="12" t="n">
        <v>387</v>
      </c>
      <c r="P24" s="12" t="n">
        <v>520</v>
      </c>
      <c r="Q24" s="12" t="n">
        <v>404</v>
      </c>
      <c r="R24" s="12" t="n">
        <v>336</v>
      </c>
      <c r="S24" s="12" t="n">
        <v>356</v>
      </c>
      <c r="T24" s="12" t="n">
        <v>444</v>
      </c>
      <c r="U24" s="12" t="n">
        <v>45</v>
      </c>
      <c r="V24" s="12" t="n">
        <v>361</v>
      </c>
      <c r="W24" s="12" t="n">
        <v>193</v>
      </c>
      <c r="X24" s="12" t="n">
        <v>290</v>
      </c>
      <c r="Y24" s="12" t="n">
        <v>369</v>
      </c>
      <c r="Z24" s="12" t="n">
        <v>161</v>
      </c>
      <c r="AA24" s="12" t="n">
        <v>276</v>
      </c>
      <c r="AB24" s="12" t="n">
        <v>524</v>
      </c>
      <c r="AC24" s="12" t="n">
        <v>466</v>
      </c>
      <c r="AD24" s="12" t="n">
        <v>459</v>
      </c>
      <c r="AE24" s="12" t="n">
        <v>162</v>
      </c>
      <c r="AF24" s="12" t="n">
        <v>147</v>
      </c>
    </row>
    <row r="25">
      <c r="A25" s="23" t="n"/>
      <c r="B25" s="13" t="inlineStr">
        <is>
          <t>Total 'Not Satisfied'</t>
        </is>
      </c>
      <c r="C25" s="14" t="n">
        <v>0.36</v>
      </c>
      <c r="D25" s="14" t="n">
        <v>0.32</v>
      </c>
      <c r="E25" s="14" t="n">
        <v>0.49</v>
      </c>
      <c r="F25" s="14" t="n">
        <v>0.28</v>
      </c>
      <c r="G25" s="14" t="n">
        <v>0.1</v>
      </c>
      <c r="H25" s="14" t="n">
        <v>0.36</v>
      </c>
      <c r="I25" s="14" t="n">
        <v>0.4</v>
      </c>
      <c r="J25" s="14" t="n">
        <v>0.58</v>
      </c>
      <c r="K25" s="14" t="n">
        <v>0.4</v>
      </c>
      <c r="L25" s="14" t="n">
        <v>0.26</v>
      </c>
      <c r="M25" s="14" t="n">
        <v>0.68</v>
      </c>
      <c r="N25" s="14" t="n">
        <v>0.4</v>
      </c>
      <c r="O25" s="14" t="n">
        <v>0.38</v>
      </c>
      <c r="P25" s="14" t="n">
        <v>0.52</v>
      </c>
      <c r="Q25" s="14" t="n">
        <v>0.39</v>
      </c>
      <c r="R25" s="14" t="n">
        <v>0.67</v>
      </c>
      <c r="S25" s="14" t="n">
        <v>0.35</v>
      </c>
      <c r="T25" s="14" t="n">
        <v>0.44</v>
      </c>
      <c r="U25" s="14" t="n">
        <v>0.09</v>
      </c>
      <c r="V25" s="14" t="n">
        <v>0.35</v>
      </c>
      <c r="W25" s="14" t="n">
        <v>0.39</v>
      </c>
      <c r="X25" s="14" t="n">
        <v>0.29</v>
      </c>
      <c r="Y25" s="14" t="n">
        <v>0.37</v>
      </c>
      <c r="Z25" s="14" t="n">
        <v>0.16</v>
      </c>
      <c r="AA25" s="14" t="n">
        <v>0.27</v>
      </c>
      <c r="AB25" s="14" t="n">
        <v>0.5</v>
      </c>
      <c r="AC25" s="14" t="n">
        <v>0.46</v>
      </c>
      <c r="AD25" s="14" t="n">
        <v>0.46</v>
      </c>
      <c r="AE25" s="14" t="n">
        <v>0.16</v>
      </c>
      <c r="AF25" s="14" t="n">
        <v>0.14</v>
      </c>
    </row>
  </sheetData>
  <mergeCells count="10">
    <mergeCell ref="B4:F4"/>
    <mergeCell ref="H3:L3"/>
    <mergeCell ref="A10:A21"/>
    <mergeCell ref="C8:AF8"/>
    <mergeCell ref="B3:F3"/>
    <mergeCell ref="B5:F5"/>
    <mergeCell ref="H5:L5"/>
    <mergeCell ref="B10:B11"/>
    <mergeCell ref="H4:L4"/>
    <mergeCell ref="A22:A25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12" customHeight="1" s="18">
      <c r="B3" s="21" t="inlineStr">
        <is>
          <t>SD18b. Et du fonctionnement de la démocratie dans l’Union européenne ?</t>
        </is>
      </c>
      <c r="H3" s="21" t="inlineStr">
        <is>
          <t>SD18b. And how about the way democracy works in the EU?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HYPERLINK("#Content!A77","&lt;&lt;Back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Très satisfait(e)</t>
        </is>
      </c>
      <c r="C12" s="12" t="n">
        <v>1448</v>
      </c>
      <c r="D12" s="12" t="n">
        <v>39</v>
      </c>
      <c r="E12" s="12" t="n">
        <v>114</v>
      </c>
      <c r="F12" s="12" t="n">
        <v>47</v>
      </c>
      <c r="G12" s="12" t="n">
        <v>176</v>
      </c>
      <c r="H12" s="12" t="n">
        <v>53</v>
      </c>
      <c r="I12" s="12" t="n">
        <v>58</v>
      </c>
      <c r="J12" s="12" t="n">
        <v>6</v>
      </c>
      <c r="K12" s="12" t="n">
        <v>40</v>
      </c>
      <c r="L12" s="12" t="n">
        <v>135</v>
      </c>
      <c r="M12" s="12" t="n">
        <v>26</v>
      </c>
      <c r="N12" s="12" t="n">
        <v>56</v>
      </c>
      <c r="O12" s="12" t="n">
        <v>44</v>
      </c>
      <c r="P12" s="12" t="n">
        <v>49</v>
      </c>
      <c r="Q12" s="12" t="n">
        <v>39</v>
      </c>
      <c r="R12" s="12" t="n">
        <v>11</v>
      </c>
      <c r="S12" s="12" t="n">
        <v>61</v>
      </c>
      <c r="T12" s="12" t="n">
        <v>52</v>
      </c>
      <c r="U12" s="12" t="n">
        <v>49</v>
      </c>
      <c r="V12" s="12" t="n">
        <v>51</v>
      </c>
      <c r="W12" s="12" t="n">
        <v>34</v>
      </c>
      <c r="X12" s="12" t="n">
        <v>37</v>
      </c>
      <c r="Y12" s="12" t="n">
        <v>151</v>
      </c>
      <c r="Z12" s="12" t="n">
        <v>77</v>
      </c>
      <c r="AA12" s="12" t="n">
        <v>110</v>
      </c>
      <c r="AB12" s="12" t="n">
        <v>67</v>
      </c>
      <c r="AC12" s="12" t="n">
        <v>29</v>
      </c>
      <c r="AD12" s="12" t="n">
        <v>96</v>
      </c>
      <c r="AE12" s="12" t="n">
        <v>67</v>
      </c>
      <c r="AF12" s="12" t="n">
        <v>63</v>
      </c>
    </row>
    <row r="13">
      <c r="A13" s="20" t="n"/>
      <c r="B13" s="13" t="inlineStr">
        <is>
          <t>Very satisfied</t>
        </is>
      </c>
      <c r="C13" s="14" t="n">
        <v>0.05</v>
      </c>
      <c r="D13" s="14" t="n">
        <v>0.04</v>
      </c>
      <c r="E13" s="14" t="n">
        <v>0.11</v>
      </c>
      <c r="F13" s="14" t="n">
        <v>0.05</v>
      </c>
      <c r="G13" s="14" t="n">
        <v>0.18</v>
      </c>
      <c r="H13" s="14" t="n">
        <v>0.04</v>
      </c>
      <c r="I13" s="14" t="n">
        <v>0.04</v>
      </c>
      <c r="J13" s="14" t="n">
        <v>0.02</v>
      </c>
      <c r="K13" s="14" t="n">
        <v>0.04</v>
      </c>
      <c r="L13" s="14" t="n">
        <v>0.13</v>
      </c>
      <c r="M13" s="14" t="n">
        <v>0.03</v>
      </c>
      <c r="N13" s="14" t="n">
        <v>0.06</v>
      </c>
      <c r="O13" s="14" t="n">
        <v>0.04</v>
      </c>
      <c r="P13" s="14" t="n">
        <v>0.05</v>
      </c>
      <c r="Q13" s="14" t="n">
        <v>0.04</v>
      </c>
      <c r="R13" s="14" t="n">
        <v>0.02</v>
      </c>
      <c r="S13" s="14" t="n">
        <v>0.06</v>
      </c>
      <c r="T13" s="14" t="n">
        <v>0.05</v>
      </c>
      <c r="U13" s="14" t="n">
        <v>0.1</v>
      </c>
      <c r="V13" s="14" t="n">
        <v>0.05</v>
      </c>
      <c r="W13" s="14" t="n">
        <v>0.07000000000000001</v>
      </c>
      <c r="X13" s="14" t="n">
        <v>0.04</v>
      </c>
      <c r="Y13" s="14" t="n">
        <v>0.15</v>
      </c>
      <c r="Z13" s="14" t="n">
        <v>0.08</v>
      </c>
      <c r="AA13" s="14" t="n">
        <v>0.11</v>
      </c>
      <c r="AB13" s="14" t="n">
        <v>0.06</v>
      </c>
      <c r="AC13" s="14" t="n">
        <v>0.03</v>
      </c>
      <c r="AD13" s="14" t="n">
        <v>0.1</v>
      </c>
      <c r="AE13" s="14" t="n">
        <v>0.07000000000000001</v>
      </c>
      <c r="AF13" s="14" t="n">
        <v>0.06</v>
      </c>
    </row>
    <row r="14">
      <c r="A14" s="20" t="n"/>
      <c r="B14" s="11" t="inlineStr">
        <is>
          <t>Plutôt satisfait(e)</t>
        </is>
      </c>
      <c r="C14" s="12" t="n">
        <v>14174</v>
      </c>
      <c r="D14" s="12" t="n">
        <v>583</v>
      </c>
      <c r="E14" s="12" t="n">
        <v>448</v>
      </c>
      <c r="F14" s="12" t="n">
        <v>586</v>
      </c>
      <c r="G14" s="12" t="n">
        <v>615</v>
      </c>
      <c r="H14" s="12" t="n">
        <v>640</v>
      </c>
      <c r="I14" s="12" t="n">
        <v>740</v>
      </c>
      <c r="J14" s="12" t="n">
        <v>99</v>
      </c>
      <c r="K14" s="12" t="n">
        <v>447</v>
      </c>
      <c r="L14" s="12" t="n">
        <v>562</v>
      </c>
      <c r="M14" s="12" t="n">
        <v>358</v>
      </c>
      <c r="N14" s="12" t="n">
        <v>542</v>
      </c>
      <c r="O14" s="12" t="n">
        <v>493</v>
      </c>
      <c r="P14" s="12" t="n">
        <v>526</v>
      </c>
      <c r="Q14" s="12" t="n">
        <v>586</v>
      </c>
      <c r="R14" s="12" t="n">
        <v>217</v>
      </c>
      <c r="S14" s="12" t="n">
        <v>561</v>
      </c>
      <c r="T14" s="12" t="n">
        <v>524</v>
      </c>
      <c r="U14" s="12" t="n">
        <v>314</v>
      </c>
      <c r="V14" s="12" t="n">
        <v>648</v>
      </c>
      <c r="W14" s="12" t="n">
        <v>291</v>
      </c>
      <c r="X14" s="12" t="n">
        <v>619</v>
      </c>
      <c r="Y14" s="12" t="n">
        <v>365</v>
      </c>
      <c r="Z14" s="12" t="n">
        <v>697</v>
      </c>
      <c r="AA14" s="12" t="n">
        <v>612</v>
      </c>
      <c r="AB14" s="12" t="n">
        <v>500</v>
      </c>
      <c r="AC14" s="12" t="n">
        <v>490</v>
      </c>
      <c r="AD14" s="12" t="n">
        <v>504</v>
      </c>
      <c r="AE14" s="12" t="n">
        <v>586</v>
      </c>
      <c r="AF14" s="12" t="n">
        <v>684</v>
      </c>
    </row>
    <row r="15">
      <c r="A15" s="20" t="n"/>
      <c r="B15" s="13" t="inlineStr">
        <is>
          <t>Fairly satisfied</t>
        </is>
      </c>
      <c r="C15" s="14" t="n">
        <v>0.54</v>
      </c>
      <c r="D15" s="14" t="n">
        <v>0.5700000000000001</v>
      </c>
      <c r="E15" s="14" t="n">
        <v>0.44</v>
      </c>
      <c r="F15" s="14" t="n">
        <v>0.5600000000000001</v>
      </c>
      <c r="G15" s="14" t="n">
        <v>0.61</v>
      </c>
      <c r="H15" s="14" t="n">
        <v>0.53</v>
      </c>
      <c r="I15" s="14" t="n">
        <v>0.49</v>
      </c>
      <c r="J15" s="14" t="n">
        <v>0.34</v>
      </c>
      <c r="K15" s="14" t="n">
        <v>0.44</v>
      </c>
      <c r="L15" s="14" t="n">
        <v>0.5600000000000001</v>
      </c>
      <c r="M15" s="14" t="n">
        <v>0.36</v>
      </c>
      <c r="N15" s="14" t="n">
        <v>0.54</v>
      </c>
      <c r="O15" s="14" t="n">
        <v>0.49</v>
      </c>
      <c r="P15" s="14" t="n">
        <v>0.52</v>
      </c>
      <c r="Q15" s="14" t="n">
        <v>0.5700000000000001</v>
      </c>
      <c r="R15" s="14" t="n">
        <v>0.43</v>
      </c>
      <c r="S15" s="14" t="n">
        <v>0.5600000000000001</v>
      </c>
      <c r="T15" s="14" t="n">
        <v>0.52</v>
      </c>
      <c r="U15" s="14" t="n">
        <v>0.62</v>
      </c>
      <c r="V15" s="14" t="n">
        <v>0.64</v>
      </c>
      <c r="W15" s="14" t="n">
        <v>0.5700000000000001</v>
      </c>
      <c r="X15" s="14" t="n">
        <v>0.61</v>
      </c>
      <c r="Y15" s="14" t="n">
        <v>0.37</v>
      </c>
      <c r="Z15" s="14" t="n">
        <v>0.68</v>
      </c>
      <c r="AA15" s="14" t="n">
        <v>0.59</v>
      </c>
      <c r="AB15" s="14" t="n">
        <v>0.48</v>
      </c>
      <c r="AC15" s="14" t="n">
        <v>0.49</v>
      </c>
      <c r="AD15" s="14" t="n">
        <v>0.5</v>
      </c>
      <c r="AE15" s="14" t="n">
        <v>0.58</v>
      </c>
      <c r="AF15" s="14" t="n">
        <v>0.66</v>
      </c>
    </row>
    <row r="16">
      <c r="A16" s="20" t="n"/>
      <c r="B16" s="11" t="inlineStr">
        <is>
          <t>Plutôt pas satisfait(e)</t>
        </is>
      </c>
      <c r="C16" s="12" t="n">
        <v>7350</v>
      </c>
      <c r="D16" s="12" t="n">
        <v>304</v>
      </c>
      <c r="E16" s="12" t="n">
        <v>220</v>
      </c>
      <c r="F16" s="12" t="n">
        <v>282</v>
      </c>
      <c r="G16" s="12" t="n">
        <v>141</v>
      </c>
      <c r="H16" s="12" t="n">
        <v>404</v>
      </c>
      <c r="I16" s="12" t="n">
        <v>542</v>
      </c>
      <c r="J16" s="12" t="n">
        <v>139</v>
      </c>
      <c r="K16" s="12" t="n">
        <v>266</v>
      </c>
      <c r="L16" s="12" t="n">
        <v>171</v>
      </c>
      <c r="M16" s="12" t="n">
        <v>337</v>
      </c>
      <c r="N16" s="12" t="n">
        <v>276</v>
      </c>
      <c r="O16" s="12" t="n">
        <v>290</v>
      </c>
      <c r="P16" s="12" t="n">
        <v>301</v>
      </c>
      <c r="Q16" s="12" t="n">
        <v>297</v>
      </c>
      <c r="R16" s="12" t="n">
        <v>202</v>
      </c>
      <c r="S16" s="12" t="n">
        <v>225</v>
      </c>
      <c r="T16" s="12" t="n">
        <v>267</v>
      </c>
      <c r="U16" s="12" t="n">
        <v>98</v>
      </c>
      <c r="V16" s="12" t="n">
        <v>228</v>
      </c>
      <c r="W16" s="12" t="n">
        <v>90</v>
      </c>
      <c r="X16" s="12" t="n">
        <v>278</v>
      </c>
      <c r="Y16" s="12" t="n">
        <v>271</v>
      </c>
      <c r="Z16" s="12" t="n">
        <v>147</v>
      </c>
      <c r="AA16" s="12" t="n">
        <v>232</v>
      </c>
      <c r="AB16" s="12" t="n">
        <v>330</v>
      </c>
      <c r="AC16" s="12" t="n">
        <v>364</v>
      </c>
      <c r="AD16" s="12" t="n">
        <v>279</v>
      </c>
      <c r="AE16" s="12" t="n">
        <v>247</v>
      </c>
      <c r="AF16" s="12" t="n">
        <v>173</v>
      </c>
    </row>
    <row r="17">
      <c r="A17" s="20" t="n"/>
      <c r="B17" s="13" t="inlineStr">
        <is>
          <t>Not very satisfied</t>
        </is>
      </c>
      <c r="C17" s="14" t="n">
        <v>0.28</v>
      </c>
      <c r="D17" s="14" t="n">
        <v>0.3</v>
      </c>
      <c r="E17" s="14" t="n">
        <v>0.22</v>
      </c>
      <c r="F17" s="14" t="n">
        <v>0.27</v>
      </c>
      <c r="G17" s="14" t="n">
        <v>0.14</v>
      </c>
      <c r="H17" s="14" t="n">
        <v>0.33</v>
      </c>
      <c r="I17" s="14" t="n">
        <v>0.36</v>
      </c>
      <c r="J17" s="14" t="n">
        <v>0.47</v>
      </c>
      <c r="K17" s="14" t="n">
        <v>0.27</v>
      </c>
      <c r="L17" s="14" t="n">
        <v>0.17</v>
      </c>
      <c r="M17" s="14" t="n">
        <v>0.33</v>
      </c>
      <c r="N17" s="14" t="n">
        <v>0.27</v>
      </c>
      <c r="O17" s="14" t="n">
        <v>0.29</v>
      </c>
      <c r="P17" s="14" t="n">
        <v>0.3</v>
      </c>
      <c r="Q17" s="14" t="n">
        <v>0.29</v>
      </c>
      <c r="R17" s="14" t="n">
        <v>0.4</v>
      </c>
      <c r="S17" s="14" t="n">
        <v>0.22</v>
      </c>
      <c r="T17" s="14" t="n">
        <v>0.26</v>
      </c>
      <c r="U17" s="14" t="n">
        <v>0.19</v>
      </c>
      <c r="V17" s="14" t="n">
        <v>0.22</v>
      </c>
      <c r="W17" s="14" t="n">
        <v>0.18</v>
      </c>
      <c r="X17" s="14" t="n">
        <v>0.27</v>
      </c>
      <c r="Y17" s="14" t="n">
        <v>0.27</v>
      </c>
      <c r="Z17" s="14" t="n">
        <v>0.14</v>
      </c>
      <c r="AA17" s="14" t="n">
        <v>0.23</v>
      </c>
      <c r="AB17" s="14" t="n">
        <v>0.32</v>
      </c>
      <c r="AC17" s="14" t="n">
        <v>0.36</v>
      </c>
      <c r="AD17" s="14" t="n">
        <v>0.28</v>
      </c>
      <c r="AE17" s="14" t="n">
        <v>0.24</v>
      </c>
      <c r="AF17" s="14" t="n">
        <v>0.17</v>
      </c>
    </row>
    <row r="18">
      <c r="A18" s="20" t="n"/>
      <c r="B18" s="11" t="inlineStr">
        <is>
          <t>Pas du tout satisfait(e)</t>
        </is>
      </c>
      <c r="C18" s="12" t="n">
        <v>2227</v>
      </c>
      <c r="D18" s="12" t="n">
        <v>79</v>
      </c>
      <c r="E18" s="12" t="n">
        <v>142</v>
      </c>
      <c r="F18" s="12" t="n">
        <v>98</v>
      </c>
      <c r="G18" s="12" t="n">
        <v>23</v>
      </c>
      <c r="H18" s="12" t="n">
        <v>93</v>
      </c>
      <c r="I18" s="12" t="n">
        <v>134</v>
      </c>
      <c r="J18" s="12" t="n">
        <v>41</v>
      </c>
      <c r="K18" s="12" t="n">
        <v>104</v>
      </c>
      <c r="L18" s="12" t="n">
        <v>56</v>
      </c>
      <c r="M18" s="12" t="n">
        <v>240</v>
      </c>
      <c r="N18" s="12" t="n">
        <v>75</v>
      </c>
      <c r="O18" s="12" t="n">
        <v>113</v>
      </c>
      <c r="P18" s="12" t="n">
        <v>78</v>
      </c>
      <c r="Q18" s="12" t="n">
        <v>80</v>
      </c>
      <c r="R18" s="12" t="n">
        <v>50</v>
      </c>
      <c r="S18" s="12" t="n">
        <v>51</v>
      </c>
      <c r="T18" s="12" t="n">
        <v>48</v>
      </c>
      <c r="U18" s="12" t="n">
        <v>29</v>
      </c>
      <c r="V18" s="12" t="n">
        <v>66</v>
      </c>
      <c r="W18" s="12" t="n">
        <v>19</v>
      </c>
      <c r="X18" s="12" t="n">
        <v>64</v>
      </c>
      <c r="Y18" s="12" t="n">
        <v>182</v>
      </c>
      <c r="Z18" s="12" t="n">
        <v>35</v>
      </c>
      <c r="AA18" s="12" t="n">
        <v>23</v>
      </c>
      <c r="AB18" s="12" t="n">
        <v>105</v>
      </c>
      <c r="AC18" s="12" t="n">
        <v>82</v>
      </c>
      <c r="AD18" s="12" t="n">
        <v>72</v>
      </c>
      <c r="AE18" s="12" t="n">
        <v>32</v>
      </c>
      <c r="AF18" s="12" t="n">
        <v>44</v>
      </c>
    </row>
    <row r="19">
      <c r="A19" s="20" t="n"/>
      <c r="B19" s="13" t="inlineStr">
        <is>
          <t>Not at all satisfied</t>
        </is>
      </c>
      <c r="C19" s="14" t="n">
        <v>0.08</v>
      </c>
      <c r="D19" s="14" t="n">
        <v>0.08</v>
      </c>
      <c r="E19" s="14" t="n">
        <v>0.14</v>
      </c>
      <c r="F19" s="14" t="n">
        <v>0.09</v>
      </c>
      <c r="G19" s="14" t="n">
        <v>0.02</v>
      </c>
      <c r="H19" s="14" t="n">
        <v>0.08</v>
      </c>
      <c r="I19" s="14" t="n">
        <v>0.09</v>
      </c>
      <c r="J19" s="14" t="n">
        <v>0.14</v>
      </c>
      <c r="K19" s="14" t="n">
        <v>0.1</v>
      </c>
      <c r="L19" s="14" t="n">
        <v>0.06</v>
      </c>
      <c r="M19" s="14" t="n">
        <v>0.24</v>
      </c>
      <c r="N19" s="14" t="n">
        <v>0.07000000000000001</v>
      </c>
      <c r="O19" s="14" t="n">
        <v>0.11</v>
      </c>
      <c r="P19" s="14" t="n">
        <v>0.08</v>
      </c>
      <c r="Q19" s="14" t="n">
        <v>0.08</v>
      </c>
      <c r="R19" s="14" t="n">
        <v>0.1</v>
      </c>
      <c r="S19" s="14" t="n">
        <v>0.05</v>
      </c>
      <c r="T19" s="14" t="n">
        <v>0.05</v>
      </c>
      <c r="U19" s="14" t="n">
        <v>0.06</v>
      </c>
      <c r="V19" s="14" t="n">
        <v>0.06</v>
      </c>
      <c r="W19" s="14" t="n">
        <v>0.04</v>
      </c>
      <c r="X19" s="14" t="n">
        <v>0.06</v>
      </c>
      <c r="Y19" s="14" t="n">
        <v>0.18</v>
      </c>
      <c r="Z19" s="14" t="n">
        <v>0.04</v>
      </c>
      <c r="AA19" s="14" t="n">
        <v>0.02</v>
      </c>
      <c r="AB19" s="14" t="n">
        <v>0.1</v>
      </c>
      <c r="AC19" s="14" t="n">
        <v>0.08</v>
      </c>
      <c r="AD19" s="14" t="n">
        <v>0.07000000000000001</v>
      </c>
      <c r="AE19" s="14" t="n">
        <v>0.03</v>
      </c>
      <c r="AF19" s="14" t="n">
        <v>0.04</v>
      </c>
    </row>
    <row r="20">
      <c r="A20" s="20" t="n"/>
      <c r="B20" s="11" t="inlineStr">
        <is>
          <t>Ne sait pas</t>
        </is>
      </c>
      <c r="C20" s="12" t="n">
        <v>1222</v>
      </c>
      <c r="D20" s="12" t="n">
        <v>16</v>
      </c>
      <c r="E20" s="12" t="n">
        <v>90</v>
      </c>
      <c r="F20" s="12" t="n">
        <v>36</v>
      </c>
      <c r="G20" s="12" t="n">
        <v>53</v>
      </c>
      <c r="H20" s="12" t="n">
        <v>24</v>
      </c>
      <c r="I20" s="12" t="n">
        <v>33</v>
      </c>
      <c r="J20" s="12" t="n">
        <v>9</v>
      </c>
      <c r="K20" s="12" t="n">
        <v>149</v>
      </c>
      <c r="L20" s="12" t="n">
        <v>85</v>
      </c>
      <c r="M20" s="12" t="n">
        <v>45</v>
      </c>
      <c r="N20" s="12" t="n">
        <v>58</v>
      </c>
      <c r="O20" s="12" t="n">
        <v>76</v>
      </c>
      <c r="P20" s="12" t="n">
        <v>52</v>
      </c>
      <c r="Q20" s="12" t="n">
        <v>26</v>
      </c>
      <c r="R20" s="12" t="n">
        <v>25</v>
      </c>
      <c r="S20" s="12" t="n">
        <v>108</v>
      </c>
      <c r="T20" s="12" t="n">
        <v>126</v>
      </c>
      <c r="U20" s="12" t="n">
        <v>17</v>
      </c>
      <c r="V20" s="12" t="n">
        <v>27</v>
      </c>
      <c r="W20" s="12" t="n">
        <v>70</v>
      </c>
      <c r="X20" s="12" t="n">
        <v>24</v>
      </c>
      <c r="Y20" s="12" t="n">
        <v>34</v>
      </c>
      <c r="Z20" s="12" t="n">
        <v>64</v>
      </c>
      <c r="AA20" s="12" t="n">
        <v>54</v>
      </c>
      <c r="AB20" s="12" t="n">
        <v>43</v>
      </c>
      <c r="AC20" s="12" t="n">
        <v>42</v>
      </c>
      <c r="AD20" s="12" t="n">
        <v>50</v>
      </c>
      <c r="AE20" s="12" t="n">
        <v>84</v>
      </c>
      <c r="AF20" s="12" t="n">
        <v>73</v>
      </c>
    </row>
    <row r="21">
      <c r="A21" s="23" t="n"/>
      <c r="B21" s="13" t="inlineStr">
        <is>
          <t>Don't know</t>
        </is>
      </c>
      <c r="C21" s="14" t="n">
        <v>0.05</v>
      </c>
      <c r="D21" s="14" t="n">
        <v>0.01</v>
      </c>
      <c r="E21" s="14" t="n">
        <v>0.09</v>
      </c>
      <c r="F21" s="14" t="n">
        <v>0.03</v>
      </c>
      <c r="G21" s="14" t="n">
        <v>0.05</v>
      </c>
      <c r="H21" s="14" t="n">
        <v>0.02</v>
      </c>
      <c r="I21" s="14" t="n">
        <v>0.02</v>
      </c>
      <c r="J21" s="14" t="n">
        <v>0.03</v>
      </c>
      <c r="K21" s="14" t="n">
        <v>0.15</v>
      </c>
      <c r="L21" s="14" t="n">
        <v>0.08</v>
      </c>
      <c r="M21" s="14" t="n">
        <v>0.04</v>
      </c>
      <c r="N21" s="14" t="n">
        <v>0.06</v>
      </c>
      <c r="O21" s="14" t="n">
        <v>0.07000000000000001</v>
      </c>
      <c r="P21" s="14" t="n">
        <v>0.05</v>
      </c>
      <c r="Q21" s="14" t="n">
        <v>0.02</v>
      </c>
      <c r="R21" s="14" t="n">
        <v>0.05</v>
      </c>
      <c r="S21" s="14" t="n">
        <v>0.11</v>
      </c>
      <c r="T21" s="14" t="n">
        <v>0.12</v>
      </c>
      <c r="U21" s="14" t="n">
        <v>0.03</v>
      </c>
      <c r="V21" s="14" t="n">
        <v>0.03</v>
      </c>
      <c r="W21" s="14" t="n">
        <v>0.14</v>
      </c>
      <c r="X21" s="14" t="n">
        <v>0.02</v>
      </c>
      <c r="Y21" s="14" t="n">
        <v>0.03</v>
      </c>
      <c r="Z21" s="14" t="n">
        <v>0.06</v>
      </c>
      <c r="AA21" s="14" t="n">
        <v>0.05</v>
      </c>
      <c r="AB21" s="14" t="n">
        <v>0.04</v>
      </c>
      <c r="AC21" s="14" t="n">
        <v>0.04</v>
      </c>
      <c r="AD21" s="14" t="n">
        <v>0.05</v>
      </c>
      <c r="AE21" s="14" t="n">
        <v>0.08</v>
      </c>
      <c r="AF21" s="14" t="n">
        <v>0.07000000000000001</v>
      </c>
    </row>
    <row r="22">
      <c r="A22" s="19" t="n"/>
      <c r="B22" s="11" t="inlineStr">
        <is>
          <t>Total 'Satisfait(e)'</t>
        </is>
      </c>
      <c r="C22" s="12" t="n">
        <v>15622</v>
      </c>
      <c r="D22" s="12" t="n">
        <v>622</v>
      </c>
      <c r="E22" s="12" t="n">
        <v>562</v>
      </c>
      <c r="F22" s="12" t="n">
        <v>633</v>
      </c>
      <c r="G22" s="12" t="n">
        <v>791</v>
      </c>
      <c r="H22" s="12" t="n">
        <v>693</v>
      </c>
      <c r="I22" s="12" t="n">
        <v>798</v>
      </c>
      <c r="J22" s="12" t="n">
        <v>105</v>
      </c>
      <c r="K22" s="12" t="n">
        <v>487</v>
      </c>
      <c r="L22" s="12" t="n">
        <v>697</v>
      </c>
      <c r="M22" s="12" t="n">
        <v>384</v>
      </c>
      <c r="N22" s="12" t="n">
        <v>598</v>
      </c>
      <c r="O22" s="12" t="n">
        <v>537</v>
      </c>
      <c r="P22" s="12" t="n">
        <v>575</v>
      </c>
      <c r="Q22" s="12" t="n">
        <v>625</v>
      </c>
      <c r="R22" s="12" t="n">
        <v>228</v>
      </c>
      <c r="S22" s="12" t="n">
        <v>622</v>
      </c>
      <c r="T22" s="12" t="n">
        <v>576</v>
      </c>
      <c r="U22" s="12" t="n">
        <v>363</v>
      </c>
      <c r="V22" s="12" t="n">
        <v>699</v>
      </c>
      <c r="W22" s="12" t="n">
        <v>325</v>
      </c>
      <c r="X22" s="12" t="n">
        <v>656</v>
      </c>
      <c r="Y22" s="12" t="n">
        <v>516</v>
      </c>
      <c r="Z22" s="12" t="n">
        <v>774</v>
      </c>
      <c r="AA22" s="12" t="n">
        <v>722</v>
      </c>
      <c r="AB22" s="12" t="n">
        <v>567</v>
      </c>
      <c r="AC22" s="12" t="n">
        <v>519</v>
      </c>
      <c r="AD22" s="12" t="n">
        <v>600</v>
      </c>
      <c r="AE22" s="12" t="n">
        <v>653</v>
      </c>
      <c r="AF22" s="12" t="n">
        <v>747</v>
      </c>
    </row>
    <row r="23">
      <c r="A23" s="20" t="n"/>
      <c r="B23" s="13" t="inlineStr">
        <is>
          <t>Total 'Satisfied'</t>
        </is>
      </c>
      <c r="C23" s="14" t="n">
        <v>0.59</v>
      </c>
      <c r="D23" s="14" t="n">
        <v>0.61</v>
      </c>
      <c r="E23" s="14" t="n">
        <v>0.55</v>
      </c>
      <c r="F23" s="14" t="n">
        <v>0.61</v>
      </c>
      <c r="G23" s="14" t="n">
        <v>0.79</v>
      </c>
      <c r="H23" s="14" t="n">
        <v>0.5700000000000001</v>
      </c>
      <c r="I23" s="14" t="n">
        <v>0.53</v>
      </c>
      <c r="J23" s="14" t="n">
        <v>0.36</v>
      </c>
      <c r="K23" s="14" t="n">
        <v>0.48</v>
      </c>
      <c r="L23" s="14" t="n">
        <v>0.6900000000000001</v>
      </c>
      <c r="M23" s="14" t="n">
        <v>0.39</v>
      </c>
      <c r="N23" s="14" t="n">
        <v>0.6</v>
      </c>
      <c r="O23" s="14" t="n">
        <v>0.53</v>
      </c>
      <c r="P23" s="14" t="n">
        <v>0.5700000000000001</v>
      </c>
      <c r="Q23" s="14" t="n">
        <v>0.61</v>
      </c>
      <c r="R23" s="14" t="n">
        <v>0.45</v>
      </c>
      <c r="S23" s="14" t="n">
        <v>0.62</v>
      </c>
      <c r="T23" s="14" t="n">
        <v>0.5700000000000001</v>
      </c>
      <c r="U23" s="14" t="n">
        <v>0.72</v>
      </c>
      <c r="V23" s="14" t="n">
        <v>0.6900000000000001</v>
      </c>
      <c r="W23" s="14" t="n">
        <v>0.64</v>
      </c>
      <c r="X23" s="14" t="n">
        <v>0.65</v>
      </c>
      <c r="Y23" s="14" t="n">
        <v>0.52</v>
      </c>
      <c r="Z23" s="14" t="n">
        <v>0.76</v>
      </c>
      <c r="AA23" s="14" t="n">
        <v>0.7000000000000001</v>
      </c>
      <c r="AB23" s="14" t="n">
        <v>0.54</v>
      </c>
      <c r="AC23" s="14" t="n">
        <v>0.52</v>
      </c>
      <c r="AD23" s="14" t="n">
        <v>0.6</v>
      </c>
      <c r="AE23" s="14" t="n">
        <v>0.65</v>
      </c>
      <c r="AF23" s="14" t="n">
        <v>0.72</v>
      </c>
    </row>
    <row r="24">
      <c r="A24" s="20" t="n"/>
      <c r="B24" s="11" t="inlineStr">
        <is>
          <t>Total 'Pas satisfait(e)'</t>
        </is>
      </c>
      <c r="C24" s="12" t="n">
        <v>9577</v>
      </c>
      <c r="D24" s="12" t="n">
        <v>383</v>
      </c>
      <c r="E24" s="12" t="n">
        <v>362</v>
      </c>
      <c r="F24" s="12" t="n">
        <v>380</v>
      </c>
      <c r="G24" s="12" t="n">
        <v>164</v>
      </c>
      <c r="H24" s="12" t="n">
        <v>497</v>
      </c>
      <c r="I24" s="12" t="n">
        <v>676</v>
      </c>
      <c r="J24" s="12" t="n">
        <v>180</v>
      </c>
      <c r="K24" s="12" t="n">
        <v>370</v>
      </c>
      <c r="L24" s="12" t="n">
        <v>227</v>
      </c>
      <c r="M24" s="12" t="n">
        <v>577</v>
      </c>
      <c r="N24" s="12" t="n">
        <v>351</v>
      </c>
      <c r="O24" s="12" t="n">
        <v>403</v>
      </c>
      <c r="P24" s="12" t="n">
        <v>379</v>
      </c>
      <c r="Q24" s="12" t="n">
        <v>377</v>
      </c>
      <c r="R24" s="12" t="n">
        <v>252</v>
      </c>
      <c r="S24" s="12" t="n">
        <v>276</v>
      </c>
      <c r="T24" s="12" t="n">
        <v>315</v>
      </c>
      <c r="U24" s="12" t="n">
        <v>127</v>
      </c>
      <c r="V24" s="12" t="n">
        <v>294</v>
      </c>
      <c r="W24" s="12" t="n">
        <v>109</v>
      </c>
      <c r="X24" s="12" t="n">
        <v>342</v>
      </c>
      <c r="Y24" s="12" t="n">
        <v>453</v>
      </c>
      <c r="Z24" s="12" t="n">
        <v>182</v>
      </c>
      <c r="AA24" s="12" t="n">
        <v>255</v>
      </c>
      <c r="AB24" s="12" t="n">
        <v>435</v>
      </c>
      <c r="AC24" s="12" t="n">
        <v>446</v>
      </c>
      <c r="AD24" s="12" t="n">
        <v>351</v>
      </c>
      <c r="AE24" s="12" t="n">
        <v>279</v>
      </c>
      <c r="AF24" s="12" t="n">
        <v>217</v>
      </c>
    </row>
    <row r="25">
      <c r="A25" s="23" t="n"/>
      <c r="B25" s="13" t="inlineStr">
        <is>
          <t>Total 'Not satisfied'</t>
        </is>
      </c>
      <c r="C25" s="14" t="n">
        <v>0.36</v>
      </c>
      <c r="D25" s="14" t="n">
        <v>0.38</v>
      </c>
      <c r="E25" s="14" t="n">
        <v>0.36</v>
      </c>
      <c r="F25" s="14" t="n">
        <v>0.36</v>
      </c>
      <c r="G25" s="14" t="n">
        <v>0.16</v>
      </c>
      <c r="H25" s="14" t="n">
        <v>0.41</v>
      </c>
      <c r="I25" s="14" t="n">
        <v>0.45</v>
      </c>
      <c r="J25" s="14" t="n">
        <v>0.61</v>
      </c>
      <c r="K25" s="14" t="n">
        <v>0.37</v>
      </c>
      <c r="L25" s="14" t="n">
        <v>0.23</v>
      </c>
      <c r="M25" s="14" t="n">
        <v>0.5700000000000001</v>
      </c>
      <c r="N25" s="14" t="n">
        <v>0.34</v>
      </c>
      <c r="O25" s="14" t="n">
        <v>0.4</v>
      </c>
      <c r="P25" s="14" t="n">
        <v>0.38</v>
      </c>
      <c r="Q25" s="14" t="n">
        <v>0.37</v>
      </c>
      <c r="R25" s="14" t="n">
        <v>0.5</v>
      </c>
      <c r="S25" s="14" t="n">
        <v>0.27</v>
      </c>
      <c r="T25" s="14" t="n">
        <v>0.31</v>
      </c>
      <c r="U25" s="14" t="n">
        <v>0.25</v>
      </c>
      <c r="V25" s="14" t="n">
        <v>0.28</v>
      </c>
      <c r="W25" s="14" t="n">
        <v>0.22</v>
      </c>
      <c r="X25" s="14" t="n">
        <v>0.33</v>
      </c>
      <c r="Y25" s="14" t="n">
        <v>0.45</v>
      </c>
      <c r="Z25" s="14" t="n">
        <v>0.18</v>
      </c>
      <c r="AA25" s="14" t="n">
        <v>0.25</v>
      </c>
      <c r="AB25" s="14" t="n">
        <v>0.42</v>
      </c>
      <c r="AC25" s="14" t="n">
        <v>0.44</v>
      </c>
      <c r="AD25" s="14" t="n">
        <v>0.35</v>
      </c>
      <c r="AE25" s="14" t="n">
        <v>0.27</v>
      </c>
      <c r="AF25" s="14" t="n">
        <v>0.21</v>
      </c>
    </row>
  </sheetData>
  <mergeCells count="10">
    <mergeCell ref="B4:F4"/>
    <mergeCell ref="H3:L3"/>
    <mergeCell ref="A10:A21"/>
    <mergeCell ref="C8:AF8"/>
    <mergeCell ref="B3:F3"/>
    <mergeCell ref="B5:F5"/>
    <mergeCell ref="H5:L5"/>
    <mergeCell ref="B10:B11"/>
    <mergeCell ref="H4:L4"/>
    <mergeCell ref="A22:A25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24" customHeight="1" s="18">
      <c r="B3" s="21" t="inlineStr">
        <is>
          <t>D72.1. Dans quelle mesure êtes-vous d’accord ou pas d’accord avec chacune des affirmations suivantes ?</t>
        </is>
      </c>
      <c r="H3" s="21" t="inlineStr">
        <is>
          <t>D72.1. To what extent do you agree or disagree with each of the following statements.</t>
        </is>
      </c>
    </row>
    <row r="4" ht="27" customHeight="1" s="18">
      <c r="B4" s="21" t="inlineStr">
        <is>
          <t>Ma voix compte dans l'Union européenne</t>
        </is>
      </c>
      <c r="H4" s="21" t="inlineStr">
        <is>
          <t>My voice counts in the EU</t>
        </is>
      </c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HYPERLINK("#Content!A78","&lt;&lt;Back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Tout à fait d’accord</t>
        </is>
      </c>
      <c r="C12" s="12" t="n">
        <v>3347</v>
      </c>
      <c r="D12" s="12" t="n">
        <v>79</v>
      </c>
      <c r="E12" s="12" t="n">
        <v>118</v>
      </c>
      <c r="F12" s="12" t="n">
        <v>92</v>
      </c>
      <c r="G12" s="12" t="n">
        <v>328</v>
      </c>
      <c r="H12" s="12" t="n">
        <v>260</v>
      </c>
      <c r="I12" s="12" t="n">
        <v>279</v>
      </c>
      <c r="J12" s="12" t="n">
        <v>19</v>
      </c>
      <c r="K12" s="12" t="n">
        <v>14</v>
      </c>
      <c r="L12" s="12" t="n">
        <v>129</v>
      </c>
      <c r="M12" s="12" t="n">
        <v>73</v>
      </c>
      <c r="N12" s="12" t="n">
        <v>98</v>
      </c>
      <c r="O12" s="12" t="n">
        <v>121</v>
      </c>
      <c r="P12" s="12" t="n">
        <v>190</v>
      </c>
      <c r="Q12" s="12" t="n">
        <v>71</v>
      </c>
      <c r="R12" s="12" t="n">
        <v>5</v>
      </c>
      <c r="S12" s="12" t="n">
        <v>40</v>
      </c>
      <c r="T12" s="12" t="n">
        <v>56</v>
      </c>
      <c r="U12" s="12" t="n">
        <v>81</v>
      </c>
      <c r="V12" s="12" t="n">
        <v>107</v>
      </c>
      <c r="W12" s="12" t="n">
        <v>50</v>
      </c>
      <c r="X12" s="12" t="n">
        <v>161</v>
      </c>
      <c r="Y12" s="12" t="n">
        <v>266</v>
      </c>
      <c r="Z12" s="12" t="n">
        <v>103</v>
      </c>
      <c r="AA12" s="12" t="n">
        <v>130</v>
      </c>
      <c r="AB12" s="12" t="n">
        <v>80</v>
      </c>
      <c r="AC12" s="12" t="n">
        <v>98</v>
      </c>
      <c r="AD12" s="12" t="n">
        <v>181</v>
      </c>
      <c r="AE12" s="12" t="n">
        <v>127</v>
      </c>
      <c r="AF12" s="12" t="n">
        <v>276</v>
      </c>
    </row>
    <row r="13">
      <c r="A13" s="20" t="n"/>
      <c r="B13" s="13" t="inlineStr">
        <is>
          <t>Totally agree</t>
        </is>
      </c>
      <c r="C13" s="14" t="n">
        <v>0.13</v>
      </c>
      <c r="D13" s="14" t="n">
        <v>0.08</v>
      </c>
      <c r="E13" s="14" t="n">
        <v>0.12</v>
      </c>
      <c r="F13" s="14" t="n">
        <v>0.09</v>
      </c>
      <c r="G13" s="14" t="n">
        <v>0.32</v>
      </c>
      <c r="H13" s="14" t="n">
        <v>0.21</v>
      </c>
      <c r="I13" s="14" t="n">
        <v>0.18</v>
      </c>
      <c r="J13" s="14" t="n">
        <v>0.07000000000000001</v>
      </c>
      <c r="K13" s="14" t="n">
        <v>0.01</v>
      </c>
      <c r="L13" s="14" t="n">
        <v>0.13</v>
      </c>
      <c r="M13" s="14" t="n">
        <v>0.07000000000000001</v>
      </c>
      <c r="N13" s="14" t="n">
        <v>0.1</v>
      </c>
      <c r="O13" s="14" t="n">
        <v>0.12</v>
      </c>
      <c r="P13" s="14" t="n">
        <v>0.19</v>
      </c>
      <c r="Q13" s="14" t="n">
        <v>0.07000000000000001</v>
      </c>
      <c r="R13" s="14" t="n">
        <v>0.01</v>
      </c>
      <c r="S13" s="14" t="n">
        <v>0.04</v>
      </c>
      <c r="T13" s="14" t="n">
        <v>0.06</v>
      </c>
      <c r="U13" s="14" t="n">
        <v>0.16</v>
      </c>
      <c r="V13" s="14" t="n">
        <v>0.11</v>
      </c>
      <c r="W13" s="14" t="n">
        <v>0.1</v>
      </c>
      <c r="X13" s="14" t="n">
        <v>0.16</v>
      </c>
      <c r="Y13" s="14" t="n">
        <v>0.27</v>
      </c>
      <c r="Z13" s="14" t="n">
        <v>0.1</v>
      </c>
      <c r="AA13" s="14" t="n">
        <v>0.13</v>
      </c>
      <c r="AB13" s="14" t="n">
        <v>0.08</v>
      </c>
      <c r="AC13" s="14" t="n">
        <v>0.1</v>
      </c>
      <c r="AD13" s="14" t="n">
        <v>0.18</v>
      </c>
      <c r="AE13" s="14" t="n">
        <v>0.12</v>
      </c>
      <c r="AF13" s="14" t="n">
        <v>0.27</v>
      </c>
    </row>
    <row r="14">
      <c r="A14" s="20" t="n"/>
      <c r="B14" s="11" t="inlineStr">
        <is>
          <t>Plutôt d’accord</t>
        </is>
      </c>
      <c r="C14" s="12" t="n">
        <v>9595</v>
      </c>
      <c r="D14" s="12" t="n">
        <v>428</v>
      </c>
      <c r="E14" s="12" t="n">
        <v>382</v>
      </c>
      <c r="F14" s="12" t="n">
        <v>289</v>
      </c>
      <c r="G14" s="12" t="n">
        <v>394</v>
      </c>
      <c r="H14" s="12" t="n">
        <v>476</v>
      </c>
      <c r="I14" s="12" t="n">
        <v>559</v>
      </c>
      <c r="J14" s="12" t="n">
        <v>83</v>
      </c>
      <c r="K14" s="12" t="n">
        <v>150</v>
      </c>
      <c r="L14" s="12" t="n">
        <v>324</v>
      </c>
      <c r="M14" s="12" t="n">
        <v>197</v>
      </c>
      <c r="N14" s="12" t="n">
        <v>359</v>
      </c>
      <c r="O14" s="12" t="n">
        <v>339</v>
      </c>
      <c r="P14" s="12" t="n">
        <v>410</v>
      </c>
      <c r="Q14" s="12" t="n">
        <v>340</v>
      </c>
      <c r="R14" s="12" t="n">
        <v>111</v>
      </c>
      <c r="S14" s="12" t="n">
        <v>276</v>
      </c>
      <c r="T14" s="12" t="n">
        <v>249</v>
      </c>
      <c r="U14" s="12" t="n">
        <v>221</v>
      </c>
      <c r="V14" s="12" t="n">
        <v>397</v>
      </c>
      <c r="W14" s="12" t="n">
        <v>162</v>
      </c>
      <c r="X14" s="12" t="n">
        <v>448</v>
      </c>
      <c r="Y14" s="12" t="n">
        <v>296</v>
      </c>
      <c r="Z14" s="12" t="n">
        <v>498</v>
      </c>
      <c r="AA14" s="12" t="n">
        <v>395</v>
      </c>
      <c r="AB14" s="12" t="n">
        <v>369</v>
      </c>
      <c r="AC14" s="12" t="n">
        <v>325</v>
      </c>
      <c r="AD14" s="12" t="n">
        <v>380</v>
      </c>
      <c r="AE14" s="12" t="n">
        <v>385</v>
      </c>
      <c r="AF14" s="12" t="n">
        <v>449</v>
      </c>
    </row>
    <row r="15">
      <c r="A15" s="20" t="n"/>
      <c r="B15" s="13" t="inlineStr">
        <is>
          <t>Tend to agree</t>
        </is>
      </c>
      <c r="C15" s="14" t="n">
        <v>0.36</v>
      </c>
      <c r="D15" s="14" t="n">
        <v>0.42</v>
      </c>
      <c r="E15" s="14" t="n">
        <v>0.38</v>
      </c>
      <c r="F15" s="14" t="n">
        <v>0.28</v>
      </c>
      <c r="G15" s="14" t="n">
        <v>0.39</v>
      </c>
      <c r="H15" s="14" t="n">
        <v>0.39</v>
      </c>
      <c r="I15" s="14" t="n">
        <v>0.37</v>
      </c>
      <c r="J15" s="14" t="n">
        <v>0.28</v>
      </c>
      <c r="K15" s="14" t="n">
        <v>0.15</v>
      </c>
      <c r="L15" s="14" t="n">
        <v>0.32</v>
      </c>
      <c r="M15" s="14" t="n">
        <v>0.2</v>
      </c>
      <c r="N15" s="14" t="n">
        <v>0.36</v>
      </c>
      <c r="O15" s="14" t="n">
        <v>0.33</v>
      </c>
      <c r="P15" s="14" t="n">
        <v>0.41</v>
      </c>
      <c r="Q15" s="14" t="n">
        <v>0.33</v>
      </c>
      <c r="R15" s="14" t="n">
        <v>0.22</v>
      </c>
      <c r="S15" s="14" t="n">
        <v>0.27</v>
      </c>
      <c r="T15" s="14" t="n">
        <v>0.24</v>
      </c>
      <c r="U15" s="14" t="n">
        <v>0.43</v>
      </c>
      <c r="V15" s="14" t="n">
        <v>0.39</v>
      </c>
      <c r="W15" s="14" t="n">
        <v>0.32</v>
      </c>
      <c r="X15" s="14" t="n">
        <v>0.44</v>
      </c>
      <c r="Y15" s="14" t="n">
        <v>0.29</v>
      </c>
      <c r="Z15" s="14" t="n">
        <v>0.49</v>
      </c>
      <c r="AA15" s="14" t="n">
        <v>0.38</v>
      </c>
      <c r="AB15" s="14" t="n">
        <v>0.35</v>
      </c>
      <c r="AC15" s="14" t="n">
        <v>0.32</v>
      </c>
      <c r="AD15" s="14" t="n">
        <v>0.38</v>
      </c>
      <c r="AE15" s="14" t="n">
        <v>0.38</v>
      </c>
      <c r="AF15" s="14" t="n">
        <v>0.43</v>
      </c>
    </row>
    <row r="16">
      <c r="A16" s="20" t="n"/>
      <c r="B16" s="11" t="inlineStr">
        <is>
          <t>Plutôt pas d’accord</t>
        </is>
      </c>
      <c r="C16" s="12" t="n">
        <v>7659</v>
      </c>
      <c r="D16" s="12" t="n">
        <v>354</v>
      </c>
      <c r="E16" s="12" t="n">
        <v>258</v>
      </c>
      <c r="F16" s="12" t="n">
        <v>315</v>
      </c>
      <c r="G16" s="12" t="n">
        <v>168</v>
      </c>
      <c r="H16" s="12" t="n">
        <v>278</v>
      </c>
      <c r="I16" s="12" t="n">
        <v>378</v>
      </c>
      <c r="J16" s="12" t="n">
        <v>100</v>
      </c>
      <c r="K16" s="12" t="n">
        <v>363</v>
      </c>
      <c r="L16" s="12" t="n">
        <v>327</v>
      </c>
      <c r="M16" s="12" t="n">
        <v>387</v>
      </c>
      <c r="N16" s="12" t="n">
        <v>278</v>
      </c>
      <c r="O16" s="12" t="n">
        <v>304</v>
      </c>
      <c r="P16" s="12" t="n">
        <v>228</v>
      </c>
      <c r="Q16" s="12" t="n">
        <v>368</v>
      </c>
      <c r="R16" s="12" t="n">
        <v>177</v>
      </c>
      <c r="S16" s="12" t="n">
        <v>344</v>
      </c>
      <c r="T16" s="12" t="n">
        <v>296</v>
      </c>
      <c r="U16" s="12" t="n">
        <v>112</v>
      </c>
      <c r="V16" s="12" t="n">
        <v>290</v>
      </c>
      <c r="W16" s="12" t="n">
        <v>177</v>
      </c>
      <c r="X16" s="12" t="n">
        <v>287</v>
      </c>
      <c r="Y16" s="12" t="n">
        <v>204</v>
      </c>
      <c r="Z16" s="12" t="n">
        <v>277</v>
      </c>
      <c r="AA16" s="12" t="n">
        <v>376</v>
      </c>
      <c r="AB16" s="12" t="n">
        <v>320</v>
      </c>
      <c r="AC16" s="12" t="n">
        <v>285</v>
      </c>
      <c r="AD16" s="12" t="n">
        <v>285</v>
      </c>
      <c r="AE16" s="12" t="n">
        <v>296</v>
      </c>
      <c r="AF16" s="12" t="n">
        <v>181</v>
      </c>
    </row>
    <row r="17">
      <c r="A17" s="20" t="n"/>
      <c r="B17" s="13" t="inlineStr">
        <is>
          <t>Tend to disagree</t>
        </is>
      </c>
      <c r="C17" s="14" t="n">
        <v>0.29</v>
      </c>
      <c r="D17" s="14" t="n">
        <v>0.34</v>
      </c>
      <c r="E17" s="14" t="n">
        <v>0.25</v>
      </c>
      <c r="F17" s="14" t="n">
        <v>0.3</v>
      </c>
      <c r="G17" s="14" t="n">
        <v>0.17</v>
      </c>
      <c r="H17" s="14" t="n">
        <v>0.23</v>
      </c>
      <c r="I17" s="14" t="n">
        <v>0.25</v>
      </c>
      <c r="J17" s="14" t="n">
        <v>0.34</v>
      </c>
      <c r="K17" s="14" t="n">
        <v>0.36</v>
      </c>
      <c r="L17" s="14" t="n">
        <v>0.32</v>
      </c>
      <c r="M17" s="14" t="n">
        <v>0.38</v>
      </c>
      <c r="N17" s="14" t="n">
        <v>0.28</v>
      </c>
      <c r="O17" s="14" t="n">
        <v>0.3</v>
      </c>
      <c r="P17" s="14" t="n">
        <v>0.23</v>
      </c>
      <c r="Q17" s="14" t="n">
        <v>0.36</v>
      </c>
      <c r="R17" s="14" t="n">
        <v>0.35</v>
      </c>
      <c r="S17" s="14" t="n">
        <v>0.34</v>
      </c>
      <c r="T17" s="14" t="n">
        <v>0.29</v>
      </c>
      <c r="U17" s="14" t="n">
        <v>0.22</v>
      </c>
      <c r="V17" s="14" t="n">
        <v>0.28</v>
      </c>
      <c r="W17" s="14" t="n">
        <v>0.35</v>
      </c>
      <c r="X17" s="14" t="n">
        <v>0.28</v>
      </c>
      <c r="Y17" s="14" t="n">
        <v>0.2</v>
      </c>
      <c r="Z17" s="14" t="n">
        <v>0.27</v>
      </c>
      <c r="AA17" s="14" t="n">
        <v>0.37</v>
      </c>
      <c r="AB17" s="14" t="n">
        <v>0.31</v>
      </c>
      <c r="AC17" s="14" t="n">
        <v>0.28</v>
      </c>
      <c r="AD17" s="14" t="n">
        <v>0.29</v>
      </c>
      <c r="AE17" s="14" t="n">
        <v>0.29</v>
      </c>
      <c r="AF17" s="14" t="n">
        <v>0.18</v>
      </c>
    </row>
    <row r="18">
      <c r="A18" s="20" t="n"/>
      <c r="B18" s="11" t="inlineStr">
        <is>
          <t>Pas du tout d’accord</t>
        </is>
      </c>
      <c r="C18" s="12" t="n">
        <v>4996</v>
      </c>
      <c r="D18" s="12" t="n">
        <v>141</v>
      </c>
      <c r="E18" s="12" t="n">
        <v>192</v>
      </c>
      <c r="F18" s="12" t="n">
        <v>318</v>
      </c>
      <c r="G18" s="12" t="n">
        <v>87</v>
      </c>
      <c r="H18" s="12" t="n">
        <v>156</v>
      </c>
      <c r="I18" s="12" t="n">
        <v>236</v>
      </c>
      <c r="J18" s="12" t="n">
        <v>80</v>
      </c>
      <c r="K18" s="12" t="n">
        <v>389</v>
      </c>
      <c r="L18" s="12" t="n">
        <v>207</v>
      </c>
      <c r="M18" s="12" t="n">
        <v>330</v>
      </c>
      <c r="N18" s="12" t="n">
        <v>244</v>
      </c>
      <c r="O18" s="12" t="n">
        <v>202</v>
      </c>
      <c r="P18" s="12" t="n">
        <v>134</v>
      </c>
      <c r="Q18" s="12" t="n">
        <v>240</v>
      </c>
      <c r="R18" s="12" t="n">
        <v>192</v>
      </c>
      <c r="S18" s="12" t="n">
        <v>267</v>
      </c>
      <c r="T18" s="12" t="n">
        <v>317</v>
      </c>
      <c r="U18" s="12" t="n">
        <v>84</v>
      </c>
      <c r="V18" s="12" t="n">
        <v>206</v>
      </c>
      <c r="W18" s="12" t="n">
        <v>106</v>
      </c>
      <c r="X18" s="12" t="n">
        <v>110</v>
      </c>
      <c r="Y18" s="12" t="n">
        <v>218</v>
      </c>
      <c r="Z18" s="12" t="n">
        <v>98</v>
      </c>
      <c r="AA18" s="12" t="n">
        <v>117</v>
      </c>
      <c r="AB18" s="12" t="n">
        <v>243</v>
      </c>
      <c r="AC18" s="12" t="n">
        <v>277</v>
      </c>
      <c r="AD18" s="12" t="n">
        <v>122</v>
      </c>
      <c r="AE18" s="12" t="n">
        <v>190</v>
      </c>
      <c r="AF18" s="12" t="n">
        <v>107</v>
      </c>
    </row>
    <row r="19">
      <c r="A19" s="20" t="n"/>
      <c r="B19" s="13" t="inlineStr">
        <is>
          <t>Totally disagree</t>
        </is>
      </c>
      <c r="C19" s="14" t="n">
        <v>0.19</v>
      </c>
      <c r="D19" s="14" t="n">
        <v>0.14</v>
      </c>
      <c r="E19" s="14" t="n">
        <v>0.19</v>
      </c>
      <c r="F19" s="14" t="n">
        <v>0.3</v>
      </c>
      <c r="G19" s="14" t="n">
        <v>0.09</v>
      </c>
      <c r="H19" s="14" t="n">
        <v>0.13</v>
      </c>
      <c r="I19" s="14" t="n">
        <v>0.16</v>
      </c>
      <c r="J19" s="14" t="n">
        <v>0.27</v>
      </c>
      <c r="K19" s="14" t="n">
        <v>0.39</v>
      </c>
      <c r="L19" s="14" t="n">
        <v>0.21</v>
      </c>
      <c r="M19" s="14" t="n">
        <v>0.33</v>
      </c>
      <c r="N19" s="14" t="n">
        <v>0.24</v>
      </c>
      <c r="O19" s="14" t="n">
        <v>0.2</v>
      </c>
      <c r="P19" s="14" t="n">
        <v>0.13</v>
      </c>
      <c r="Q19" s="14" t="n">
        <v>0.23</v>
      </c>
      <c r="R19" s="14" t="n">
        <v>0.38</v>
      </c>
      <c r="S19" s="14" t="n">
        <v>0.27</v>
      </c>
      <c r="T19" s="14" t="n">
        <v>0.31</v>
      </c>
      <c r="U19" s="14" t="n">
        <v>0.17</v>
      </c>
      <c r="V19" s="14" t="n">
        <v>0.2</v>
      </c>
      <c r="W19" s="14" t="n">
        <v>0.21</v>
      </c>
      <c r="X19" s="14" t="n">
        <v>0.11</v>
      </c>
      <c r="Y19" s="14" t="n">
        <v>0.22</v>
      </c>
      <c r="Z19" s="14" t="n">
        <v>0.1</v>
      </c>
      <c r="AA19" s="14" t="n">
        <v>0.11</v>
      </c>
      <c r="AB19" s="14" t="n">
        <v>0.23</v>
      </c>
      <c r="AC19" s="14" t="n">
        <v>0.28</v>
      </c>
      <c r="AD19" s="14" t="n">
        <v>0.12</v>
      </c>
      <c r="AE19" s="14" t="n">
        <v>0.19</v>
      </c>
      <c r="AF19" s="14" t="n">
        <v>0.1</v>
      </c>
    </row>
    <row r="20">
      <c r="A20" s="20" t="n"/>
      <c r="B20" s="11" t="inlineStr">
        <is>
          <t>Ne sait pas</t>
        </is>
      </c>
      <c r="C20" s="12" t="n">
        <v>823</v>
      </c>
      <c r="D20" s="12" t="n">
        <v>18</v>
      </c>
      <c r="E20" s="12" t="n">
        <v>65</v>
      </c>
      <c r="F20" s="12" t="n">
        <v>35</v>
      </c>
      <c r="G20" s="12" t="n">
        <v>31</v>
      </c>
      <c r="H20" s="12" t="n">
        <v>43</v>
      </c>
      <c r="I20" s="12" t="n">
        <v>54</v>
      </c>
      <c r="J20" s="12" t="n">
        <v>11</v>
      </c>
      <c r="K20" s="12" t="n">
        <v>90</v>
      </c>
      <c r="L20" s="12" t="n">
        <v>23</v>
      </c>
      <c r="M20" s="12" t="n">
        <v>20</v>
      </c>
      <c r="N20" s="12" t="n">
        <v>27</v>
      </c>
      <c r="O20" s="12" t="n">
        <v>51</v>
      </c>
      <c r="P20" s="12" t="n">
        <v>45</v>
      </c>
      <c r="Q20" s="12" t="n">
        <v>10</v>
      </c>
      <c r="R20" s="12" t="n">
        <v>20</v>
      </c>
      <c r="S20" s="12" t="n">
        <v>79</v>
      </c>
      <c r="T20" s="12" t="n">
        <v>98</v>
      </c>
      <c r="U20" s="12" t="n">
        <v>9</v>
      </c>
      <c r="V20" s="12" t="n">
        <v>20</v>
      </c>
      <c r="W20" s="12" t="n">
        <v>10</v>
      </c>
      <c r="X20" s="12" t="n">
        <v>16</v>
      </c>
      <c r="Y20" s="12" t="n">
        <v>19</v>
      </c>
      <c r="Z20" s="12" t="n">
        <v>44</v>
      </c>
      <c r="AA20" s="12" t="n">
        <v>13</v>
      </c>
      <c r="AB20" s="12" t="n">
        <v>33</v>
      </c>
      <c r="AC20" s="12" t="n">
        <v>23</v>
      </c>
      <c r="AD20" s="12" t="n">
        <v>33</v>
      </c>
      <c r="AE20" s="12" t="n">
        <v>18</v>
      </c>
      <c r="AF20" s="12" t="n">
        <v>24</v>
      </c>
    </row>
    <row r="21">
      <c r="A21" s="23" t="n"/>
      <c r="B21" s="13" t="inlineStr">
        <is>
          <t>Don't know</t>
        </is>
      </c>
      <c r="C21" s="14" t="n">
        <v>0.03</v>
      </c>
      <c r="D21" s="14" t="n">
        <v>0.02</v>
      </c>
      <c r="E21" s="14" t="n">
        <v>0.06</v>
      </c>
      <c r="F21" s="14" t="n">
        <v>0.03</v>
      </c>
      <c r="G21" s="14" t="n">
        <v>0.03</v>
      </c>
      <c r="H21" s="14" t="n">
        <v>0.04</v>
      </c>
      <c r="I21" s="14" t="n">
        <v>0.04</v>
      </c>
      <c r="J21" s="14" t="n">
        <v>0.04</v>
      </c>
      <c r="K21" s="14" t="n">
        <v>0.09</v>
      </c>
      <c r="L21" s="14" t="n">
        <v>0.02</v>
      </c>
      <c r="M21" s="14" t="n">
        <v>0.02</v>
      </c>
      <c r="N21" s="14" t="n">
        <v>0.02</v>
      </c>
      <c r="O21" s="14" t="n">
        <v>0.05</v>
      </c>
      <c r="P21" s="14" t="n">
        <v>0.04</v>
      </c>
      <c r="Q21" s="14" t="n">
        <v>0.01</v>
      </c>
      <c r="R21" s="14" t="n">
        <v>0.04</v>
      </c>
      <c r="S21" s="14" t="n">
        <v>0.08</v>
      </c>
      <c r="T21" s="14" t="n">
        <v>0.1</v>
      </c>
      <c r="U21" s="14" t="n">
        <v>0.02</v>
      </c>
      <c r="V21" s="14" t="n">
        <v>0.02</v>
      </c>
      <c r="W21" s="14" t="n">
        <v>0.02</v>
      </c>
      <c r="X21" s="14" t="n">
        <v>0.01</v>
      </c>
      <c r="Y21" s="14" t="n">
        <v>0.02</v>
      </c>
      <c r="Z21" s="14" t="n">
        <v>0.04</v>
      </c>
      <c r="AA21" s="14" t="n">
        <v>0.01</v>
      </c>
      <c r="AB21" s="14" t="n">
        <v>0.03</v>
      </c>
      <c r="AC21" s="14" t="n">
        <v>0.02</v>
      </c>
      <c r="AD21" s="14" t="n">
        <v>0.03</v>
      </c>
      <c r="AE21" s="14" t="n">
        <v>0.02</v>
      </c>
      <c r="AF21" s="14" t="n">
        <v>0.02</v>
      </c>
    </row>
    <row r="22">
      <c r="A22" s="19" t="n"/>
      <c r="B22" s="11" t="inlineStr">
        <is>
          <t>Total 'D'accord'</t>
        </is>
      </c>
      <c r="C22" s="12" t="n">
        <v>12942</v>
      </c>
      <c r="D22" s="12" t="n">
        <v>507</v>
      </c>
      <c r="E22" s="12" t="n">
        <v>500</v>
      </c>
      <c r="F22" s="12" t="n">
        <v>381</v>
      </c>
      <c r="G22" s="12" t="n">
        <v>722</v>
      </c>
      <c r="H22" s="12" t="n">
        <v>736</v>
      </c>
      <c r="I22" s="12" t="n">
        <v>838</v>
      </c>
      <c r="J22" s="12" t="n">
        <v>102</v>
      </c>
      <c r="K22" s="12" t="n">
        <v>164</v>
      </c>
      <c r="L22" s="12" t="n">
        <v>453</v>
      </c>
      <c r="M22" s="12" t="n">
        <v>270</v>
      </c>
      <c r="N22" s="12" t="n">
        <v>457</v>
      </c>
      <c r="O22" s="12" t="n">
        <v>460</v>
      </c>
      <c r="P22" s="12" t="n">
        <v>600</v>
      </c>
      <c r="Q22" s="12" t="n">
        <v>411</v>
      </c>
      <c r="R22" s="12" t="n">
        <v>116</v>
      </c>
      <c r="S22" s="12" t="n">
        <v>316</v>
      </c>
      <c r="T22" s="12" t="n">
        <v>305</v>
      </c>
      <c r="U22" s="12" t="n">
        <v>302</v>
      </c>
      <c r="V22" s="12" t="n">
        <v>504</v>
      </c>
      <c r="W22" s="12" t="n">
        <v>212</v>
      </c>
      <c r="X22" s="12" t="n">
        <v>609</v>
      </c>
      <c r="Y22" s="12" t="n">
        <v>562</v>
      </c>
      <c r="Z22" s="12" t="n">
        <v>601</v>
      </c>
      <c r="AA22" s="12" t="n">
        <v>525</v>
      </c>
      <c r="AB22" s="12" t="n">
        <v>449</v>
      </c>
      <c r="AC22" s="12" t="n">
        <v>423</v>
      </c>
      <c r="AD22" s="12" t="n">
        <v>561</v>
      </c>
      <c r="AE22" s="12" t="n">
        <v>512</v>
      </c>
      <c r="AF22" s="12" t="n">
        <v>725</v>
      </c>
    </row>
    <row r="23">
      <c r="A23" s="20" t="n"/>
      <c r="B23" s="13" t="inlineStr">
        <is>
          <t>Total 'Agree'</t>
        </is>
      </c>
      <c r="C23" s="14" t="n">
        <v>0.49</v>
      </c>
      <c r="D23" s="14" t="n">
        <v>0.5</v>
      </c>
      <c r="E23" s="14" t="n">
        <v>0.5</v>
      </c>
      <c r="F23" s="14" t="n">
        <v>0.37</v>
      </c>
      <c r="G23" s="14" t="n">
        <v>0.71</v>
      </c>
      <c r="H23" s="14" t="n">
        <v>0.6</v>
      </c>
      <c r="I23" s="14" t="n">
        <v>0.55</v>
      </c>
      <c r="J23" s="14" t="n">
        <v>0.35</v>
      </c>
      <c r="K23" s="14" t="n">
        <v>0.16</v>
      </c>
      <c r="L23" s="14" t="n">
        <v>0.45</v>
      </c>
      <c r="M23" s="14" t="n">
        <v>0.27</v>
      </c>
      <c r="N23" s="14" t="n">
        <v>0.46</v>
      </c>
      <c r="O23" s="14" t="n">
        <v>0.45</v>
      </c>
      <c r="P23" s="14" t="n">
        <v>0.6</v>
      </c>
      <c r="Q23" s="14" t="n">
        <v>0.4</v>
      </c>
      <c r="R23" s="14" t="n">
        <v>0.23</v>
      </c>
      <c r="S23" s="14" t="n">
        <v>0.31</v>
      </c>
      <c r="T23" s="14" t="n">
        <v>0.3</v>
      </c>
      <c r="U23" s="14" t="n">
        <v>0.59</v>
      </c>
      <c r="V23" s="14" t="n">
        <v>0.5</v>
      </c>
      <c r="W23" s="14" t="n">
        <v>0.42</v>
      </c>
      <c r="X23" s="14" t="n">
        <v>0.6</v>
      </c>
      <c r="Y23" s="14" t="n">
        <v>0.5600000000000001</v>
      </c>
      <c r="Z23" s="14" t="n">
        <v>0.59</v>
      </c>
      <c r="AA23" s="14" t="n">
        <v>0.51</v>
      </c>
      <c r="AB23" s="14" t="n">
        <v>0.43</v>
      </c>
      <c r="AC23" s="14" t="n">
        <v>0.42</v>
      </c>
      <c r="AD23" s="14" t="n">
        <v>0.5600000000000001</v>
      </c>
      <c r="AE23" s="14" t="n">
        <v>0.5</v>
      </c>
      <c r="AF23" s="14" t="n">
        <v>0.7000000000000001</v>
      </c>
    </row>
    <row r="24">
      <c r="A24" s="20" t="n"/>
      <c r="B24" s="11" t="inlineStr">
        <is>
          <t>Total 'Pas d'accord'</t>
        </is>
      </c>
      <c r="C24" s="12" t="n">
        <v>12655</v>
      </c>
      <c r="D24" s="12" t="n">
        <v>495</v>
      </c>
      <c r="E24" s="12" t="n">
        <v>450</v>
      </c>
      <c r="F24" s="12" t="n">
        <v>633</v>
      </c>
      <c r="G24" s="12" t="n">
        <v>255</v>
      </c>
      <c r="H24" s="12" t="n">
        <v>434</v>
      </c>
      <c r="I24" s="12" t="n">
        <v>614</v>
      </c>
      <c r="J24" s="12" t="n">
        <v>180</v>
      </c>
      <c r="K24" s="12" t="n">
        <v>752</v>
      </c>
      <c r="L24" s="12" t="n">
        <v>534</v>
      </c>
      <c r="M24" s="12" t="n">
        <v>717</v>
      </c>
      <c r="N24" s="12" t="n">
        <v>522</v>
      </c>
      <c r="O24" s="12" t="n">
        <v>506</v>
      </c>
      <c r="P24" s="12" t="n">
        <v>362</v>
      </c>
      <c r="Q24" s="12" t="n">
        <v>608</v>
      </c>
      <c r="R24" s="12" t="n">
        <v>369</v>
      </c>
      <c r="S24" s="12" t="n">
        <v>611</v>
      </c>
      <c r="T24" s="12" t="n">
        <v>613</v>
      </c>
      <c r="U24" s="12" t="n">
        <v>196</v>
      </c>
      <c r="V24" s="12" t="n">
        <v>496</v>
      </c>
      <c r="W24" s="12" t="n">
        <v>283</v>
      </c>
      <c r="X24" s="12" t="n">
        <v>397</v>
      </c>
      <c r="Y24" s="12" t="n">
        <v>422</v>
      </c>
      <c r="Z24" s="12" t="n">
        <v>375</v>
      </c>
      <c r="AA24" s="12" t="n">
        <v>493</v>
      </c>
      <c r="AB24" s="12" t="n">
        <v>563</v>
      </c>
      <c r="AC24" s="12" t="n">
        <v>562</v>
      </c>
      <c r="AD24" s="12" t="n">
        <v>407</v>
      </c>
      <c r="AE24" s="12" t="n">
        <v>486</v>
      </c>
      <c r="AF24" s="12" t="n">
        <v>288</v>
      </c>
    </row>
    <row r="25">
      <c r="A25" s="23" t="n"/>
      <c r="B25" s="13" t="inlineStr">
        <is>
          <t>Total 'Disagree'</t>
        </is>
      </c>
      <c r="C25" s="14" t="n">
        <v>0.48</v>
      </c>
      <c r="D25" s="14" t="n">
        <v>0.48</v>
      </c>
      <c r="E25" s="14" t="n">
        <v>0.44</v>
      </c>
      <c r="F25" s="14" t="n">
        <v>0.6</v>
      </c>
      <c r="G25" s="14" t="n">
        <v>0.26</v>
      </c>
      <c r="H25" s="14" t="n">
        <v>0.36</v>
      </c>
      <c r="I25" s="14" t="n">
        <v>0.41</v>
      </c>
      <c r="J25" s="14" t="n">
        <v>0.61</v>
      </c>
      <c r="K25" s="14" t="n">
        <v>0.75</v>
      </c>
      <c r="L25" s="14" t="n">
        <v>0.53</v>
      </c>
      <c r="M25" s="14" t="n">
        <v>0.71</v>
      </c>
      <c r="N25" s="14" t="n">
        <v>0.52</v>
      </c>
      <c r="O25" s="14" t="n">
        <v>0.5</v>
      </c>
      <c r="P25" s="14" t="n">
        <v>0.36</v>
      </c>
      <c r="Q25" s="14" t="n">
        <v>0.59</v>
      </c>
      <c r="R25" s="14" t="n">
        <v>0.73</v>
      </c>
      <c r="S25" s="14" t="n">
        <v>0.61</v>
      </c>
      <c r="T25" s="14" t="n">
        <v>0.6</v>
      </c>
      <c r="U25" s="14" t="n">
        <v>0.39</v>
      </c>
      <c r="V25" s="14" t="n">
        <v>0.48</v>
      </c>
      <c r="W25" s="14" t="n">
        <v>0.5600000000000001</v>
      </c>
      <c r="X25" s="14" t="n">
        <v>0.39</v>
      </c>
      <c r="Y25" s="14" t="n">
        <v>0.42</v>
      </c>
      <c r="Z25" s="14" t="n">
        <v>0.37</v>
      </c>
      <c r="AA25" s="14" t="n">
        <v>0.48</v>
      </c>
      <c r="AB25" s="14" t="n">
        <v>0.54</v>
      </c>
      <c r="AC25" s="14" t="n">
        <v>0.5600000000000001</v>
      </c>
      <c r="AD25" s="14" t="n">
        <v>0.41</v>
      </c>
      <c r="AE25" s="14" t="n">
        <v>0.48</v>
      </c>
      <c r="AF25" s="14" t="n">
        <v>0.28</v>
      </c>
    </row>
  </sheetData>
  <mergeCells count="10">
    <mergeCell ref="B4:F4"/>
    <mergeCell ref="H3:L3"/>
    <mergeCell ref="A10:A21"/>
    <mergeCell ref="C8:AF8"/>
    <mergeCell ref="B3:F3"/>
    <mergeCell ref="B5:F5"/>
    <mergeCell ref="H5:L5"/>
    <mergeCell ref="B10:B11"/>
    <mergeCell ref="H4:L4"/>
    <mergeCell ref="A22:A25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24" customHeight="1" s="18">
      <c r="B3" s="21" t="inlineStr">
        <is>
          <t>D72.2. Dans quelle mesure êtes-vous d’accord ou pas d’accord avec chacune des affirmations suivantes ?</t>
        </is>
      </c>
      <c r="H3" s="21" t="inlineStr">
        <is>
          <t>D72.2. To what extent do you agree or disagree with each of the following statements.</t>
        </is>
      </c>
    </row>
    <row r="4" ht="27" customHeight="1" s="18">
      <c r="B4" s="21" t="inlineStr">
        <is>
          <t>Ma voix compte en (NOTRE PAYS)</t>
        </is>
      </c>
      <c r="H4" s="21" t="inlineStr">
        <is>
          <t>My voice counts in (OUR COUNTRY)</t>
        </is>
      </c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HYPERLINK("#Content!A79","&lt;&lt;Back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Tout à fait d’accord</t>
        </is>
      </c>
      <c r="C12" s="12" t="n">
        <v>5400</v>
      </c>
      <c r="D12" s="12" t="n">
        <v>121</v>
      </c>
      <c r="E12" s="12" t="n">
        <v>182</v>
      </c>
      <c r="F12" s="12" t="n">
        <v>190</v>
      </c>
      <c r="G12" s="12" t="n">
        <v>633</v>
      </c>
      <c r="H12" s="12" t="n">
        <v>389</v>
      </c>
      <c r="I12" s="12" t="n">
        <v>431</v>
      </c>
      <c r="J12" s="12" t="n">
        <v>43</v>
      </c>
      <c r="K12" s="12" t="n">
        <v>48</v>
      </c>
      <c r="L12" s="12" t="n">
        <v>200</v>
      </c>
      <c r="M12" s="12" t="n">
        <v>130</v>
      </c>
      <c r="N12" s="12" t="n">
        <v>125</v>
      </c>
      <c r="O12" s="12" t="n">
        <v>208</v>
      </c>
      <c r="P12" s="12" t="n">
        <v>300</v>
      </c>
      <c r="Q12" s="12" t="n">
        <v>74</v>
      </c>
      <c r="R12" s="12" t="n">
        <v>11</v>
      </c>
      <c r="S12" s="12" t="n">
        <v>98</v>
      </c>
      <c r="T12" s="12" t="n">
        <v>62</v>
      </c>
      <c r="U12" s="12" t="n">
        <v>115</v>
      </c>
      <c r="V12" s="12" t="n">
        <v>141</v>
      </c>
      <c r="W12" s="12" t="n">
        <v>60</v>
      </c>
      <c r="X12" s="12" t="n">
        <v>322</v>
      </c>
      <c r="Y12" s="12" t="n">
        <v>402</v>
      </c>
      <c r="Z12" s="12" t="n">
        <v>173</v>
      </c>
      <c r="AA12" s="12" t="n">
        <v>174</v>
      </c>
      <c r="AB12" s="12" t="n">
        <v>98</v>
      </c>
      <c r="AC12" s="12" t="n">
        <v>202</v>
      </c>
      <c r="AD12" s="12" t="n">
        <v>336</v>
      </c>
      <c r="AE12" s="12" t="n">
        <v>356</v>
      </c>
      <c r="AF12" s="12" t="n">
        <v>673</v>
      </c>
    </row>
    <row r="13">
      <c r="A13" s="20" t="n"/>
      <c r="B13" s="13" t="inlineStr">
        <is>
          <t>Totally agree</t>
        </is>
      </c>
      <c r="C13" s="14" t="n">
        <v>0.2</v>
      </c>
      <c r="D13" s="14" t="n">
        <v>0.12</v>
      </c>
      <c r="E13" s="14" t="n">
        <v>0.18</v>
      </c>
      <c r="F13" s="14" t="n">
        <v>0.18</v>
      </c>
      <c r="G13" s="14" t="n">
        <v>0.63</v>
      </c>
      <c r="H13" s="14" t="n">
        <v>0.32</v>
      </c>
      <c r="I13" s="14" t="n">
        <v>0.28</v>
      </c>
      <c r="J13" s="14" t="n">
        <v>0.15</v>
      </c>
      <c r="K13" s="14" t="n">
        <v>0.05</v>
      </c>
      <c r="L13" s="14" t="n">
        <v>0.2</v>
      </c>
      <c r="M13" s="14" t="n">
        <v>0.13</v>
      </c>
      <c r="N13" s="14" t="n">
        <v>0.13</v>
      </c>
      <c r="O13" s="14" t="n">
        <v>0.21</v>
      </c>
      <c r="P13" s="14" t="n">
        <v>0.3</v>
      </c>
      <c r="Q13" s="14" t="n">
        <v>0.07000000000000001</v>
      </c>
      <c r="R13" s="14" t="n">
        <v>0.02</v>
      </c>
      <c r="S13" s="14" t="n">
        <v>0.1</v>
      </c>
      <c r="T13" s="14" t="n">
        <v>0.06</v>
      </c>
      <c r="U13" s="14" t="n">
        <v>0.23</v>
      </c>
      <c r="V13" s="14" t="n">
        <v>0.14</v>
      </c>
      <c r="W13" s="14" t="n">
        <v>0.12</v>
      </c>
      <c r="X13" s="14" t="n">
        <v>0.31</v>
      </c>
      <c r="Y13" s="14" t="n">
        <v>0.4</v>
      </c>
      <c r="Z13" s="14" t="n">
        <v>0.17</v>
      </c>
      <c r="AA13" s="14" t="n">
        <v>0.17</v>
      </c>
      <c r="AB13" s="14" t="n">
        <v>0.1</v>
      </c>
      <c r="AC13" s="14" t="n">
        <v>0.2</v>
      </c>
      <c r="AD13" s="14" t="n">
        <v>0.33</v>
      </c>
      <c r="AE13" s="14" t="n">
        <v>0.35</v>
      </c>
      <c r="AF13" s="14" t="n">
        <v>0.65</v>
      </c>
    </row>
    <row r="14">
      <c r="A14" s="20" t="n"/>
      <c r="B14" s="11" t="inlineStr">
        <is>
          <t>Plutôt d’accord</t>
        </is>
      </c>
      <c r="C14" s="12" t="n">
        <v>11381</v>
      </c>
      <c r="D14" s="12" t="n">
        <v>511</v>
      </c>
      <c r="E14" s="12" t="n">
        <v>464</v>
      </c>
      <c r="F14" s="12" t="n">
        <v>516</v>
      </c>
      <c r="G14" s="12" t="n">
        <v>283</v>
      </c>
      <c r="H14" s="12" t="n">
        <v>525</v>
      </c>
      <c r="I14" s="12" t="n">
        <v>642</v>
      </c>
      <c r="J14" s="12" t="n">
        <v>118</v>
      </c>
      <c r="K14" s="12" t="n">
        <v>313</v>
      </c>
      <c r="L14" s="12" t="n">
        <v>437</v>
      </c>
      <c r="M14" s="12" t="n">
        <v>216</v>
      </c>
      <c r="N14" s="12" t="n">
        <v>430</v>
      </c>
      <c r="O14" s="12" t="n">
        <v>447</v>
      </c>
      <c r="P14" s="12" t="n">
        <v>490</v>
      </c>
      <c r="Q14" s="12" t="n">
        <v>395</v>
      </c>
      <c r="R14" s="12" t="n">
        <v>137</v>
      </c>
      <c r="S14" s="12" t="n">
        <v>357</v>
      </c>
      <c r="T14" s="12" t="n">
        <v>309</v>
      </c>
      <c r="U14" s="12" t="n">
        <v>232</v>
      </c>
      <c r="V14" s="12" t="n">
        <v>547</v>
      </c>
      <c r="W14" s="12" t="n">
        <v>212</v>
      </c>
      <c r="X14" s="12" t="n">
        <v>473</v>
      </c>
      <c r="Y14" s="12" t="n">
        <v>333</v>
      </c>
      <c r="Z14" s="12" t="n">
        <v>624</v>
      </c>
      <c r="AA14" s="12" t="n">
        <v>430</v>
      </c>
      <c r="AB14" s="12" t="n">
        <v>411</v>
      </c>
      <c r="AC14" s="12" t="n">
        <v>436</v>
      </c>
      <c r="AD14" s="12" t="n">
        <v>429</v>
      </c>
      <c r="AE14" s="12" t="n">
        <v>456</v>
      </c>
      <c r="AF14" s="12" t="n">
        <v>287</v>
      </c>
    </row>
    <row r="15">
      <c r="A15" s="20" t="n"/>
      <c r="B15" s="13" t="inlineStr">
        <is>
          <t>Tend to agree</t>
        </is>
      </c>
      <c r="C15" s="14" t="n">
        <v>0.43</v>
      </c>
      <c r="D15" s="14" t="n">
        <v>0.5</v>
      </c>
      <c r="E15" s="14" t="n">
        <v>0.46</v>
      </c>
      <c r="F15" s="14" t="n">
        <v>0.49</v>
      </c>
      <c r="G15" s="14" t="n">
        <v>0.28</v>
      </c>
      <c r="H15" s="14" t="n">
        <v>0.43</v>
      </c>
      <c r="I15" s="14" t="n">
        <v>0.43</v>
      </c>
      <c r="J15" s="14" t="n">
        <v>0.4</v>
      </c>
      <c r="K15" s="14" t="n">
        <v>0.31</v>
      </c>
      <c r="L15" s="14" t="n">
        <v>0.43</v>
      </c>
      <c r="M15" s="14" t="n">
        <v>0.22</v>
      </c>
      <c r="N15" s="14" t="n">
        <v>0.43</v>
      </c>
      <c r="O15" s="14" t="n">
        <v>0.44</v>
      </c>
      <c r="P15" s="14" t="n">
        <v>0.49</v>
      </c>
      <c r="Q15" s="14" t="n">
        <v>0.38</v>
      </c>
      <c r="R15" s="14" t="n">
        <v>0.27</v>
      </c>
      <c r="S15" s="14" t="n">
        <v>0.35</v>
      </c>
      <c r="T15" s="14" t="n">
        <v>0.31</v>
      </c>
      <c r="U15" s="14" t="n">
        <v>0.46</v>
      </c>
      <c r="V15" s="14" t="n">
        <v>0.53</v>
      </c>
      <c r="W15" s="14" t="n">
        <v>0.42</v>
      </c>
      <c r="X15" s="14" t="n">
        <v>0.46</v>
      </c>
      <c r="Y15" s="14" t="n">
        <v>0.33</v>
      </c>
      <c r="Z15" s="14" t="n">
        <v>0.61</v>
      </c>
      <c r="AA15" s="14" t="n">
        <v>0.42</v>
      </c>
      <c r="AB15" s="14" t="n">
        <v>0.39</v>
      </c>
      <c r="AC15" s="14" t="n">
        <v>0.43</v>
      </c>
      <c r="AD15" s="14" t="n">
        <v>0.43</v>
      </c>
      <c r="AE15" s="14" t="n">
        <v>0.45</v>
      </c>
      <c r="AF15" s="14" t="n">
        <v>0.28</v>
      </c>
    </row>
    <row r="16">
      <c r="A16" s="20" t="n"/>
      <c r="B16" s="11" t="inlineStr">
        <is>
          <t>Plutôt pas d’accord</t>
        </is>
      </c>
      <c r="C16" s="12" t="n">
        <v>5861</v>
      </c>
      <c r="D16" s="12" t="n">
        <v>264</v>
      </c>
      <c r="E16" s="12" t="n">
        <v>199</v>
      </c>
      <c r="F16" s="12" t="n">
        <v>221</v>
      </c>
      <c r="G16" s="12" t="n">
        <v>47</v>
      </c>
      <c r="H16" s="12" t="n">
        <v>162</v>
      </c>
      <c r="I16" s="12" t="n">
        <v>251</v>
      </c>
      <c r="J16" s="12" t="n">
        <v>88</v>
      </c>
      <c r="K16" s="12" t="n">
        <v>314</v>
      </c>
      <c r="L16" s="12" t="n">
        <v>231</v>
      </c>
      <c r="M16" s="12" t="n">
        <v>366</v>
      </c>
      <c r="N16" s="12" t="n">
        <v>255</v>
      </c>
      <c r="O16" s="12" t="n">
        <v>217</v>
      </c>
      <c r="P16" s="12" t="n">
        <v>136</v>
      </c>
      <c r="Q16" s="12" t="n">
        <v>356</v>
      </c>
      <c r="R16" s="12" t="n">
        <v>160</v>
      </c>
      <c r="S16" s="12" t="n">
        <v>333</v>
      </c>
      <c r="T16" s="12" t="n">
        <v>298</v>
      </c>
      <c r="U16" s="12" t="n">
        <v>89</v>
      </c>
      <c r="V16" s="12" t="n">
        <v>205</v>
      </c>
      <c r="W16" s="12" t="n">
        <v>154</v>
      </c>
      <c r="X16" s="12" t="n">
        <v>150</v>
      </c>
      <c r="Y16" s="12" t="n">
        <v>165</v>
      </c>
      <c r="Z16" s="12" t="n">
        <v>156</v>
      </c>
      <c r="AA16" s="12" t="n">
        <v>324</v>
      </c>
      <c r="AB16" s="12" t="n">
        <v>312</v>
      </c>
      <c r="AC16" s="12" t="n">
        <v>215</v>
      </c>
      <c r="AD16" s="12" t="n">
        <v>159</v>
      </c>
      <c r="AE16" s="12" t="n">
        <v>129</v>
      </c>
      <c r="AF16" s="12" t="n">
        <v>44</v>
      </c>
    </row>
    <row r="17">
      <c r="A17" s="20" t="n"/>
      <c r="B17" s="13" t="inlineStr">
        <is>
          <t>Tend to disagree</t>
        </is>
      </c>
      <c r="C17" s="14" t="n">
        <v>0.22</v>
      </c>
      <c r="D17" s="14" t="n">
        <v>0.26</v>
      </c>
      <c r="E17" s="14" t="n">
        <v>0.19</v>
      </c>
      <c r="F17" s="14" t="n">
        <v>0.21</v>
      </c>
      <c r="G17" s="14" t="n">
        <v>0.05</v>
      </c>
      <c r="H17" s="14" t="n">
        <v>0.13</v>
      </c>
      <c r="I17" s="14" t="n">
        <v>0.17</v>
      </c>
      <c r="J17" s="14" t="n">
        <v>0.3</v>
      </c>
      <c r="K17" s="14" t="n">
        <v>0.31</v>
      </c>
      <c r="L17" s="14" t="n">
        <v>0.23</v>
      </c>
      <c r="M17" s="14" t="n">
        <v>0.36</v>
      </c>
      <c r="N17" s="14" t="n">
        <v>0.25</v>
      </c>
      <c r="O17" s="14" t="n">
        <v>0.21</v>
      </c>
      <c r="P17" s="14" t="n">
        <v>0.13</v>
      </c>
      <c r="Q17" s="14" t="n">
        <v>0.35</v>
      </c>
      <c r="R17" s="14" t="n">
        <v>0.32</v>
      </c>
      <c r="S17" s="14" t="n">
        <v>0.33</v>
      </c>
      <c r="T17" s="14" t="n">
        <v>0.29</v>
      </c>
      <c r="U17" s="14" t="n">
        <v>0.17</v>
      </c>
      <c r="V17" s="14" t="n">
        <v>0.2</v>
      </c>
      <c r="W17" s="14" t="n">
        <v>0.31</v>
      </c>
      <c r="X17" s="14" t="n">
        <v>0.15</v>
      </c>
      <c r="Y17" s="14" t="n">
        <v>0.16</v>
      </c>
      <c r="Z17" s="14" t="n">
        <v>0.15</v>
      </c>
      <c r="AA17" s="14" t="n">
        <v>0.31</v>
      </c>
      <c r="AB17" s="14" t="n">
        <v>0.3</v>
      </c>
      <c r="AC17" s="14" t="n">
        <v>0.21</v>
      </c>
      <c r="AD17" s="14" t="n">
        <v>0.16</v>
      </c>
      <c r="AE17" s="14" t="n">
        <v>0.13</v>
      </c>
      <c r="AF17" s="14" t="n">
        <v>0.04</v>
      </c>
    </row>
    <row r="18">
      <c r="A18" s="20" t="n"/>
      <c r="B18" s="11" t="inlineStr">
        <is>
          <t>Pas du tout d’accord</t>
        </is>
      </c>
      <c r="C18" s="12" t="n">
        <v>3308</v>
      </c>
      <c r="D18" s="12" t="n">
        <v>112</v>
      </c>
      <c r="E18" s="12" t="n">
        <v>129</v>
      </c>
      <c r="F18" s="12" t="n">
        <v>104</v>
      </c>
      <c r="G18" s="12" t="n">
        <v>32</v>
      </c>
      <c r="H18" s="12" t="n">
        <v>114</v>
      </c>
      <c r="I18" s="12" t="n">
        <v>156</v>
      </c>
      <c r="J18" s="12" t="n">
        <v>42</v>
      </c>
      <c r="K18" s="12" t="n">
        <v>243</v>
      </c>
      <c r="L18" s="12" t="n">
        <v>123</v>
      </c>
      <c r="M18" s="12" t="n">
        <v>284</v>
      </c>
      <c r="N18" s="12" t="n">
        <v>184</v>
      </c>
      <c r="O18" s="12" t="n">
        <v>121</v>
      </c>
      <c r="P18" s="12" t="n">
        <v>50</v>
      </c>
      <c r="Q18" s="12" t="n">
        <v>190</v>
      </c>
      <c r="R18" s="12" t="n">
        <v>182</v>
      </c>
      <c r="S18" s="12" t="n">
        <v>189</v>
      </c>
      <c r="T18" s="12" t="n">
        <v>294</v>
      </c>
      <c r="U18" s="12" t="n">
        <v>61</v>
      </c>
      <c r="V18" s="12" t="n">
        <v>110</v>
      </c>
      <c r="W18" s="12" t="n">
        <v>72</v>
      </c>
      <c r="X18" s="12" t="n">
        <v>68</v>
      </c>
      <c r="Y18" s="12" t="n">
        <v>96</v>
      </c>
      <c r="Z18" s="12" t="n">
        <v>38</v>
      </c>
      <c r="AA18" s="12" t="n">
        <v>95</v>
      </c>
      <c r="AB18" s="12" t="n">
        <v>200</v>
      </c>
      <c r="AC18" s="12" t="n">
        <v>138</v>
      </c>
      <c r="AD18" s="12" t="n">
        <v>56</v>
      </c>
      <c r="AE18" s="12" t="n">
        <v>65</v>
      </c>
      <c r="AF18" s="12" t="n">
        <v>25</v>
      </c>
    </row>
    <row r="19">
      <c r="A19" s="20" t="n"/>
      <c r="B19" s="13" t="inlineStr">
        <is>
          <t>Totally disagree</t>
        </is>
      </c>
      <c r="C19" s="14" t="n">
        <v>0.13</v>
      </c>
      <c r="D19" s="14" t="n">
        <v>0.11</v>
      </c>
      <c r="E19" s="14" t="n">
        <v>0.13</v>
      </c>
      <c r="F19" s="14" t="n">
        <v>0.1</v>
      </c>
      <c r="G19" s="14" t="n">
        <v>0.03</v>
      </c>
      <c r="H19" s="14" t="n">
        <v>0.1</v>
      </c>
      <c r="I19" s="14" t="n">
        <v>0.1</v>
      </c>
      <c r="J19" s="14" t="n">
        <v>0.14</v>
      </c>
      <c r="K19" s="14" t="n">
        <v>0.24</v>
      </c>
      <c r="L19" s="14" t="n">
        <v>0.12</v>
      </c>
      <c r="M19" s="14" t="n">
        <v>0.28</v>
      </c>
      <c r="N19" s="14" t="n">
        <v>0.18</v>
      </c>
      <c r="O19" s="14" t="n">
        <v>0.12</v>
      </c>
      <c r="P19" s="14" t="n">
        <v>0.05</v>
      </c>
      <c r="Q19" s="14" t="n">
        <v>0.19</v>
      </c>
      <c r="R19" s="14" t="n">
        <v>0.36</v>
      </c>
      <c r="S19" s="14" t="n">
        <v>0.19</v>
      </c>
      <c r="T19" s="14" t="n">
        <v>0.29</v>
      </c>
      <c r="U19" s="14" t="n">
        <v>0.12</v>
      </c>
      <c r="V19" s="14" t="n">
        <v>0.11</v>
      </c>
      <c r="W19" s="14" t="n">
        <v>0.14</v>
      </c>
      <c r="X19" s="14" t="n">
        <v>0.07000000000000001</v>
      </c>
      <c r="Y19" s="14" t="n">
        <v>0.1</v>
      </c>
      <c r="Z19" s="14" t="n">
        <v>0.04</v>
      </c>
      <c r="AA19" s="14" t="n">
        <v>0.09</v>
      </c>
      <c r="AB19" s="14" t="n">
        <v>0.19</v>
      </c>
      <c r="AC19" s="14" t="n">
        <v>0.14</v>
      </c>
      <c r="AD19" s="14" t="n">
        <v>0.06</v>
      </c>
      <c r="AE19" s="14" t="n">
        <v>0.06</v>
      </c>
      <c r="AF19" s="14" t="n">
        <v>0.02</v>
      </c>
    </row>
    <row r="20">
      <c r="A20" s="20" t="n"/>
      <c r="B20" s="11" t="inlineStr">
        <is>
          <t>Ne sait pas</t>
        </is>
      </c>
      <c r="C20" s="12" t="n">
        <v>471</v>
      </c>
      <c r="D20" s="12" t="n">
        <v>13</v>
      </c>
      <c r="E20" s="12" t="n">
        <v>41</v>
      </c>
      <c r="F20" s="12" t="n">
        <v>18</v>
      </c>
      <c r="G20" s="12" t="n">
        <v>13</v>
      </c>
      <c r="H20" s="12" t="n">
        <v>24</v>
      </c>
      <c r="I20" s="12" t="n">
        <v>26</v>
      </c>
      <c r="J20" s="12" t="n">
        <v>3</v>
      </c>
      <c r="K20" s="12" t="n">
        <v>88</v>
      </c>
      <c r="L20" s="12" t="n">
        <v>19</v>
      </c>
      <c r="M20" s="12" t="n">
        <v>11</v>
      </c>
      <c r="N20" s="12" t="n">
        <v>12</v>
      </c>
      <c r="O20" s="12" t="n">
        <v>23</v>
      </c>
      <c r="P20" s="12" t="n">
        <v>31</v>
      </c>
      <c r="Q20" s="12" t="n">
        <v>15</v>
      </c>
      <c r="R20" s="12" t="n">
        <v>14</v>
      </c>
      <c r="S20" s="12" t="n">
        <v>28</v>
      </c>
      <c r="T20" s="12" t="n">
        <v>54</v>
      </c>
      <c r="U20" s="12" t="n">
        <v>11</v>
      </c>
      <c r="V20" s="12" t="n">
        <v>17</v>
      </c>
      <c r="W20" s="12" t="n">
        <v>7</v>
      </c>
      <c r="X20" s="12" t="n">
        <v>9</v>
      </c>
      <c r="Y20" s="12" t="n">
        <v>7</v>
      </c>
      <c r="Z20" s="12" t="n">
        <v>29</v>
      </c>
      <c r="AA20" s="12" t="n">
        <v>8</v>
      </c>
      <c r="AB20" s="12" t="n">
        <v>24</v>
      </c>
      <c r="AC20" s="12" t="n">
        <v>17</v>
      </c>
      <c r="AD20" s="12" t="n">
        <v>21</v>
      </c>
      <c r="AE20" s="12" t="n">
        <v>11</v>
      </c>
      <c r="AF20" s="12" t="n">
        <v>8</v>
      </c>
    </row>
    <row r="21">
      <c r="A21" s="23" t="n"/>
      <c r="B21" s="13" t="inlineStr">
        <is>
          <t>Don't know</t>
        </is>
      </c>
      <c r="C21" s="14" t="n">
        <v>0.02</v>
      </c>
      <c r="D21" s="14" t="n">
        <v>0.01</v>
      </c>
      <c r="E21" s="14" t="n">
        <v>0.04</v>
      </c>
      <c r="F21" s="14" t="n">
        <v>0.02</v>
      </c>
      <c r="G21" s="14" t="n">
        <v>0.01</v>
      </c>
      <c r="H21" s="14" t="n">
        <v>0.02</v>
      </c>
      <c r="I21" s="14" t="n">
        <v>0.02</v>
      </c>
      <c r="J21" s="14" t="n">
        <v>0.01</v>
      </c>
      <c r="K21" s="14" t="n">
        <v>0.09</v>
      </c>
      <c r="L21" s="14" t="n">
        <v>0.02</v>
      </c>
      <c r="M21" s="14" t="n">
        <v>0.01</v>
      </c>
      <c r="N21" s="14" t="n">
        <v>0.01</v>
      </c>
      <c r="O21" s="14" t="n">
        <v>0.02</v>
      </c>
      <c r="P21" s="14" t="n">
        <v>0.03</v>
      </c>
      <c r="Q21" s="14" t="n">
        <v>0.01</v>
      </c>
      <c r="R21" s="14" t="n">
        <v>0.03</v>
      </c>
      <c r="S21" s="14" t="n">
        <v>0.03</v>
      </c>
      <c r="T21" s="14" t="n">
        <v>0.05</v>
      </c>
      <c r="U21" s="14" t="n">
        <v>0.02</v>
      </c>
      <c r="V21" s="14" t="n">
        <v>0.02</v>
      </c>
      <c r="W21" s="14" t="n">
        <v>0.01</v>
      </c>
      <c r="X21" s="14" t="n">
        <v>0.01</v>
      </c>
      <c r="Y21" s="14" t="n">
        <v>0.01</v>
      </c>
      <c r="Z21" s="14" t="n">
        <v>0.03</v>
      </c>
      <c r="AA21" s="14" t="n">
        <v>0.01</v>
      </c>
      <c r="AB21" s="14" t="n">
        <v>0.02</v>
      </c>
      <c r="AC21" s="14" t="n">
        <v>0.02</v>
      </c>
      <c r="AD21" s="14" t="n">
        <v>0.02</v>
      </c>
      <c r="AE21" s="14" t="n">
        <v>0.01</v>
      </c>
      <c r="AF21" s="14" t="n">
        <v>0.01</v>
      </c>
    </row>
    <row r="22">
      <c r="A22" s="19" t="n"/>
      <c r="B22" s="11" t="inlineStr">
        <is>
          <t>Total 'D'accord'</t>
        </is>
      </c>
      <c r="C22" s="12" t="n">
        <v>16781</v>
      </c>
      <c r="D22" s="12" t="n">
        <v>632</v>
      </c>
      <c r="E22" s="12" t="n">
        <v>646</v>
      </c>
      <c r="F22" s="12" t="n">
        <v>706</v>
      </c>
      <c r="G22" s="12" t="n">
        <v>916</v>
      </c>
      <c r="H22" s="12" t="n">
        <v>914</v>
      </c>
      <c r="I22" s="12" t="n">
        <v>1073</v>
      </c>
      <c r="J22" s="12" t="n">
        <v>161</v>
      </c>
      <c r="K22" s="12" t="n">
        <v>361</v>
      </c>
      <c r="L22" s="12" t="n">
        <v>637</v>
      </c>
      <c r="M22" s="12" t="n">
        <v>346</v>
      </c>
      <c r="N22" s="12" t="n">
        <v>555</v>
      </c>
      <c r="O22" s="12" t="n">
        <v>655</v>
      </c>
      <c r="P22" s="12" t="n">
        <v>790</v>
      </c>
      <c r="Q22" s="12" t="n">
        <v>469</v>
      </c>
      <c r="R22" s="12" t="n">
        <v>148</v>
      </c>
      <c r="S22" s="12" t="n">
        <v>455</v>
      </c>
      <c r="T22" s="12" t="n">
        <v>371</v>
      </c>
      <c r="U22" s="12" t="n">
        <v>347</v>
      </c>
      <c r="V22" s="12" t="n">
        <v>688</v>
      </c>
      <c r="W22" s="12" t="n">
        <v>272</v>
      </c>
      <c r="X22" s="12" t="n">
        <v>795</v>
      </c>
      <c r="Y22" s="12" t="n">
        <v>735</v>
      </c>
      <c r="Z22" s="12" t="n">
        <v>797</v>
      </c>
      <c r="AA22" s="12" t="n">
        <v>604</v>
      </c>
      <c r="AB22" s="12" t="n">
        <v>509</v>
      </c>
      <c r="AC22" s="12" t="n">
        <v>638</v>
      </c>
      <c r="AD22" s="12" t="n">
        <v>765</v>
      </c>
      <c r="AE22" s="12" t="n">
        <v>812</v>
      </c>
      <c r="AF22" s="12" t="n">
        <v>960</v>
      </c>
    </row>
    <row r="23">
      <c r="A23" s="20" t="n"/>
      <c r="B23" s="13" t="inlineStr">
        <is>
          <t>Total 'Agree'</t>
        </is>
      </c>
      <c r="C23" s="14" t="n">
        <v>0.63</v>
      </c>
      <c r="D23" s="14" t="n">
        <v>0.62</v>
      </c>
      <c r="E23" s="14" t="n">
        <v>0.64</v>
      </c>
      <c r="F23" s="14" t="n">
        <v>0.67</v>
      </c>
      <c r="G23" s="14" t="n">
        <v>0.91</v>
      </c>
      <c r="H23" s="14" t="n">
        <v>0.75</v>
      </c>
      <c r="I23" s="14" t="n">
        <v>0.71</v>
      </c>
      <c r="J23" s="14" t="n">
        <v>0.55</v>
      </c>
      <c r="K23" s="14" t="n">
        <v>0.36</v>
      </c>
      <c r="L23" s="14" t="n">
        <v>0.63</v>
      </c>
      <c r="M23" s="14" t="n">
        <v>0.35</v>
      </c>
      <c r="N23" s="14" t="n">
        <v>0.5600000000000001</v>
      </c>
      <c r="O23" s="14" t="n">
        <v>0.65</v>
      </c>
      <c r="P23" s="14" t="n">
        <v>0.79</v>
      </c>
      <c r="Q23" s="14" t="n">
        <v>0.45</v>
      </c>
      <c r="R23" s="14" t="n">
        <v>0.29</v>
      </c>
      <c r="S23" s="14" t="n">
        <v>0.45</v>
      </c>
      <c r="T23" s="14" t="n">
        <v>0.37</v>
      </c>
      <c r="U23" s="14" t="n">
        <v>0.6900000000000001</v>
      </c>
      <c r="V23" s="14" t="n">
        <v>0.67</v>
      </c>
      <c r="W23" s="14" t="n">
        <v>0.54</v>
      </c>
      <c r="X23" s="14" t="n">
        <v>0.77</v>
      </c>
      <c r="Y23" s="14" t="n">
        <v>0.73</v>
      </c>
      <c r="Z23" s="14" t="n">
        <v>0.78</v>
      </c>
      <c r="AA23" s="14" t="n">
        <v>0.59</v>
      </c>
      <c r="AB23" s="14" t="n">
        <v>0.49</v>
      </c>
      <c r="AC23" s="14" t="n">
        <v>0.63</v>
      </c>
      <c r="AD23" s="14" t="n">
        <v>0.76</v>
      </c>
      <c r="AE23" s="14" t="n">
        <v>0.8</v>
      </c>
      <c r="AF23" s="14" t="n">
        <v>0.93</v>
      </c>
    </row>
    <row r="24">
      <c r="A24" s="20" t="n"/>
      <c r="B24" s="11" t="inlineStr">
        <is>
          <t>Total 'Pas d'accord'</t>
        </is>
      </c>
      <c r="C24" s="12" t="n">
        <v>9169</v>
      </c>
      <c r="D24" s="12" t="n">
        <v>376</v>
      </c>
      <c r="E24" s="12" t="n">
        <v>328</v>
      </c>
      <c r="F24" s="12" t="n">
        <v>325</v>
      </c>
      <c r="G24" s="12" t="n">
        <v>79</v>
      </c>
      <c r="H24" s="12" t="n">
        <v>276</v>
      </c>
      <c r="I24" s="12" t="n">
        <v>407</v>
      </c>
      <c r="J24" s="12" t="n">
        <v>130</v>
      </c>
      <c r="K24" s="12" t="n">
        <v>557</v>
      </c>
      <c r="L24" s="12" t="n">
        <v>354</v>
      </c>
      <c r="M24" s="12" t="n">
        <v>650</v>
      </c>
      <c r="N24" s="12" t="n">
        <v>439</v>
      </c>
      <c r="O24" s="12" t="n">
        <v>338</v>
      </c>
      <c r="P24" s="12" t="n">
        <v>186</v>
      </c>
      <c r="Q24" s="12" t="n">
        <v>546</v>
      </c>
      <c r="R24" s="12" t="n">
        <v>342</v>
      </c>
      <c r="S24" s="12" t="n">
        <v>522</v>
      </c>
      <c r="T24" s="12" t="n">
        <v>592</v>
      </c>
      <c r="U24" s="12" t="n">
        <v>150</v>
      </c>
      <c r="V24" s="12" t="n">
        <v>315</v>
      </c>
      <c r="W24" s="12" t="n">
        <v>226</v>
      </c>
      <c r="X24" s="12" t="n">
        <v>218</v>
      </c>
      <c r="Y24" s="12" t="n">
        <v>261</v>
      </c>
      <c r="Z24" s="12" t="n">
        <v>194</v>
      </c>
      <c r="AA24" s="12" t="n">
        <v>419</v>
      </c>
      <c r="AB24" s="12" t="n">
        <v>512</v>
      </c>
      <c r="AC24" s="12" t="n">
        <v>353</v>
      </c>
      <c r="AD24" s="12" t="n">
        <v>215</v>
      </c>
      <c r="AE24" s="12" t="n">
        <v>194</v>
      </c>
      <c r="AF24" s="12" t="n">
        <v>69</v>
      </c>
    </row>
    <row r="25">
      <c r="A25" s="23" t="n"/>
      <c r="B25" s="13" t="inlineStr">
        <is>
          <t>Total 'Disagree'</t>
        </is>
      </c>
      <c r="C25" s="14" t="n">
        <v>0.35</v>
      </c>
      <c r="D25" s="14" t="n">
        <v>0.37</v>
      </c>
      <c r="E25" s="14" t="n">
        <v>0.32</v>
      </c>
      <c r="F25" s="14" t="n">
        <v>0.31</v>
      </c>
      <c r="G25" s="14" t="n">
        <v>0.08</v>
      </c>
      <c r="H25" s="14" t="n">
        <v>0.23</v>
      </c>
      <c r="I25" s="14" t="n">
        <v>0.27</v>
      </c>
      <c r="J25" s="14" t="n">
        <v>0.44</v>
      </c>
      <c r="K25" s="14" t="n">
        <v>0.55</v>
      </c>
      <c r="L25" s="14" t="n">
        <v>0.35</v>
      </c>
      <c r="M25" s="14" t="n">
        <v>0.64</v>
      </c>
      <c r="N25" s="14" t="n">
        <v>0.43</v>
      </c>
      <c r="O25" s="14" t="n">
        <v>0.33</v>
      </c>
      <c r="P25" s="14" t="n">
        <v>0.18</v>
      </c>
      <c r="Q25" s="14" t="n">
        <v>0.54</v>
      </c>
      <c r="R25" s="14" t="n">
        <v>0.68</v>
      </c>
      <c r="S25" s="14" t="n">
        <v>0.52</v>
      </c>
      <c r="T25" s="14" t="n">
        <v>0.58</v>
      </c>
      <c r="U25" s="14" t="n">
        <v>0.29</v>
      </c>
      <c r="V25" s="14" t="n">
        <v>0.31</v>
      </c>
      <c r="W25" s="14" t="n">
        <v>0.45</v>
      </c>
      <c r="X25" s="14" t="n">
        <v>0.22</v>
      </c>
      <c r="Y25" s="14" t="n">
        <v>0.26</v>
      </c>
      <c r="Z25" s="14" t="n">
        <v>0.19</v>
      </c>
      <c r="AA25" s="14" t="n">
        <v>0.4</v>
      </c>
      <c r="AB25" s="14" t="n">
        <v>0.49</v>
      </c>
      <c r="AC25" s="14" t="n">
        <v>0.35</v>
      </c>
      <c r="AD25" s="14" t="n">
        <v>0.22</v>
      </c>
      <c r="AE25" s="14" t="n">
        <v>0.19</v>
      </c>
      <c r="AF25" s="14" t="n">
        <v>0.06</v>
      </c>
    </row>
  </sheetData>
  <mergeCells count="10">
    <mergeCell ref="B4:F4"/>
    <mergeCell ref="H3:L3"/>
    <mergeCell ref="A10:A21"/>
    <mergeCell ref="C8:AF8"/>
    <mergeCell ref="B3:F3"/>
    <mergeCell ref="B5:F5"/>
    <mergeCell ref="H5:L5"/>
    <mergeCell ref="B10:B11"/>
    <mergeCell ref="H4:L4"/>
    <mergeCell ref="A22:A25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24" customHeight="1" s="18">
      <c r="B3" s="21" t="inlineStr">
        <is>
          <t>D72.3. Dans quelle mesure êtes-vous d’accord ou pas d’accord avec chacune des affirmations suivantes ?</t>
        </is>
      </c>
      <c r="H3" s="21" t="inlineStr">
        <is>
          <t>D72.3. To what extent do you agree or disagree with each of the following statements.</t>
        </is>
      </c>
    </row>
    <row r="4" ht="27" customHeight="1" s="18">
      <c r="B4" s="21" t="inlineStr">
        <is>
          <t>La voix de (NOTRE PAYS) compte dans l’Union européenne</t>
        </is>
      </c>
      <c r="H4" s="21" t="inlineStr">
        <is>
          <t>(OUR COUNTRY)’s voice counts in the EU</t>
        </is>
      </c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HYPERLINK("#Content!A80","&lt;&lt;Back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Tout à fait d’accord</t>
        </is>
      </c>
      <c r="C12" s="12" t="n">
        <v>5359</v>
      </c>
      <c r="D12" s="12" t="n">
        <v>131</v>
      </c>
      <c r="E12" s="12" t="n">
        <v>128</v>
      </c>
      <c r="F12" s="12" t="n">
        <v>162</v>
      </c>
      <c r="G12" s="12" t="n">
        <v>519</v>
      </c>
      <c r="H12" s="12" t="n">
        <v>428</v>
      </c>
      <c r="I12" s="12" t="n">
        <v>474</v>
      </c>
      <c r="J12" s="12" t="n">
        <v>46</v>
      </c>
      <c r="K12" s="12" t="n">
        <v>81</v>
      </c>
      <c r="L12" s="12" t="n">
        <v>198</v>
      </c>
      <c r="M12" s="12" t="n">
        <v>111</v>
      </c>
      <c r="N12" s="12" t="n">
        <v>192</v>
      </c>
      <c r="O12" s="12" t="n">
        <v>197</v>
      </c>
      <c r="P12" s="12" t="n">
        <v>212</v>
      </c>
      <c r="Q12" s="12" t="n">
        <v>112</v>
      </c>
      <c r="R12" s="12" t="n">
        <v>20</v>
      </c>
      <c r="S12" s="12" t="n">
        <v>72</v>
      </c>
      <c r="T12" s="12" t="n">
        <v>67</v>
      </c>
      <c r="U12" s="12" t="n">
        <v>125</v>
      </c>
      <c r="V12" s="12" t="n">
        <v>149</v>
      </c>
      <c r="W12" s="12" t="n">
        <v>71</v>
      </c>
      <c r="X12" s="12" t="n">
        <v>247</v>
      </c>
      <c r="Y12" s="12" t="n">
        <v>305</v>
      </c>
      <c r="Z12" s="12" t="n">
        <v>145</v>
      </c>
      <c r="AA12" s="12" t="n">
        <v>248</v>
      </c>
      <c r="AB12" s="12" t="n">
        <v>120</v>
      </c>
      <c r="AC12" s="12" t="n">
        <v>139</v>
      </c>
      <c r="AD12" s="12" t="n">
        <v>208</v>
      </c>
      <c r="AE12" s="12" t="n">
        <v>229</v>
      </c>
      <c r="AF12" s="12" t="n">
        <v>395</v>
      </c>
    </row>
    <row r="13">
      <c r="A13" s="20" t="n"/>
      <c r="B13" s="13" t="inlineStr">
        <is>
          <t>Totally agree</t>
        </is>
      </c>
      <c r="C13" s="14" t="n">
        <v>0.2</v>
      </c>
      <c r="D13" s="14" t="n">
        <v>0.13</v>
      </c>
      <c r="E13" s="14" t="n">
        <v>0.13</v>
      </c>
      <c r="F13" s="14" t="n">
        <v>0.16</v>
      </c>
      <c r="G13" s="14" t="n">
        <v>0.51</v>
      </c>
      <c r="H13" s="14" t="n">
        <v>0.35</v>
      </c>
      <c r="I13" s="14" t="n">
        <v>0.31</v>
      </c>
      <c r="J13" s="14" t="n">
        <v>0.16</v>
      </c>
      <c r="K13" s="14" t="n">
        <v>0.08</v>
      </c>
      <c r="L13" s="14" t="n">
        <v>0.2</v>
      </c>
      <c r="M13" s="14" t="n">
        <v>0.11</v>
      </c>
      <c r="N13" s="14" t="n">
        <v>0.19</v>
      </c>
      <c r="O13" s="14" t="n">
        <v>0.19</v>
      </c>
      <c r="P13" s="14" t="n">
        <v>0.21</v>
      </c>
      <c r="Q13" s="14" t="n">
        <v>0.11</v>
      </c>
      <c r="R13" s="14" t="n">
        <v>0.04</v>
      </c>
      <c r="S13" s="14" t="n">
        <v>0.07000000000000001</v>
      </c>
      <c r="T13" s="14" t="n">
        <v>0.07000000000000001</v>
      </c>
      <c r="U13" s="14" t="n">
        <v>0.25</v>
      </c>
      <c r="V13" s="14" t="n">
        <v>0.15</v>
      </c>
      <c r="W13" s="14" t="n">
        <v>0.14</v>
      </c>
      <c r="X13" s="14" t="n">
        <v>0.24</v>
      </c>
      <c r="Y13" s="14" t="n">
        <v>0.3</v>
      </c>
      <c r="Z13" s="14" t="n">
        <v>0.14</v>
      </c>
      <c r="AA13" s="14" t="n">
        <v>0.24</v>
      </c>
      <c r="AB13" s="14" t="n">
        <v>0.11</v>
      </c>
      <c r="AC13" s="14" t="n">
        <v>0.14</v>
      </c>
      <c r="AD13" s="14" t="n">
        <v>0.21</v>
      </c>
      <c r="AE13" s="14" t="n">
        <v>0.23</v>
      </c>
      <c r="AF13" s="14" t="n">
        <v>0.38</v>
      </c>
    </row>
    <row r="14">
      <c r="A14" s="20" t="n"/>
      <c r="B14" s="11" t="inlineStr">
        <is>
          <t>Plutôt d’accord</t>
        </is>
      </c>
      <c r="C14" s="12" t="n">
        <v>12903</v>
      </c>
      <c r="D14" s="12" t="n">
        <v>566</v>
      </c>
      <c r="E14" s="12" t="n">
        <v>425</v>
      </c>
      <c r="F14" s="12" t="n">
        <v>391</v>
      </c>
      <c r="G14" s="12" t="n">
        <v>380</v>
      </c>
      <c r="H14" s="12" t="n">
        <v>599</v>
      </c>
      <c r="I14" s="12" t="n">
        <v>747</v>
      </c>
      <c r="J14" s="12" t="n">
        <v>147</v>
      </c>
      <c r="K14" s="12" t="n">
        <v>494</v>
      </c>
      <c r="L14" s="12" t="n">
        <v>518</v>
      </c>
      <c r="M14" s="12" t="n">
        <v>292</v>
      </c>
      <c r="N14" s="12" t="n">
        <v>459</v>
      </c>
      <c r="O14" s="12" t="n">
        <v>516</v>
      </c>
      <c r="P14" s="12" t="n">
        <v>499</v>
      </c>
      <c r="Q14" s="12" t="n">
        <v>497</v>
      </c>
      <c r="R14" s="12" t="n">
        <v>198</v>
      </c>
      <c r="S14" s="12" t="n">
        <v>481</v>
      </c>
      <c r="T14" s="12" t="n">
        <v>518</v>
      </c>
      <c r="U14" s="12" t="n">
        <v>275</v>
      </c>
      <c r="V14" s="12" t="n">
        <v>583</v>
      </c>
      <c r="W14" s="12" t="n">
        <v>279</v>
      </c>
      <c r="X14" s="12" t="n">
        <v>515</v>
      </c>
      <c r="Y14" s="12" t="n">
        <v>350</v>
      </c>
      <c r="Z14" s="12" t="n">
        <v>591</v>
      </c>
      <c r="AA14" s="12" t="n">
        <v>641</v>
      </c>
      <c r="AB14" s="12" t="n">
        <v>467</v>
      </c>
      <c r="AC14" s="12" t="n">
        <v>425</v>
      </c>
      <c r="AD14" s="12" t="n">
        <v>465</v>
      </c>
      <c r="AE14" s="12" t="n">
        <v>505</v>
      </c>
      <c r="AF14" s="12" t="n">
        <v>502</v>
      </c>
    </row>
    <row r="15">
      <c r="A15" s="20" t="n"/>
      <c r="B15" s="13" t="inlineStr">
        <is>
          <t>Tend to agree</t>
        </is>
      </c>
      <c r="C15" s="14" t="n">
        <v>0.49</v>
      </c>
      <c r="D15" s="14" t="n">
        <v>0.55</v>
      </c>
      <c r="E15" s="14" t="n">
        <v>0.42</v>
      </c>
      <c r="F15" s="14" t="n">
        <v>0.37</v>
      </c>
      <c r="G15" s="14" t="n">
        <v>0.38</v>
      </c>
      <c r="H15" s="14" t="n">
        <v>0.49</v>
      </c>
      <c r="I15" s="14" t="n">
        <v>0.49</v>
      </c>
      <c r="J15" s="14" t="n">
        <v>0.5</v>
      </c>
      <c r="K15" s="14" t="n">
        <v>0.49</v>
      </c>
      <c r="L15" s="14" t="n">
        <v>0.51</v>
      </c>
      <c r="M15" s="14" t="n">
        <v>0.29</v>
      </c>
      <c r="N15" s="14" t="n">
        <v>0.46</v>
      </c>
      <c r="O15" s="14" t="n">
        <v>0.51</v>
      </c>
      <c r="P15" s="14" t="n">
        <v>0.5</v>
      </c>
      <c r="Q15" s="14" t="n">
        <v>0.48</v>
      </c>
      <c r="R15" s="14" t="n">
        <v>0.39</v>
      </c>
      <c r="S15" s="14" t="n">
        <v>0.48</v>
      </c>
      <c r="T15" s="14" t="n">
        <v>0.51</v>
      </c>
      <c r="U15" s="14" t="n">
        <v>0.54</v>
      </c>
      <c r="V15" s="14" t="n">
        <v>0.5700000000000001</v>
      </c>
      <c r="W15" s="14" t="n">
        <v>0.55</v>
      </c>
      <c r="X15" s="14" t="n">
        <v>0.5</v>
      </c>
      <c r="Y15" s="14" t="n">
        <v>0.35</v>
      </c>
      <c r="Z15" s="14" t="n">
        <v>0.58</v>
      </c>
      <c r="AA15" s="14" t="n">
        <v>0.62</v>
      </c>
      <c r="AB15" s="14" t="n">
        <v>0.45</v>
      </c>
      <c r="AC15" s="14" t="n">
        <v>0.42</v>
      </c>
      <c r="AD15" s="14" t="n">
        <v>0.46</v>
      </c>
      <c r="AE15" s="14" t="n">
        <v>0.5</v>
      </c>
      <c r="AF15" s="14" t="n">
        <v>0.48</v>
      </c>
    </row>
    <row r="16">
      <c r="A16" s="20" t="n"/>
      <c r="B16" s="11" t="inlineStr">
        <is>
          <t>Plutôt pas d’accord</t>
        </is>
      </c>
      <c r="C16" s="12" t="n">
        <v>5398</v>
      </c>
      <c r="D16" s="12" t="n">
        <v>245</v>
      </c>
      <c r="E16" s="12" t="n">
        <v>249</v>
      </c>
      <c r="F16" s="12" t="n">
        <v>339</v>
      </c>
      <c r="G16" s="12" t="n">
        <v>67</v>
      </c>
      <c r="H16" s="12" t="n">
        <v>121</v>
      </c>
      <c r="I16" s="12" t="n">
        <v>190</v>
      </c>
      <c r="J16" s="12" t="n">
        <v>69</v>
      </c>
      <c r="K16" s="12" t="n">
        <v>247</v>
      </c>
      <c r="L16" s="12" t="n">
        <v>176</v>
      </c>
      <c r="M16" s="12" t="n">
        <v>357</v>
      </c>
      <c r="N16" s="12" t="n">
        <v>221</v>
      </c>
      <c r="O16" s="12" t="n">
        <v>191</v>
      </c>
      <c r="P16" s="12" t="n">
        <v>173</v>
      </c>
      <c r="Q16" s="12" t="n">
        <v>291</v>
      </c>
      <c r="R16" s="12" t="n">
        <v>161</v>
      </c>
      <c r="S16" s="12" t="n">
        <v>311</v>
      </c>
      <c r="T16" s="12" t="n">
        <v>264</v>
      </c>
      <c r="U16" s="12" t="n">
        <v>66</v>
      </c>
      <c r="V16" s="12" t="n">
        <v>198</v>
      </c>
      <c r="W16" s="12" t="n">
        <v>97</v>
      </c>
      <c r="X16" s="12" t="n">
        <v>201</v>
      </c>
      <c r="Y16" s="12" t="n">
        <v>239</v>
      </c>
      <c r="Z16" s="12" t="n">
        <v>198</v>
      </c>
      <c r="AA16" s="12" t="n">
        <v>107</v>
      </c>
      <c r="AB16" s="12" t="n">
        <v>293</v>
      </c>
      <c r="AC16" s="12" t="n">
        <v>283</v>
      </c>
      <c r="AD16" s="12" t="n">
        <v>228</v>
      </c>
      <c r="AE16" s="12" t="n">
        <v>213</v>
      </c>
      <c r="AF16" s="12" t="n">
        <v>102</v>
      </c>
    </row>
    <row r="17">
      <c r="A17" s="20" t="n"/>
      <c r="B17" s="13" t="inlineStr">
        <is>
          <t>Tend to disagree</t>
        </is>
      </c>
      <c r="C17" s="14" t="n">
        <v>0.2</v>
      </c>
      <c r="D17" s="14" t="n">
        <v>0.24</v>
      </c>
      <c r="E17" s="14" t="n">
        <v>0.25</v>
      </c>
      <c r="F17" s="14" t="n">
        <v>0.32</v>
      </c>
      <c r="G17" s="14" t="n">
        <v>0.07000000000000001</v>
      </c>
      <c r="H17" s="14" t="n">
        <v>0.1</v>
      </c>
      <c r="I17" s="14" t="n">
        <v>0.13</v>
      </c>
      <c r="J17" s="14" t="n">
        <v>0.24</v>
      </c>
      <c r="K17" s="14" t="n">
        <v>0.25</v>
      </c>
      <c r="L17" s="14" t="n">
        <v>0.17</v>
      </c>
      <c r="M17" s="14" t="n">
        <v>0.35</v>
      </c>
      <c r="N17" s="14" t="n">
        <v>0.22</v>
      </c>
      <c r="O17" s="14" t="n">
        <v>0.19</v>
      </c>
      <c r="P17" s="14" t="n">
        <v>0.17</v>
      </c>
      <c r="Q17" s="14" t="n">
        <v>0.28</v>
      </c>
      <c r="R17" s="14" t="n">
        <v>0.32</v>
      </c>
      <c r="S17" s="14" t="n">
        <v>0.31</v>
      </c>
      <c r="T17" s="14" t="n">
        <v>0.26</v>
      </c>
      <c r="U17" s="14" t="n">
        <v>0.13</v>
      </c>
      <c r="V17" s="14" t="n">
        <v>0.19</v>
      </c>
      <c r="W17" s="14" t="n">
        <v>0.19</v>
      </c>
      <c r="X17" s="14" t="n">
        <v>0.2</v>
      </c>
      <c r="Y17" s="14" t="n">
        <v>0.24</v>
      </c>
      <c r="Z17" s="14" t="n">
        <v>0.19</v>
      </c>
      <c r="AA17" s="14" t="n">
        <v>0.11</v>
      </c>
      <c r="AB17" s="14" t="n">
        <v>0.28</v>
      </c>
      <c r="AC17" s="14" t="n">
        <v>0.28</v>
      </c>
      <c r="AD17" s="14" t="n">
        <v>0.23</v>
      </c>
      <c r="AE17" s="14" t="n">
        <v>0.21</v>
      </c>
      <c r="AF17" s="14" t="n">
        <v>0.1</v>
      </c>
    </row>
    <row r="18">
      <c r="A18" s="20" t="n"/>
      <c r="B18" s="11" t="inlineStr">
        <is>
          <t>Pas du tout d’accord</t>
        </is>
      </c>
      <c r="C18" s="12" t="n">
        <v>2067</v>
      </c>
      <c r="D18" s="12" t="n">
        <v>66</v>
      </c>
      <c r="E18" s="12" t="n">
        <v>145</v>
      </c>
      <c r="F18" s="12" t="n">
        <v>136</v>
      </c>
      <c r="G18" s="12" t="n">
        <v>18</v>
      </c>
      <c r="H18" s="12" t="n">
        <v>34</v>
      </c>
      <c r="I18" s="12" t="n">
        <v>58</v>
      </c>
      <c r="J18" s="12" t="n">
        <v>24</v>
      </c>
      <c r="K18" s="12" t="n">
        <v>116</v>
      </c>
      <c r="L18" s="12" t="n">
        <v>78</v>
      </c>
      <c r="M18" s="12" t="n">
        <v>226</v>
      </c>
      <c r="N18" s="12" t="n">
        <v>110</v>
      </c>
      <c r="O18" s="12" t="n">
        <v>71</v>
      </c>
      <c r="P18" s="12" t="n">
        <v>61</v>
      </c>
      <c r="Q18" s="12" t="n">
        <v>118</v>
      </c>
      <c r="R18" s="12" t="n">
        <v>107</v>
      </c>
      <c r="S18" s="12" t="n">
        <v>80</v>
      </c>
      <c r="T18" s="12" t="n">
        <v>84</v>
      </c>
      <c r="U18" s="12" t="n">
        <v>15</v>
      </c>
      <c r="V18" s="12" t="n">
        <v>74</v>
      </c>
      <c r="W18" s="12" t="n">
        <v>40</v>
      </c>
      <c r="X18" s="12" t="n">
        <v>44</v>
      </c>
      <c r="Y18" s="12" t="n">
        <v>81</v>
      </c>
      <c r="Z18" s="12" t="n">
        <v>51</v>
      </c>
      <c r="AA18" s="12" t="n">
        <v>21</v>
      </c>
      <c r="AB18" s="12" t="n">
        <v>137</v>
      </c>
      <c r="AC18" s="12" t="n">
        <v>127</v>
      </c>
      <c r="AD18" s="12" t="n">
        <v>81</v>
      </c>
      <c r="AE18" s="12" t="n">
        <v>54</v>
      </c>
      <c r="AF18" s="12" t="n">
        <v>22</v>
      </c>
    </row>
    <row r="19">
      <c r="A19" s="20" t="n"/>
      <c r="B19" s="13" t="inlineStr">
        <is>
          <t>Totally disagree</t>
        </is>
      </c>
      <c r="C19" s="14" t="n">
        <v>0.08</v>
      </c>
      <c r="D19" s="14" t="n">
        <v>0.07000000000000001</v>
      </c>
      <c r="E19" s="14" t="n">
        <v>0.14</v>
      </c>
      <c r="F19" s="14" t="n">
        <v>0.13</v>
      </c>
      <c r="G19" s="14" t="n">
        <v>0.02</v>
      </c>
      <c r="H19" s="14" t="n">
        <v>0.03</v>
      </c>
      <c r="I19" s="14" t="n">
        <v>0.04</v>
      </c>
      <c r="J19" s="14" t="n">
        <v>0.08</v>
      </c>
      <c r="K19" s="14" t="n">
        <v>0.11</v>
      </c>
      <c r="L19" s="14" t="n">
        <v>0.08</v>
      </c>
      <c r="M19" s="14" t="n">
        <v>0.23</v>
      </c>
      <c r="N19" s="14" t="n">
        <v>0.11</v>
      </c>
      <c r="O19" s="14" t="n">
        <v>0.07000000000000001</v>
      </c>
      <c r="P19" s="14" t="n">
        <v>0.06</v>
      </c>
      <c r="Q19" s="14" t="n">
        <v>0.12</v>
      </c>
      <c r="R19" s="14" t="n">
        <v>0.21</v>
      </c>
      <c r="S19" s="14" t="n">
        <v>0.08</v>
      </c>
      <c r="T19" s="14" t="n">
        <v>0.08</v>
      </c>
      <c r="U19" s="14" t="n">
        <v>0.03</v>
      </c>
      <c r="V19" s="14" t="n">
        <v>0.07000000000000001</v>
      </c>
      <c r="W19" s="14" t="n">
        <v>0.08</v>
      </c>
      <c r="X19" s="14" t="n">
        <v>0.04</v>
      </c>
      <c r="Y19" s="14" t="n">
        <v>0.08</v>
      </c>
      <c r="Z19" s="14" t="n">
        <v>0.05</v>
      </c>
      <c r="AA19" s="14" t="n">
        <v>0.02</v>
      </c>
      <c r="AB19" s="14" t="n">
        <v>0.13</v>
      </c>
      <c r="AC19" s="14" t="n">
        <v>0.13</v>
      </c>
      <c r="AD19" s="14" t="n">
        <v>0.08</v>
      </c>
      <c r="AE19" s="14" t="n">
        <v>0.05</v>
      </c>
      <c r="AF19" s="14" t="n">
        <v>0.02</v>
      </c>
    </row>
    <row r="20">
      <c r="A20" s="20" t="n"/>
      <c r="B20" s="11" t="inlineStr">
        <is>
          <t>Ne sait pas</t>
        </is>
      </c>
      <c r="C20" s="12" t="n">
        <v>695</v>
      </c>
      <c r="D20" s="12" t="n">
        <v>13</v>
      </c>
      <c r="E20" s="12" t="n">
        <v>66</v>
      </c>
      <c r="F20" s="12" t="n">
        <v>22</v>
      </c>
      <c r="G20" s="12" t="n">
        <v>24</v>
      </c>
      <c r="H20" s="12" t="n">
        <v>32</v>
      </c>
      <c r="I20" s="12" t="n">
        <v>39</v>
      </c>
      <c r="J20" s="12" t="n">
        <v>6</v>
      </c>
      <c r="K20" s="12" t="n">
        <v>68</v>
      </c>
      <c r="L20" s="12" t="n">
        <v>39</v>
      </c>
      <c r="M20" s="12" t="n">
        <v>22</v>
      </c>
      <c r="N20" s="12" t="n">
        <v>24</v>
      </c>
      <c r="O20" s="12" t="n">
        <v>41</v>
      </c>
      <c r="P20" s="12" t="n">
        <v>61</v>
      </c>
      <c r="Q20" s="12" t="n">
        <v>12</v>
      </c>
      <c r="R20" s="12" t="n">
        <v>17</v>
      </c>
      <c r="S20" s="12" t="n">
        <v>61</v>
      </c>
      <c r="T20" s="12" t="n">
        <v>85</v>
      </c>
      <c r="U20" s="12" t="n">
        <v>27</v>
      </c>
      <c r="V20" s="12" t="n">
        <v>16</v>
      </c>
      <c r="W20" s="12" t="n">
        <v>17</v>
      </c>
      <c r="X20" s="12" t="n">
        <v>15</v>
      </c>
      <c r="Y20" s="12" t="n">
        <v>28</v>
      </c>
      <c r="Z20" s="12" t="n">
        <v>35</v>
      </c>
      <c r="AA20" s="12" t="n">
        <v>14</v>
      </c>
      <c r="AB20" s="12" t="n">
        <v>29</v>
      </c>
      <c r="AC20" s="12" t="n">
        <v>33</v>
      </c>
      <c r="AD20" s="12" t="n">
        <v>19</v>
      </c>
      <c r="AE20" s="12" t="n">
        <v>15</v>
      </c>
      <c r="AF20" s="12" t="n">
        <v>17</v>
      </c>
    </row>
    <row r="21">
      <c r="A21" s="23" t="n"/>
      <c r="B21" s="13" t="inlineStr">
        <is>
          <t>Don't know</t>
        </is>
      </c>
      <c r="C21" s="14" t="n">
        <v>0.03</v>
      </c>
      <c r="D21" s="14" t="n">
        <v>0.01</v>
      </c>
      <c r="E21" s="14" t="n">
        <v>0.06</v>
      </c>
      <c r="F21" s="14" t="n">
        <v>0.02</v>
      </c>
      <c r="G21" s="14" t="n">
        <v>0.02</v>
      </c>
      <c r="H21" s="14" t="n">
        <v>0.03</v>
      </c>
      <c r="I21" s="14" t="n">
        <v>0.03</v>
      </c>
      <c r="J21" s="14" t="n">
        <v>0.02</v>
      </c>
      <c r="K21" s="14" t="n">
        <v>0.07000000000000001</v>
      </c>
      <c r="L21" s="14" t="n">
        <v>0.04</v>
      </c>
      <c r="M21" s="14" t="n">
        <v>0.02</v>
      </c>
      <c r="N21" s="14" t="n">
        <v>0.02</v>
      </c>
      <c r="O21" s="14" t="n">
        <v>0.04</v>
      </c>
      <c r="P21" s="14" t="n">
        <v>0.06</v>
      </c>
      <c r="Q21" s="14" t="n">
        <v>0.01</v>
      </c>
      <c r="R21" s="14" t="n">
        <v>0.04</v>
      </c>
      <c r="S21" s="14" t="n">
        <v>0.06</v>
      </c>
      <c r="T21" s="14" t="n">
        <v>0.08</v>
      </c>
      <c r="U21" s="14" t="n">
        <v>0.05</v>
      </c>
      <c r="V21" s="14" t="n">
        <v>0.02</v>
      </c>
      <c r="W21" s="14" t="n">
        <v>0.04</v>
      </c>
      <c r="X21" s="14" t="n">
        <v>0.02</v>
      </c>
      <c r="Y21" s="14" t="n">
        <v>0.03</v>
      </c>
      <c r="Z21" s="14" t="n">
        <v>0.04</v>
      </c>
      <c r="AA21" s="14" t="n">
        <v>0.01</v>
      </c>
      <c r="AB21" s="14" t="n">
        <v>0.03</v>
      </c>
      <c r="AC21" s="14" t="n">
        <v>0.03</v>
      </c>
      <c r="AD21" s="14" t="n">
        <v>0.02</v>
      </c>
      <c r="AE21" s="14" t="n">
        <v>0.01</v>
      </c>
      <c r="AF21" s="14" t="n">
        <v>0.02</v>
      </c>
    </row>
    <row r="22">
      <c r="A22" s="19" t="n"/>
      <c r="B22" s="11" t="inlineStr">
        <is>
          <t>Total 'D'accord'</t>
        </is>
      </c>
      <c r="C22" s="12" t="n">
        <v>18262</v>
      </c>
      <c r="D22" s="12" t="n">
        <v>697</v>
      </c>
      <c r="E22" s="12" t="n">
        <v>553</v>
      </c>
      <c r="F22" s="12" t="n">
        <v>553</v>
      </c>
      <c r="G22" s="12" t="n">
        <v>899</v>
      </c>
      <c r="H22" s="12" t="n">
        <v>1027</v>
      </c>
      <c r="I22" s="12" t="n">
        <v>1221</v>
      </c>
      <c r="J22" s="12" t="n">
        <v>193</v>
      </c>
      <c r="K22" s="12" t="n">
        <v>575</v>
      </c>
      <c r="L22" s="12" t="n">
        <v>716</v>
      </c>
      <c r="M22" s="12" t="n">
        <v>403</v>
      </c>
      <c r="N22" s="12" t="n">
        <v>651</v>
      </c>
      <c r="O22" s="12" t="n">
        <v>713</v>
      </c>
      <c r="P22" s="12" t="n">
        <v>711</v>
      </c>
      <c r="Q22" s="12" t="n">
        <v>609</v>
      </c>
      <c r="R22" s="12" t="n">
        <v>218</v>
      </c>
      <c r="S22" s="12" t="n">
        <v>553</v>
      </c>
      <c r="T22" s="12" t="n">
        <v>585</v>
      </c>
      <c r="U22" s="12" t="n">
        <v>400</v>
      </c>
      <c r="V22" s="12" t="n">
        <v>732</v>
      </c>
      <c r="W22" s="12" t="n">
        <v>350</v>
      </c>
      <c r="X22" s="12" t="n">
        <v>762</v>
      </c>
      <c r="Y22" s="12" t="n">
        <v>655</v>
      </c>
      <c r="Z22" s="12" t="n">
        <v>736</v>
      </c>
      <c r="AA22" s="12" t="n">
        <v>889</v>
      </c>
      <c r="AB22" s="12" t="n">
        <v>587</v>
      </c>
      <c r="AC22" s="12" t="n">
        <v>564</v>
      </c>
      <c r="AD22" s="12" t="n">
        <v>673</v>
      </c>
      <c r="AE22" s="12" t="n">
        <v>734</v>
      </c>
      <c r="AF22" s="12" t="n">
        <v>897</v>
      </c>
    </row>
    <row r="23">
      <c r="A23" s="20" t="n"/>
      <c r="B23" s="13" t="inlineStr">
        <is>
          <t>Total 'Agree'</t>
        </is>
      </c>
      <c r="C23" s="14" t="n">
        <v>0.6900000000000001</v>
      </c>
      <c r="D23" s="14" t="n">
        <v>0.68</v>
      </c>
      <c r="E23" s="14" t="n">
        <v>0.55</v>
      </c>
      <c r="F23" s="14" t="n">
        <v>0.53</v>
      </c>
      <c r="G23" s="14" t="n">
        <v>0.89</v>
      </c>
      <c r="H23" s="14" t="n">
        <v>0.84</v>
      </c>
      <c r="I23" s="14" t="n">
        <v>0.8</v>
      </c>
      <c r="J23" s="14" t="n">
        <v>0.66</v>
      </c>
      <c r="K23" s="14" t="n">
        <v>0.5700000000000001</v>
      </c>
      <c r="L23" s="14" t="n">
        <v>0.71</v>
      </c>
      <c r="M23" s="14" t="n">
        <v>0.4</v>
      </c>
      <c r="N23" s="14" t="n">
        <v>0.65</v>
      </c>
      <c r="O23" s="14" t="n">
        <v>0.7000000000000001</v>
      </c>
      <c r="P23" s="14" t="n">
        <v>0.71</v>
      </c>
      <c r="Q23" s="14" t="n">
        <v>0.59</v>
      </c>
      <c r="R23" s="14" t="n">
        <v>0.43</v>
      </c>
      <c r="S23" s="14" t="n">
        <v>0.55</v>
      </c>
      <c r="T23" s="14" t="n">
        <v>0.58</v>
      </c>
      <c r="U23" s="14" t="n">
        <v>0.79</v>
      </c>
      <c r="V23" s="14" t="n">
        <v>0.72</v>
      </c>
      <c r="W23" s="14" t="n">
        <v>0.6900000000000001</v>
      </c>
      <c r="X23" s="14" t="n">
        <v>0.74</v>
      </c>
      <c r="Y23" s="14" t="n">
        <v>0.65</v>
      </c>
      <c r="Z23" s="14" t="n">
        <v>0.72</v>
      </c>
      <c r="AA23" s="14" t="n">
        <v>0.86</v>
      </c>
      <c r="AB23" s="14" t="n">
        <v>0.5600000000000001</v>
      </c>
      <c r="AC23" s="14" t="n">
        <v>0.5600000000000001</v>
      </c>
      <c r="AD23" s="14" t="n">
        <v>0.67</v>
      </c>
      <c r="AE23" s="14" t="n">
        <v>0.73</v>
      </c>
      <c r="AF23" s="14" t="n">
        <v>0.86</v>
      </c>
    </row>
    <row r="24">
      <c r="A24" s="20" t="n"/>
      <c r="B24" s="11" t="inlineStr">
        <is>
          <t>Total 'Pas d'accord'</t>
        </is>
      </c>
      <c r="C24" s="12" t="n">
        <v>7465</v>
      </c>
      <c r="D24" s="12" t="n">
        <v>311</v>
      </c>
      <c r="E24" s="12" t="n">
        <v>394</v>
      </c>
      <c r="F24" s="12" t="n">
        <v>475</v>
      </c>
      <c r="G24" s="12" t="n">
        <v>85</v>
      </c>
      <c r="H24" s="12" t="n">
        <v>155</v>
      </c>
      <c r="I24" s="12" t="n">
        <v>248</v>
      </c>
      <c r="J24" s="12" t="n">
        <v>93</v>
      </c>
      <c r="K24" s="12" t="n">
        <v>363</v>
      </c>
      <c r="L24" s="12" t="n">
        <v>254</v>
      </c>
      <c r="M24" s="12" t="n">
        <v>583</v>
      </c>
      <c r="N24" s="12" t="n">
        <v>331</v>
      </c>
      <c r="O24" s="12" t="n">
        <v>262</v>
      </c>
      <c r="P24" s="12" t="n">
        <v>234</v>
      </c>
      <c r="Q24" s="12" t="n">
        <v>409</v>
      </c>
      <c r="R24" s="12" t="n">
        <v>268</v>
      </c>
      <c r="S24" s="12" t="n">
        <v>391</v>
      </c>
      <c r="T24" s="12" t="n">
        <v>348</v>
      </c>
      <c r="U24" s="12" t="n">
        <v>81</v>
      </c>
      <c r="V24" s="12" t="n">
        <v>272</v>
      </c>
      <c r="W24" s="12" t="n">
        <v>137</v>
      </c>
      <c r="X24" s="12" t="n">
        <v>245</v>
      </c>
      <c r="Y24" s="12" t="n">
        <v>320</v>
      </c>
      <c r="Z24" s="12" t="n">
        <v>249</v>
      </c>
      <c r="AA24" s="12" t="n">
        <v>128</v>
      </c>
      <c r="AB24" s="12" t="n">
        <v>430</v>
      </c>
      <c r="AC24" s="12" t="n">
        <v>410</v>
      </c>
      <c r="AD24" s="12" t="n">
        <v>309</v>
      </c>
      <c r="AE24" s="12" t="n">
        <v>267</v>
      </c>
      <c r="AF24" s="12" t="n">
        <v>124</v>
      </c>
    </row>
    <row r="25">
      <c r="A25" s="23" t="n"/>
      <c r="B25" s="13" t="inlineStr">
        <is>
          <t>Total 'Disagree'</t>
        </is>
      </c>
      <c r="C25" s="14" t="n">
        <v>0.28</v>
      </c>
      <c r="D25" s="14" t="n">
        <v>0.31</v>
      </c>
      <c r="E25" s="14" t="n">
        <v>0.39</v>
      </c>
      <c r="F25" s="14" t="n">
        <v>0.45</v>
      </c>
      <c r="G25" s="14" t="n">
        <v>0.09</v>
      </c>
      <c r="H25" s="14" t="n">
        <v>0.13</v>
      </c>
      <c r="I25" s="14" t="n">
        <v>0.17</v>
      </c>
      <c r="J25" s="14" t="n">
        <v>0.32</v>
      </c>
      <c r="K25" s="14" t="n">
        <v>0.36</v>
      </c>
      <c r="L25" s="14" t="n">
        <v>0.25</v>
      </c>
      <c r="M25" s="14" t="n">
        <v>0.58</v>
      </c>
      <c r="N25" s="14" t="n">
        <v>0.33</v>
      </c>
      <c r="O25" s="14" t="n">
        <v>0.26</v>
      </c>
      <c r="P25" s="14" t="n">
        <v>0.23</v>
      </c>
      <c r="Q25" s="14" t="n">
        <v>0.4</v>
      </c>
      <c r="R25" s="14" t="n">
        <v>0.53</v>
      </c>
      <c r="S25" s="14" t="n">
        <v>0.39</v>
      </c>
      <c r="T25" s="14" t="n">
        <v>0.34</v>
      </c>
      <c r="U25" s="14" t="n">
        <v>0.16</v>
      </c>
      <c r="V25" s="14" t="n">
        <v>0.26</v>
      </c>
      <c r="W25" s="14" t="n">
        <v>0.27</v>
      </c>
      <c r="X25" s="14" t="n">
        <v>0.24</v>
      </c>
      <c r="Y25" s="14" t="n">
        <v>0.32</v>
      </c>
      <c r="Z25" s="14" t="n">
        <v>0.24</v>
      </c>
      <c r="AA25" s="14" t="n">
        <v>0.13</v>
      </c>
      <c r="AB25" s="14" t="n">
        <v>0.41</v>
      </c>
      <c r="AC25" s="14" t="n">
        <v>0.41</v>
      </c>
      <c r="AD25" s="14" t="n">
        <v>0.31</v>
      </c>
      <c r="AE25" s="14" t="n">
        <v>0.26</v>
      </c>
      <c r="AF25" s="14" t="n">
        <v>0.12</v>
      </c>
    </row>
  </sheetData>
  <mergeCells count="10">
    <mergeCell ref="B4:F4"/>
    <mergeCell ref="H3:L3"/>
    <mergeCell ref="A10:A21"/>
    <mergeCell ref="C8:AF8"/>
    <mergeCell ref="B3:F3"/>
    <mergeCell ref="B5:F5"/>
    <mergeCell ref="H5:L5"/>
    <mergeCell ref="B10:B11"/>
    <mergeCell ref="H4:L4"/>
    <mergeCell ref="A22:A25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48" customHeight="1" s="18">
      <c r="B3" s="21" t="inlineStr">
        <is>
          <t>D1. A propos de politique, les gens parlent de "la gauche" et de "la droite". Vous‐même, pourriez‐vous situer votre position sur cette échelle de 1 à 10, où ’1’ signifie "gauche" et ’10’ signifie "droite" ? Quel numéro décrit le mieux votre position ?</t>
        </is>
      </c>
      <c r="H3" s="21" t="inlineStr">
        <is>
          <t>D1. In political matters people talk of "the left" and "the right". How would you place your views on this scale?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HYPERLINK("#Content!A81","&lt;&lt;Back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1 Gauche</t>
        </is>
      </c>
      <c r="C12" s="12" t="n">
        <v>890</v>
      </c>
      <c r="D12" s="12" t="n">
        <v>29</v>
      </c>
      <c r="E12" s="12" t="n">
        <v>50</v>
      </c>
      <c r="F12" s="12" t="n">
        <v>21</v>
      </c>
      <c r="G12" s="12" t="n">
        <v>44</v>
      </c>
      <c r="H12" s="12" t="n">
        <v>30</v>
      </c>
      <c r="I12" s="12" t="n">
        <v>41</v>
      </c>
      <c r="J12" s="12" t="n">
        <v>11</v>
      </c>
      <c r="K12" s="12" t="n">
        <v>29</v>
      </c>
      <c r="L12" s="12" t="n">
        <v>15</v>
      </c>
      <c r="M12" s="12" t="n">
        <v>12</v>
      </c>
      <c r="N12" s="12" t="n">
        <v>53</v>
      </c>
      <c r="O12" s="12" t="n">
        <v>32</v>
      </c>
      <c r="P12" s="12" t="n">
        <v>61</v>
      </c>
      <c r="Q12" s="12" t="n">
        <v>23</v>
      </c>
      <c r="R12" s="12" t="n">
        <v>20</v>
      </c>
      <c r="S12" s="12" t="n">
        <v>13</v>
      </c>
      <c r="T12" s="12" t="n">
        <v>35</v>
      </c>
      <c r="U12" s="12" t="n">
        <v>6</v>
      </c>
      <c r="V12" s="12" t="n">
        <v>34</v>
      </c>
      <c r="W12" s="12" t="n">
        <v>21</v>
      </c>
      <c r="X12" s="12" t="n">
        <v>22</v>
      </c>
      <c r="Y12" s="12" t="n">
        <v>30</v>
      </c>
      <c r="Z12" s="12" t="n">
        <v>35</v>
      </c>
      <c r="AA12" s="12" t="n">
        <v>59</v>
      </c>
      <c r="AB12" s="12" t="n">
        <v>58</v>
      </c>
      <c r="AC12" s="12" t="n">
        <v>61</v>
      </c>
      <c r="AD12" s="12" t="n">
        <v>34</v>
      </c>
      <c r="AE12" s="12" t="n">
        <v>34</v>
      </c>
      <c r="AF12" s="12" t="n">
        <v>62</v>
      </c>
    </row>
    <row r="13">
      <c r="A13" s="20" t="n"/>
      <c r="B13" s="13" t="inlineStr">
        <is>
          <t>1 Left</t>
        </is>
      </c>
      <c r="C13" s="14" t="n">
        <v>0.03</v>
      </c>
      <c r="D13" s="14" t="n">
        <v>0.03</v>
      </c>
      <c r="E13" s="14" t="n">
        <v>0.05</v>
      </c>
      <c r="F13" s="14" t="n">
        <v>0.02</v>
      </c>
      <c r="G13" s="14" t="n">
        <v>0.04</v>
      </c>
      <c r="H13" s="14" t="n">
        <v>0.02</v>
      </c>
      <c r="I13" s="14" t="n">
        <v>0.03</v>
      </c>
      <c r="J13" s="14" t="n">
        <v>0.04</v>
      </c>
      <c r="K13" s="14" t="n">
        <v>0.03</v>
      </c>
      <c r="L13" s="14" t="n">
        <v>0.01</v>
      </c>
      <c r="M13" s="14" t="n">
        <v>0.01</v>
      </c>
      <c r="N13" s="14" t="n">
        <v>0.05</v>
      </c>
      <c r="O13" s="14" t="n">
        <v>0.03</v>
      </c>
      <c r="P13" s="14" t="n">
        <v>0.06</v>
      </c>
      <c r="Q13" s="14" t="n">
        <v>0.02</v>
      </c>
      <c r="R13" s="14" t="n">
        <v>0.04</v>
      </c>
      <c r="S13" s="14" t="n">
        <v>0.01</v>
      </c>
      <c r="T13" s="14" t="n">
        <v>0.03</v>
      </c>
      <c r="U13" s="14" t="n">
        <v>0.01</v>
      </c>
      <c r="V13" s="14" t="n">
        <v>0.03</v>
      </c>
      <c r="W13" s="14" t="n">
        <v>0.04</v>
      </c>
      <c r="X13" s="14" t="n">
        <v>0.02</v>
      </c>
      <c r="Y13" s="14" t="n">
        <v>0.03</v>
      </c>
      <c r="Z13" s="14" t="n">
        <v>0.04</v>
      </c>
      <c r="AA13" s="14" t="n">
        <v>0.06</v>
      </c>
      <c r="AB13" s="14" t="n">
        <v>0.05</v>
      </c>
      <c r="AC13" s="14" t="n">
        <v>0.06</v>
      </c>
      <c r="AD13" s="14" t="n">
        <v>0.03</v>
      </c>
      <c r="AE13" s="14" t="n">
        <v>0.03</v>
      </c>
      <c r="AF13" s="14" t="n">
        <v>0.06</v>
      </c>
    </row>
    <row r="14">
      <c r="A14" s="20" t="n"/>
      <c r="B14" s="11" t="inlineStr">
        <is>
          <t>2</t>
        </is>
      </c>
      <c r="C14" s="12" t="n">
        <v>993</v>
      </c>
      <c r="D14" s="12" t="n">
        <v>46</v>
      </c>
      <c r="E14" s="12" t="n">
        <v>32</v>
      </c>
      <c r="F14" s="12" t="n">
        <v>27</v>
      </c>
      <c r="G14" s="12" t="n">
        <v>64</v>
      </c>
      <c r="H14" s="12" t="n">
        <v>66</v>
      </c>
      <c r="I14" s="12" t="n">
        <v>71</v>
      </c>
      <c r="J14" s="12" t="n">
        <v>6</v>
      </c>
      <c r="K14" s="12" t="n">
        <v>36</v>
      </c>
      <c r="L14" s="12" t="n">
        <v>23</v>
      </c>
      <c r="M14" s="12" t="n">
        <v>44</v>
      </c>
      <c r="N14" s="12" t="n">
        <v>36</v>
      </c>
      <c r="O14" s="12" t="n">
        <v>44</v>
      </c>
      <c r="P14" s="12" t="n">
        <v>13</v>
      </c>
      <c r="Q14" s="12" t="n">
        <v>30</v>
      </c>
      <c r="R14" s="12" t="n">
        <v>10</v>
      </c>
      <c r="S14" s="12" t="n">
        <v>10</v>
      </c>
      <c r="T14" s="12" t="n">
        <v>37</v>
      </c>
      <c r="U14" s="12" t="n">
        <v>11</v>
      </c>
      <c r="V14" s="12" t="n">
        <v>23</v>
      </c>
      <c r="W14" s="12" t="n">
        <v>24</v>
      </c>
      <c r="X14" s="12" t="n">
        <v>68</v>
      </c>
      <c r="Y14" s="12" t="n">
        <v>35</v>
      </c>
      <c r="Z14" s="12" t="n">
        <v>28</v>
      </c>
      <c r="AA14" s="12" t="n">
        <v>14</v>
      </c>
      <c r="AB14" s="12" t="n">
        <v>19</v>
      </c>
      <c r="AC14" s="12" t="n">
        <v>35</v>
      </c>
      <c r="AD14" s="12" t="n">
        <v>40</v>
      </c>
      <c r="AE14" s="12" t="n">
        <v>44</v>
      </c>
      <c r="AF14" s="12" t="n">
        <v>49</v>
      </c>
    </row>
    <row r="15">
      <c r="A15" s="20" t="n"/>
      <c r="B15" s="13" t="inlineStr">
        <is>
          <t>2</t>
        </is>
      </c>
      <c r="C15" s="14" t="n">
        <v>0.04</v>
      </c>
      <c r="D15" s="14" t="n">
        <v>0.05</v>
      </c>
      <c r="E15" s="14" t="n">
        <v>0.03</v>
      </c>
      <c r="F15" s="14" t="n">
        <v>0.02</v>
      </c>
      <c r="G15" s="14" t="n">
        <v>0.06</v>
      </c>
      <c r="H15" s="14" t="n">
        <v>0.05</v>
      </c>
      <c r="I15" s="14" t="n">
        <v>0.05</v>
      </c>
      <c r="J15" s="14" t="n">
        <v>0.02</v>
      </c>
      <c r="K15" s="14" t="n">
        <v>0.03</v>
      </c>
      <c r="L15" s="14" t="n">
        <v>0.02</v>
      </c>
      <c r="M15" s="14" t="n">
        <v>0.04</v>
      </c>
      <c r="N15" s="14" t="n">
        <v>0.04</v>
      </c>
      <c r="O15" s="14" t="n">
        <v>0.04</v>
      </c>
      <c r="P15" s="14" t="n">
        <v>0.01</v>
      </c>
      <c r="Q15" s="14" t="n">
        <v>0.03</v>
      </c>
      <c r="R15" s="14" t="n">
        <v>0.02</v>
      </c>
      <c r="S15" s="14" t="n">
        <v>0.01</v>
      </c>
      <c r="T15" s="14" t="n">
        <v>0.04</v>
      </c>
      <c r="U15" s="14" t="n">
        <v>0.02</v>
      </c>
      <c r="V15" s="14" t="n">
        <v>0.02</v>
      </c>
      <c r="W15" s="14" t="n">
        <v>0.05</v>
      </c>
      <c r="X15" s="14" t="n">
        <v>0.07000000000000001</v>
      </c>
      <c r="Y15" s="14" t="n">
        <v>0.03</v>
      </c>
      <c r="Z15" s="14" t="n">
        <v>0.03</v>
      </c>
      <c r="AA15" s="14" t="n">
        <v>0.01</v>
      </c>
      <c r="AB15" s="14" t="n">
        <v>0.02</v>
      </c>
      <c r="AC15" s="14" t="n">
        <v>0.03</v>
      </c>
      <c r="AD15" s="14" t="n">
        <v>0.04</v>
      </c>
      <c r="AE15" s="14" t="n">
        <v>0.04</v>
      </c>
      <c r="AF15" s="14" t="n">
        <v>0.05</v>
      </c>
    </row>
    <row r="16">
      <c r="A16" s="20" t="n"/>
      <c r="B16" s="11" t="inlineStr">
        <is>
          <t>3</t>
        </is>
      </c>
      <c r="C16" s="12" t="n">
        <v>2456</v>
      </c>
      <c r="D16" s="12" t="n">
        <v>101</v>
      </c>
      <c r="E16" s="12" t="n">
        <v>63</v>
      </c>
      <c r="F16" s="12" t="n">
        <v>69</v>
      </c>
      <c r="G16" s="12" t="n">
        <v>129</v>
      </c>
      <c r="H16" s="12" t="n">
        <v>120</v>
      </c>
      <c r="I16" s="12" t="n">
        <v>143</v>
      </c>
      <c r="J16" s="12" t="n">
        <v>23</v>
      </c>
      <c r="K16" s="12" t="n">
        <v>47</v>
      </c>
      <c r="L16" s="12" t="n">
        <v>87</v>
      </c>
      <c r="M16" s="12" t="n">
        <v>87</v>
      </c>
      <c r="N16" s="12" t="n">
        <v>113</v>
      </c>
      <c r="O16" s="12" t="n">
        <v>103</v>
      </c>
      <c r="P16" s="12" t="n">
        <v>69</v>
      </c>
      <c r="Q16" s="12" t="n">
        <v>97</v>
      </c>
      <c r="R16" s="12" t="n">
        <v>25</v>
      </c>
      <c r="S16" s="12" t="n">
        <v>27</v>
      </c>
      <c r="T16" s="12" t="n">
        <v>49</v>
      </c>
      <c r="U16" s="12" t="n">
        <v>48</v>
      </c>
      <c r="V16" s="12" t="n">
        <v>71</v>
      </c>
      <c r="W16" s="12" t="n">
        <v>36</v>
      </c>
      <c r="X16" s="12" t="n">
        <v>122</v>
      </c>
      <c r="Y16" s="12" t="n">
        <v>110</v>
      </c>
      <c r="Z16" s="12" t="n">
        <v>69</v>
      </c>
      <c r="AA16" s="12" t="n">
        <v>96</v>
      </c>
      <c r="AB16" s="12" t="n">
        <v>44</v>
      </c>
      <c r="AC16" s="12" t="n">
        <v>77</v>
      </c>
      <c r="AD16" s="12" t="n">
        <v>67</v>
      </c>
      <c r="AE16" s="12" t="n">
        <v>95</v>
      </c>
      <c r="AF16" s="12" t="n">
        <v>167</v>
      </c>
    </row>
    <row r="17">
      <c r="A17" s="20" t="n"/>
      <c r="B17" s="13" t="inlineStr">
        <is>
          <t>3</t>
        </is>
      </c>
      <c r="C17" s="14" t="n">
        <v>0.09</v>
      </c>
      <c r="D17" s="14" t="n">
        <v>0.1</v>
      </c>
      <c r="E17" s="14" t="n">
        <v>0.06</v>
      </c>
      <c r="F17" s="14" t="n">
        <v>0.07000000000000001</v>
      </c>
      <c r="G17" s="14" t="n">
        <v>0.13</v>
      </c>
      <c r="H17" s="14" t="n">
        <v>0.1</v>
      </c>
      <c r="I17" s="14" t="n">
        <v>0.09</v>
      </c>
      <c r="J17" s="14" t="n">
        <v>0.08</v>
      </c>
      <c r="K17" s="14" t="n">
        <v>0.05</v>
      </c>
      <c r="L17" s="14" t="n">
        <v>0.09</v>
      </c>
      <c r="M17" s="14" t="n">
        <v>0.09</v>
      </c>
      <c r="N17" s="14" t="n">
        <v>0.11</v>
      </c>
      <c r="O17" s="14" t="n">
        <v>0.1</v>
      </c>
      <c r="P17" s="14" t="n">
        <v>0.07000000000000001</v>
      </c>
      <c r="Q17" s="14" t="n">
        <v>0.09</v>
      </c>
      <c r="R17" s="14" t="n">
        <v>0.05</v>
      </c>
      <c r="S17" s="14" t="n">
        <v>0.03</v>
      </c>
      <c r="T17" s="14" t="n">
        <v>0.05</v>
      </c>
      <c r="U17" s="14" t="n">
        <v>0.1</v>
      </c>
      <c r="V17" s="14" t="n">
        <v>0.07000000000000001</v>
      </c>
      <c r="W17" s="14" t="n">
        <v>0.07000000000000001</v>
      </c>
      <c r="X17" s="14" t="n">
        <v>0.12</v>
      </c>
      <c r="Y17" s="14" t="n">
        <v>0.11</v>
      </c>
      <c r="Z17" s="14" t="n">
        <v>0.07000000000000001</v>
      </c>
      <c r="AA17" s="14" t="n">
        <v>0.09</v>
      </c>
      <c r="AB17" s="14" t="n">
        <v>0.04</v>
      </c>
      <c r="AC17" s="14" t="n">
        <v>0.08</v>
      </c>
      <c r="AD17" s="14" t="n">
        <v>0.07000000000000001</v>
      </c>
      <c r="AE17" s="14" t="n">
        <v>0.09</v>
      </c>
      <c r="AF17" s="14" t="n">
        <v>0.16</v>
      </c>
    </row>
    <row r="18">
      <c r="A18" s="20" t="n"/>
      <c r="B18" s="11" t="inlineStr">
        <is>
          <t>4</t>
        </is>
      </c>
      <c r="C18" s="12" t="n">
        <v>3029</v>
      </c>
      <c r="D18" s="12" t="n">
        <v>124</v>
      </c>
      <c r="E18" s="12" t="n">
        <v>80</v>
      </c>
      <c r="F18" s="12" t="n">
        <v>101</v>
      </c>
      <c r="G18" s="12" t="n">
        <v>123</v>
      </c>
      <c r="H18" s="12" t="n">
        <v>142</v>
      </c>
      <c r="I18" s="12" t="n">
        <v>177</v>
      </c>
      <c r="J18" s="12" t="n">
        <v>35</v>
      </c>
      <c r="K18" s="12" t="n">
        <v>76</v>
      </c>
      <c r="L18" s="12" t="n">
        <v>98</v>
      </c>
      <c r="M18" s="12" t="n">
        <v>119</v>
      </c>
      <c r="N18" s="12" t="n">
        <v>135</v>
      </c>
      <c r="O18" s="12" t="n">
        <v>90</v>
      </c>
      <c r="P18" s="12" t="n">
        <v>114</v>
      </c>
      <c r="Q18" s="12" t="n">
        <v>130</v>
      </c>
      <c r="R18" s="12" t="n">
        <v>22</v>
      </c>
      <c r="S18" s="12" t="n">
        <v>29</v>
      </c>
      <c r="T18" s="12" t="n">
        <v>51</v>
      </c>
      <c r="U18" s="12" t="n">
        <v>57</v>
      </c>
      <c r="V18" s="12" t="n">
        <v>113</v>
      </c>
      <c r="W18" s="12" t="n">
        <v>40</v>
      </c>
      <c r="X18" s="12" t="n">
        <v>141</v>
      </c>
      <c r="Y18" s="12" t="n">
        <v>133</v>
      </c>
      <c r="Z18" s="12" t="n">
        <v>126</v>
      </c>
      <c r="AA18" s="12" t="n">
        <v>108</v>
      </c>
      <c r="AB18" s="12" t="n">
        <v>71</v>
      </c>
      <c r="AC18" s="12" t="n">
        <v>76</v>
      </c>
      <c r="AD18" s="12" t="n">
        <v>93</v>
      </c>
      <c r="AE18" s="12" t="n">
        <v>125</v>
      </c>
      <c r="AF18" s="12" t="n">
        <v>213</v>
      </c>
    </row>
    <row r="19">
      <c r="A19" s="20" t="n"/>
      <c r="B19" s="13" t="inlineStr">
        <is>
          <t>4</t>
        </is>
      </c>
      <c r="C19" s="14" t="n">
        <v>0.11</v>
      </c>
      <c r="D19" s="14" t="n">
        <v>0.12</v>
      </c>
      <c r="E19" s="14" t="n">
        <v>0.08</v>
      </c>
      <c r="F19" s="14" t="n">
        <v>0.1</v>
      </c>
      <c r="G19" s="14" t="n">
        <v>0.12</v>
      </c>
      <c r="H19" s="14" t="n">
        <v>0.12</v>
      </c>
      <c r="I19" s="14" t="n">
        <v>0.12</v>
      </c>
      <c r="J19" s="14" t="n">
        <v>0.12</v>
      </c>
      <c r="K19" s="14" t="n">
        <v>0.08</v>
      </c>
      <c r="L19" s="14" t="n">
        <v>0.1</v>
      </c>
      <c r="M19" s="14" t="n">
        <v>0.12</v>
      </c>
      <c r="N19" s="14" t="n">
        <v>0.14</v>
      </c>
      <c r="O19" s="14" t="n">
        <v>0.09</v>
      </c>
      <c r="P19" s="14" t="n">
        <v>0.11</v>
      </c>
      <c r="Q19" s="14" t="n">
        <v>0.13</v>
      </c>
      <c r="R19" s="14" t="n">
        <v>0.04</v>
      </c>
      <c r="S19" s="14" t="n">
        <v>0.03</v>
      </c>
      <c r="T19" s="14" t="n">
        <v>0.05</v>
      </c>
      <c r="U19" s="14" t="n">
        <v>0.11</v>
      </c>
      <c r="V19" s="14" t="n">
        <v>0.11</v>
      </c>
      <c r="W19" s="14" t="n">
        <v>0.08</v>
      </c>
      <c r="X19" s="14" t="n">
        <v>0.14</v>
      </c>
      <c r="Y19" s="14" t="n">
        <v>0.13</v>
      </c>
      <c r="Z19" s="14" t="n">
        <v>0.12</v>
      </c>
      <c r="AA19" s="14" t="n">
        <v>0.11</v>
      </c>
      <c r="AB19" s="14" t="n">
        <v>0.07000000000000001</v>
      </c>
      <c r="AC19" s="14" t="n">
        <v>0.08</v>
      </c>
      <c r="AD19" s="14" t="n">
        <v>0.09</v>
      </c>
      <c r="AE19" s="14" t="n">
        <v>0.12</v>
      </c>
      <c r="AF19" s="14" t="n">
        <v>0.21</v>
      </c>
    </row>
    <row r="20">
      <c r="A20" s="20" t="n"/>
      <c r="B20" s="11" t="inlineStr">
        <is>
          <t>5</t>
        </is>
      </c>
      <c r="C20" s="12" t="n">
        <v>6070</v>
      </c>
      <c r="D20" s="12" t="n">
        <v>291</v>
      </c>
      <c r="E20" s="12" t="n">
        <v>175</v>
      </c>
      <c r="F20" s="12" t="n">
        <v>282</v>
      </c>
      <c r="G20" s="12" t="n">
        <v>171</v>
      </c>
      <c r="H20" s="12" t="n">
        <v>367</v>
      </c>
      <c r="I20" s="12" t="n">
        <v>453</v>
      </c>
      <c r="J20" s="12" t="n">
        <v>86</v>
      </c>
      <c r="K20" s="12" t="n">
        <v>213</v>
      </c>
      <c r="L20" s="12" t="n">
        <v>446</v>
      </c>
      <c r="M20" s="12" t="n">
        <v>239</v>
      </c>
      <c r="N20" s="12" t="n">
        <v>254</v>
      </c>
      <c r="O20" s="12" t="n">
        <v>183</v>
      </c>
      <c r="P20" s="12" t="n">
        <v>224</v>
      </c>
      <c r="Q20" s="12" t="n">
        <v>188</v>
      </c>
      <c r="R20" s="12" t="n">
        <v>109</v>
      </c>
      <c r="S20" s="12" t="n">
        <v>218</v>
      </c>
      <c r="T20" s="12" t="n">
        <v>236</v>
      </c>
      <c r="U20" s="12" t="n">
        <v>205</v>
      </c>
      <c r="V20" s="12" t="n">
        <v>196</v>
      </c>
      <c r="W20" s="12" t="n">
        <v>127</v>
      </c>
      <c r="X20" s="12" t="n">
        <v>181</v>
      </c>
      <c r="Y20" s="12" t="n">
        <v>211</v>
      </c>
      <c r="Z20" s="12" t="n">
        <v>241</v>
      </c>
      <c r="AA20" s="12" t="n">
        <v>258</v>
      </c>
      <c r="AB20" s="12" t="n">
        <v>221</v>
      </c>
      <c r="AC20" s="12" t="n">
        <v>321</v>
      </c>
      <c r="AD20" s="12" t="n">
        <v>219</v>
      </c>
      <c r="AE20" s="12" t="n">
        <v>174</v>
      </c>
      <c r="AF20" s="12" t="n">
        <v>144</v>
      </c>
    </row>
    <row r="21">
      <c r="A21" s="20" t="n"/>
      <c r="B21" s="13" t="inlineStr">
        <is>
          <t>5</t>
        </is>
      </c>
      <c r="C21" s="14" t="n">
        <v>0.23</v>
      </c>
      <c r="D21" s="14" t="n">
        <v>0.29</v>
      </c>
      <c r="E21" s="14" t="n">
        <v>0.17</v>
      </c>
      <c r="F21" s="14" t="n">
        <v>0.27</v>
      </c>
      <c r="G21" s="14" t="n">
        <v>0.17</v>
      </c>
      <c r="H21" s="14" t="n">
        <v>0.3</v>
      </c>
      <c r="I21" s="14" t="n">
        <v>0.3</v>
      </c>
      <c r="J21" s="14" t="n">
        <v>0.29</v>
      </c>
      <c r="K21" s="14" t="n">
        <v>0.21</v>
      </c>
      <c r="L21" s="14" t="n">
        <v>0.44</v>
      </c>
      <c r="M21" s="14" t="n">
        <v>0.24</v>
      </c>
      <c r="N21" s="14" t="n">
        <v>0.25</v>
      </c>
      <c r="O21" s="14" t="n">
        <v>0.18</v>
      </c>
      <c r="P21" s="14" t="n">
        <v>0.22</v>
      </c>
      <c r="Q21" s="14" t="n">
        <v>0.18</v>
      </c>
      <c r="R21" s="14" t="n">
        <v>0.22</v>
      </c>
      <c r="S21" s="14" t="n">
        <v>0.22</v>
      </c>
      <c r="T21" s="14" t="n">
        <v>0.23</v>
      </c>
      <c r="U21" s="14" t="n">
        <v>0.4</v>
      </c>
      <c r="V21" s="14" t="n">
        <v>0.19</v>
      </c>
      <c r="W21" s="14" t="n">
        <v>0.25</v>
      </c>
      <c r="X21" s="14" t="n">
        <v>0.18</v>
      </c>
      <c r="Y21" s="14" t="n">
        <v>0.21</v>
      </c>
      <c r="Z21" s="14" t="n">
        <v>0.24</v>
      </c>
      <c r="AA21" s="14" t="n">
        <v>0.25</v>
      </c>
      <c r="AB21" s="14" t="n">
        <v>0.21</v>
      </c>
      <c r="AC21" s="14" t="n">
        <v>0.32</v>
      </c>
      <c r="AD21" s="14" t="n">
        <v>0.22</v>
      </c>
      <c r="AE21" s="14" t="n">
        <v>0.17</v>
      </c>
      <c r="AF21" s="14" t="n">
        <v>0.14</v>
      </c>
    </row>
    <row r="22">
      <c r="A22" s="20" t="n"/>
      <c r="B22" s="11" t="inlineStr">
        <is>
          <t>6</t>
        </is>
      </c>
      <c r="C22" s="12" t="n">
        <v>3570</v>
      </c>
      <c r="D22" s="12" t="n">
        <v>147</v>
      </c>
      <c r="E22" s="12" t="n">
        <v>125</v>
      </c>
      <c r="F22" s="12" t="n">
        <v>182</v>
      </c>
      <c r="G22" s="12" t="n">
        <v>120</v>
      </c>
      <c r="H22" s="12" t="n">
        <v>194</v>
      </c>
      <c r="I22" s="12" t="n">
        <v>240</v>
      </c>
      <c r="J22" s="12" t="n">
        <v>46</v>
      </c>
      <c r="K22" s="12" t="n">
        <v>135</v>
      </c>
      <c r="L22" s="12" t="n">
        <v>146</v>
      </c>
      <c r="M22" s="12" t="n">
        <v>62</v>
      </c>
      <c r="N22" s="12" t="n">
        <v>112</v>
      </c>
      <c r="O22" s="12" t="n">
        <v>104</v>
      </c>
      <c r="P22" s="12" t="n">
        <v>125</v>
      </c>
      <c r="Q22" s="12" t="n">
        <v>151</v>
      </c>
      <c r="R22" s="12" t="n">
        <v>37</v>
      </c>
      <c r="S22" s="12" t="n">
        <v>150</v>
      </c>
      <c r="T22" s="12" t="n">
        <v>98</v>
      </c>
      <c r="U22" s="12" t="n">
        <v>57</v>
      </c>
      <c r="V22" s="12" t="n">
        <v>200</v>
      </c>
      <c r="W22" s="12" t="n">
        <v>51</v>
      </c>
      <c r="X22" s="12" t="n">
        <v>178</v>
      </c>
      <c r="Y22" s="12" t="n">
        <v>140</v>
      </c>
      <c r="Z22" s="12" t="n">
        <v>167</v>
      </c>
      <c r="AA22" s="12" t="n">
        <v>77</v>
      </c>
      <c r="AB22" s="12" t="n">
        <v>132</v>
      </c>
      <c r="AC22" s="12" t="n">
        <v>58</v>
      </c>
      <c r="AD22" s="12" t="n">
        <v>138</v>
      </c>
      <c r="AE22" s="12" t="n">
        <v>153</v>
      </c>
      <c r="AF22" s="12" t="n">
        <v>118</v>
      </c>
    </row>
    <row r="23">
      <c r="A23" s="20" t="n"/>
      <c r="B23" s="13" t="inlineStr">
        <is>
          <t>6</t>
        </is>
      </c>
      <c r="C23" s="14" t="n">
        <v>0.14</v>
      </c>
      <c r="D23" s="14" t="n">
        <v>0.14</v>
      </c>
      <c r="E23" s="14" t="n">
        <v>0.12</v>
      </c>
      <c r="F23" s="14" t="n">
        <v>0.17</v>
      </c>
      <c r="G23" s="14" t="n">
        <v>0.12</v>
      </c>
      <c r="H23" s="14" t="n">
        <v>0.16</v>
      </c>
      <c r="I23" s="14" t="n">
        <v>0.16</v>
      </c>
      <c r="J23" s="14" t="n">
        <v>0.16</v>
      </c>
      <c r="K23" s="14" t="n">
        <v>0.13</v>
      </c>
      <c r="L23" s="14" t="n">
        <v>0.14</v>
      </c>
      <c r="M23" s="14" t="n">
        <v>0.06</v>
      </c>
      <c r="N23" s="14" t="n">
        <v>0.11</v>
      </c>
      <c r="O23" s="14" t="n">
        <v>0.1</v>
      </c>
      <c r="P23" s="14" t="n">
        <v>0.12</v>
      </c>
      <c r="Q23" s="14" t="n">
        <v>0.15</v>
      </c>
      <c r="R23" s="14" t="n">
        <v>0.07000000000000001</v>
      </c>
      <c r="S23" s="14" t="n">
        <v>0.15</v>
      </c>
      <c r="T23" s="14" t="n">
        <v>0.1</v>
      </c>
      <c r="U23" s="14" t="n">
        <v>0.11</v>
      </c>
      <c r="V23" s="14" t="n">
        <v>0.2</v>
      </c>
      <c r="W23" s="14" t="n">
        <v>0.1</v>
      </c>
      <c r="X23" s="14" t="n">
        <v>0.17</v>
      </c>
      <c r="Y23" s="14" t="n">
        <v>0.14</v>
      </c>
      <c r="Z23" s="14" t="n">
        <v>0.16</v>
      </c>
      <c r="AA23" s="14" t="n">
        <v>0.07000000000000001</v>
      </c>
      <c r="AB23" s="14" t="n">
        <v>0.13</v>
      </c>
      <c r="AC23" s="14" t="n">
        <v>0.06</v>
      </c>
      <c r="AD23" s="14" t="n">
        <v>0.14</v>
      </c>
      <c r="AE23" s="14" t="n">
        <v>0.15</v>
      </c>
      <c r="AF23" s="14" t="n">
        <v>0.11</v>
      </c>
    </row>
    <row r="24">
      <c r="A24" s="20" t="n"/>
      <c r="B24" s="11" t="inlineStr">
        <is>
          <t>7</t>
        </is>
      </c>
      <c r="C24" s="12" t="n">
        <v>3098</v>
      </c>
      <c r="D24" s="12" t="n">
        <v>128</v>
      </c>
      <c r="E24" s="12" t="n">
        <v>136</v>
      </c>
      <c r="F24" s="12" t="n">
        <v>134</v>
      </c>
      <c r="G24" s="12" t="n">
        <v>175</v>
      </c>
      <c r="H24" s="12" t="n">
        <v>133</v>
      </c>
      <c r="I24" s="12" t="n">
        <v>174</v>
      </c>
      <c r="J24" s="12" t="n">
        <v>40</v>
      </c>
      <c r="K24" s="12" t="n">
        <v>103</v>
      </c>
      <c r="L24" s="12" t="n">
        <v>71</v>
      </c>
      <c r="M24" s="12" t="n">
        <v>92</v>
      </c>
      <c r="N24" s="12" t="n">
        <v>88</v>
      </c>
      <c r="O24" s="12" t="n">
        <v>123</v>
      </c>
      <c r="P24" s="12" t="n">
        <v>88</v>
      </c>
      <c r="Q24" s="12" t="n">
        <v>132</v>
      </c>
      <c r="R24" s="12" t="n">
        <v>52</v>
      </c>
      <c r="S24" s="12" t="n">
        <v>130</v>
      </c>
      <c r="T24" s="12" t="n">
        <v>44</v>
      </c>
      <c r="U24" s="12" t="n">
        <v>43</v>
      </c>
      <c r="V24" s="12" t="n">
        <v>141</v>
      </c>
      <c r="W24" s="12" t="n">
        <v>31</v>
      </c>
      <c r="X24" s="12" t="n">
        <v>163</v>
      </c>
      <c r="Y24" s="12" t="n">
        <v>90</v>
      </c>
      <c r="Z24" s="12" t="n">
        <v>106</v>
      </c>
      <c r="AA24" s="12" t="n">
        <v>112</v>
      </c>
      <c r="AB24" s="12" t="n">
        <v>156</v>
      </c>
      <c r="AC24" s="12" t="n">
        <v>72</v>
      </c>
      <c r="AD24" s="12" t="n">
        <v>137</v>
      </c>
      <c r="AE24" s="12" t="n">
        <v>159</v>
      </c>
      <c r="AF24" s="12" t="n">
        <v>121</v>
      </c>
    </row>
    <row r="25">
      <c r="A25" s="20" t="n"/>
      <c r="B25" s="13" t="inlineStr">
        <is>
          <t>7</t>
        </is>
      </c>
      <c r="C25" s="14" t="n">
        <v>0.12</v>
      </c>
      <c r="D25" s="14" t="n">
        <v>0.13</v>
      </c>
      <c r="E25" s="14" t="n">
        <v>0.14</v>
      </c>
      <c r="F25" s="14" t="n">
        <v>0.13</v>
      </c>
      <c r="G25" s="14" t="n">
        <v>0.17</v>
      </c>
      <c r="H25" s="14" t="n">
        <v>0.11</v>
      </c>
      <c r="I25" s="14" t="n">
        <v>0.11</v>
      </c>
      <c r="J25" s="14" t="n">
        <v>0.14</v>
      </c>
      <c r="K25" s="14" t="n">
        <v>0.1</v>
      </c>
      <c r="L25" s="14" t="n">
        <v>0.07000000000000001</v>
      </c>
      <c r="M25" s="14" t="n">
        <v>0.09</v>
      </c>
      <c r="N25" s="14" t="n">
        <v>0.09</v>
      </c>
      <c r="O25" s="14" t="n">
        <v>0.12</v>
      </c>
      <c r="P25" s="14" t="n">
        <v>0.09</v>
      </c>
      <c r="Q25" s="14" t="n">
        <v>0.13</v>
      </c>
      <c r="R25" s="14" t="n">
        <v>0.1</v>
      </c>
      <c r="S25" s="14" t="n">
        <v>0.13</v>
      </c>
      <c r="T25" s="14" t="n">
        <v>0.04</v>
      </c>
      <c r="U25" s="14" t="n">
        <v>0.08</v>
      </c>
      <c r="V25" s="14" t="n">
        <v>0.14</v>
      </c>
      <c r="W25" s="14" t="n">
        <v>0.06</v>
      </c>
      <c r="X25" s="14" t="n">
        <v>0.16</v>
      </c>
      <c r="Y25" s="14" t="n">
        <v>0.09</v>
      </c>
      <c r="Z25" s="14" t="n">
        <v>0.1</v>
      </c>
      <c r="AA25" s="14" t="n">
        <v>0.11</v>
      </c>
      <c r="AB25" s="14" t="n">
        <v>0.15</v>
      </c>
      <c r="AC25" s="14" t="n">
        <v>0.07000000000000001</v>
      </c>
      <c r="AD25" s="14" t="n">
        <v>0.13</v>
      </c>
      <c r="AE25" s="14" t="n">
        <v>0.16</v>
      </c>
      <c r="AF25" s="14" t="n">
        <v>0.12</v>
      </c>
    </row>
    <row r="26">
      <c r="A26" s="20" t="n"/>
      <c r="B26" s="11" t="inlineStr">
        <is>
          <t>8</t>
        </is>
      </c>
      <c r="C26" s="12" t="n">
        <v>2068</v>
      </c>
      <c r="D26" s="12" t="n">
        <v>95</v>
      </c>
      <c r="E26" s="12" t="n">
        <v>108</v>
      </c>
      <c r="F26" s="12" t="n">
        <v>109</v>
      </c>
      <c r="G26" s="12" t="n">
        <v>88</v>
      </c>
      <c r="H26" s="12" t="n">
        <v>84</v>
      </c>
      <c r="I26" s="12" t="n">
        <v>104</v>
      </c>
      <c r="J26" s="12" t="n">
        <v>20</v>
      </c>
      <c r="K26" s="12" t="n">
        <v>67</v>
      </c>
      <c r="L26" s="12" t="n">
        <v>37</v>
      </c>
      <c r="M26" s="12" t="n">
        <v>62</v>
      </c>
      <c r="N26" s="12" t="n">
        <v>58</v>
      </c>
      <c r="O26" s="12" t="n">
        <v>68</v>
      </c>
      <c r="P26" s="12" t="n">
        <v>117</v>
      </c>
      <c r="Q26" s="12" t="n">
        <v>84</v>
      </c>
      <c r="R26" s="12" t="n">
        <v>33</v>
      </c>
      <c r="S26" s="12" t="n">
        <v>72</v>
      </c>
      <c r="T26" s="12" t="n">
        <v>40</v>
      </c>
      <c r="U26" s="12" t="n">
        <v>15</v>
      </c>
      <c r="V26" s="12" t="n">
        <v>87</v>
      </c>
      <c r="W26" s="12" t="n">
        <v>36</v>
      </c>
      <c r="X26" s="12" t="n">
        <v>93</v>
      </c>
      <c r="Y26" s="12" t="n">
        <v>108</v>
      </c>
      <c r="Z26" s="12" t="n">
        <v>102</v>
      </c>
      <c r="AA26" s="12" t="n">
        <v>58</v>
      </c>
      <c r="AB26" s="12" t="n">
        <v>109</v>
      </c>
      <c r="AC26" s="12" t="n">
        <v>40</v>
      </c>
      <c r="AD26" s="12" t="n">
        <v>117</v>
      </c>
      <c r="AE26" s="12" t="n">
        <v>106</v>
      </c>
      <c r="AF26" s="12" t="n">
        <v>100</v>
      </c>
    </row>
    <row r="27">
      <c r="A27" s="20" t="n"/>
      <c r="B27" s="13" t="inlineStr">
        <is>
          <t>8</t>
        </is>
      </c>
      <c r="C27" s="14" t="n">
        <v>0.08</v>
      </c>
      <c r="D27" s="14" t="n">
        <v>0.09</v>
      </c>
      <c r="E27" s="14" t="n">
        <v>0.11</v>
      </c>
      <c r="F27" s="14" t="n">
        <v>0.1</v>
      </c>
      <c r="G27" s="14" t="n">
        <v>0.09</v>
      </c>
      <c r="H27" s="14" t="n">
        <v>0.07000000000000001</v>
      </c>
      <c r="I27" s="14" t="n">
        <v>0.07000000000000001</v>
      </c>
      <c r="J27" s="14" t="n">
        <v>0.07000000000000001</v>
      </c>
      <c r="K27" s="14" t="n">
        <v>0.07000000000000001</v>
      </c>
      <c r="L27" s="14" t="n">
        <v>0.04</v>
      </c>
      <c r="M27" s="14" t="n">
        <v>0.06</v>
      </c>
      <c r="N27" s="14" t="n">
        <v>0.06</v>
      </c>
      <c r="O27" s="14" t="n">
        <v>0.07000000000000001</v>
      </c>
      <c r="P27" s="14" t="n">
        <v>0.12</v>
      </c>
      <c r="Q27" s="14" t="n">
        <v>0.08</v>
      </c>
      <c r="R27" s="14" t="n">
        <v>0.07000000000000001</v>
      </c>
      <c r="S27" s="14" t="n">
        <v>0.07000000000000001</v>
      </c>
      <c r="T27" s="14" t="n">
        <v>0.04</v>
      </c>
      <c r="U27" s="14" t="n">
        <v>0.03</v>
      </c>
      <c r="V27" s="14" t="n">
        <v>0.09</v>
      </c>
      <c r="W27" s="14" t="n">
        <v>0.07000000000000001</v>
      </c>
      <c r="X27" s="14" t="n">
        <v>0.09</v>
      </c>
      <c r="Y27" s="14" t="n">
        <v>0.11</v>
      </c>
      <c r="Z27" s="14" t="n">
        <v>0.1</v>
      </c>
      <c r="AA27" s="14" t="n">
        <v>0.06</v>
      </c>
      <c r="AB27" s="14" t="n">
        <v>0.1</v>
      </c>
      <c r="AC27" s="14" t="n">
        <v>0.04</v>
      </c>
      <c r="AD27" s="14" t="n">
        <v>0.12</v>
      </c>
      <c r="AE27" s="14" t="n">
        <v>0.11</v>
      </c>
      <c r="AF27" s="14" t="n">
        <v>0.1</v>
      </c>
    </row>
    <row r="28">
      <c r="A28" s="20" t="n"/>
      <c r="B28" s="11" t="inlineStr">
        <is>
          <t>9</t>
        </is>
      </c>
      <c r="C28" s="12" t="n">
        <v>643</v>
      </c>
      <c r="D28" s="12" t="n">
        <v>22</v>
      </c>
      <c r="E28" s="12" t="n">
        <v>21</v>
      </c>
      <c r="F28" s="12" t="n">
        <v>38</v>
      </c>
      <c r="G28" s="12" t="n">
        <v>38</v>
      </c>
      <c r="H28" s="12" t="n">
        <v>19</v>
      </c>
      <c r="I28" s="12" t="n">
        <v>25</v>
      </c>
      <c r="J28" s="12" t="n">
        <v>6</v>
      </c>
      <c r="K28" s="12" t="n">
        <v>32</v>
      </c>
      <c r="L28" s="12" t="n">
        <v>2</v>
      </c>
      <c r="M28" s="12" t="n">
        <v>26</v>
      </c>
      <c r="N28" s="12" t="n">
        <v>21</v>
      </c>
      <c r="O28" s="12" t="n">
        <v>32</v>
      </c>
      <c r="P28" s="12" t="n">
        <v>28</v>
      </c>
      <c r="Q28" s="12" t="n">
        <v>20</v>
      </c>
      <c r="R28" s="12" t="n">
        <v>13</v>
      </c>
      <c r="S28" s="12" t="n">
        <v>25</v>
      </c>
      <c r="T28" s="12" t="n">
        <v>17</v>
      </c>
      <c r="U28" s="12" t="n">
        <v>1</v>
      </c>
      <c r="V28" s="12" t="n">
        <v>41</v>
      </c>
      <c r="W28" s="12" t="n">
        <v>22</v>
      </c>
      <c r="X28" s="12" t="n">
        <v>17</v>
      </c>
      <c r="Y28" s="12" t="n">
        <v>35</v>
      </c>
      <c r="Z28" s="12" t="n">
        <v>38</v>
      </c>
      <c r="AA28" s="12" t="n">
        <v>15</v>
      </c>
      <c r="AB28" s="12" t="n">
        <v>29</v>
      </c>
      <c r="AC28" s="12" t="n">
        <v>15</v>
      </c>
      <c r="AD28" s="12" t="n">
        <v>38</v>
      </c>
      <c r="AE28" s="12" t="n">
        <v>25</v>
      </c>
      <c r="AF28" s="12" t="n">
        <v>24</v>
      </c>
    </row>
    <row r="29">
      <c r="A29" s="20" t="n"/>
      <c r="B29" s="13" t="inlineStr">
        <is>
          <t>9</t>
        </is>
      </c>
      <c r="C29" s="14" t="n">
        <v>0.02</v>
      </c>
      <c r="D29" s="14" t="n">
        <v>0.02</v>
      </c>
      <c r="E29" s="14" t="n">
        <v>0.02</v>
      </c>
      <c r="F29" s="14" t="n">
        <v>0.04</v>
      </c>
      <c r="G29" s="14" t="n">
        <v>0.04</v>
      </c>
      <c r="H29" s="14" t="n">
        <v>0.02</v>
      </c>
      <c r="I29" s="14" t="n">
        <v>0.01</v>
      </c>
      <c r="J29" s="14" t="n">
        <v>0.02</v>
      </c>
      <c r="K29" s="14" t="n">
        <v>0.03</v>
      </c>
      <c r="L29" s="15" t="inlineStr">
        <is>
          <t>-</t>
        </is>
      </c>
      <c r="M29" s="14" t="n">
        <v>0.02</v>
      </c>
      <c r="N29" s="14" t="n">
        <v>0.02</v>
      </c>
      <c r="O29" s="14" t="n">
        <v>0.03</v>
      </c>
      <c r="P29" s="14" t="n">
        <v>0.03</v>
      </c>
      <c r="Q29" s="14" t="n">
        <v>0.02</v>
      </c>
      <c r="R29" s="14" t="n">
        <v>0.03</v>
      </c>
      <c r="S29" s="14" t="n">
        <v>0.02</v>
      </c>
      <c r="T29" s="14" t="n">
        <v>0.02</v>
      </c>
      <c r="U29" s="15" t="inlineStr">
        <is>
          <t>-</t>
        </is>
      </c>
      <c r="V29" s="14" t="n">
        <v>0.04</v>
      </c>
      <c r="W29" s="14" t="n">
        <v>0.04</v>
      </c>
      <c r="X29" s="14" t="n">
        <v>0.01</v>
      </c>
      <c r="Y29" s="14" t="n">
        <v>0.04</v>
      </c>
      <c r="Z29" s="14" t="n">
        <v>0.04</v>
      </c>
      <c r="AA29" s="14" t="n">
        <v>0.02</v>
      </c>
      <c r="AB29" s="14" t="n">
        <v>0.03</v>
      </c>
      <c r="AC29" s="14" t="n">
        <v>0.01</v>
      </c>
      <c r="AD29" s="14" t="n">
        <v>0.04</v>
      </c>
      <c r="AE29" s="14" t="n">
        <v>0.02</v>
      </c>
      <c r="AF29" s="14" t="n">
        <v>0.02</v>
      </c>
    </row>
    <row r="30">
      <c r="A30" s="20" t="n"/>
      <c r="B30" s="11" t="inlineStr">
        <is>
          <t>10 Droite</t>
        </is>
      </c>
      <c r="C30" s="12" t="n">
        <v>852</v>
      </c>
      <c r="D30" s="12" t="n">
        <v>21</v>
      </c>
      <c r="E30" s="12" t="n">
        <v>66</v>
      </c>
      <c r="F30" s="12" t="n">
        <v>68</v>
      </c>
      <c r="G30" s="12" t="n">
        <v>17</v>
      </c>
      <c r="H30" s="12" t="n">
        <v>18</v>
      </c>
      <c r="I30" s="12" t="n">
        <v>26</v>
      </c>
      <c r="J30" s="12" t="n">
        <v>8</v>
      </c>
      <c r="K30" s="12" t="n">
        <v>31</v>
      </c>
      <c r="L30" s="12" t="n">
        <v>8</v>
      </c>
      <c r="M30" s="12" t="n">
        <v>16</v>
      </c>
      <c r="N30" s="12" t="n">
        <v>21</v>
      </c>
      <c r="O30" s="12" t="n">
        <v>46</v>
      </c>
      <c r="P30" s="12" t="n">
        <v>118</v>
      </c>
      <c r="Q30" s="12" t="n">
        <v>28</v>
      </c>
      <c r="R30" s="12" t="n">
        <v>38</v>
      </c>
      <c r="S30" s="12" t="n">
        <v>16</v>
      </c>
      <c r="T30" s="12" t="n">
        <v>56</v>
      </c>
      <c r="U30" s="12" t="n">
        <v>9</v>
      </c>
      <c r="V30" s="12" t="n">
        <v>35</v>
      </c>
      <c r="W30" s="12" t="n">
        <v>19</v>
      </c>
      <c r="X30" s="12" t="n">
        <v>20</v>
      </c>
      <c r="Y30" s="12" t="n">
        <v>15</v>
      </c>
      <c r="Z30" s="12" t="n">
        <v>50</v>
      </c>
      <c r="AA30" s="12" t="n">
        <v>57</v>
      </c>
      <c r="AB30" s="12" t="n">
        <v>49</v>
      </c>
      <c r="AC30" s="12" t="n">
        <v>84</v>
      </c>
      <c r="AD30" s="12" t="n">
        <v>48</v>
      </c>
      <c r="AE30" s="12" t="n">
        <v>26</v>
      </c>
      <c r="AF30" s="12" t="n">
        <v>25</v>
      </c>
    </row>
    <row r="31">
      <c r="A31" s="20" t="n"/>
      <c r="B31" s="13" t="inlineStr">
        <is>
          <t>10 Right</t>
        </is>
      </c>
      <c r="C31" s="14" t="n">
        <v>0.03</v>
      </c>
      <c r="D31" s="14" t="n">
        <v>0.02</v>
      </c>
      <c r="E31" s="14" t="n">
        <v>0.07000000000000001</v>
      </c>
      <c r="F31" s="14" t="n">
        <v>0.06</v>
      </c>
      <c r="G31" s="14" t="n">
        <v>0.02</v>
      </c>
      <c r="H31" s="14" t="n">
        <v>0.01</v>
      </c>
      <c r="I31" s="14" t="n">
        <v>0.02</v>
      </c>
      <c r="J31" s="14" t="n">
        <v>0.03</v>
      </c>
      <c r="K31" s="14" t="n">
        <v>0.03</v>
      </c>
      <c r="L31" s="14" t="n">
        <v>0.01</v>
      </c>
      <c r="M31" s="14" t="n">
        <v>0.02</v>
      </c>
      <c r="N31" s="14" t="n">
        <v>0.02</v>
      </c>
      <c r="O31" s="14" t="n">
        <v>0.05</v>
      </c>
      <c r="P31" s="14" t="n">
        <v>0.12</v>
      </c>
      <c r="Q31" s="14" t="n">
        <v>0.03</v>
      </c>
      <c r="R31" s="14" t="n">
        <v>0.07000000000000001</v>
      </c>
      <c r="S31" s="14" t="n">
        <v>0.02</v>
      </c>
      <c r="T31" s="14" t="n">
        <v>0.05</v>
      </c>
      <c r="U31" s="14" t="n">
        <v>0.02</v>
      </c>
      <c r="V31" s="14" t="n">
        <v>0.03</v>
      </c>
      <c r="W31" s="14" t="n">
        <v>0.04</v>
      </c>
      <c r="X31" s="14" t="n">
        <v>0.02</v>
      </c>
      <c r="Y31" s="14" t="n">
        <v>0.01</v>
      </c>
      <c r="Z31" s="14" t="n">
        <v>0.05</v>
      </c>
      <c r="AA31" s="14" t="n">
        <v>0.05</v>
      </c>
      <c r="AB31" s="14" t="n">
        <v>0.05</v>
      </c>
      <c r="AC31" s="14" t="n">
        <v>0.08</v>
      </c>
      <c r="AD31" s="14" t="n">
        <v>0.05</v>
      </c>
      <c r="AE31" s="14" t="n">
        <v>0.03</v>
      </c>
      <c r="AF31" s="14" t="n">
        <v>0.02</v>
      </c>
    </row>
    <row r="32">
      <c r="A32" s="20" t="n"/>
      <c r="B32" s="11" t="inlineStr">
        <is>
          <t>Refus (SPONTANÉ)</t>
        </is>
      </c>
      <c r="C32" s="12" t="n">
        <v>1201</v>
      </c>
      <c r="D32" s="12" t="n">
        <v>5</v>
      </c>
      <c r="E32" s="12" t="n">
        <v>72</v>
      </c>
      <c r="F32" s="12" t="n">
        <v>7</v>
      </c>
      <c r="G32" s="12" t="n">
        <v>18</v>
      </c>
      <c r="H32" s="12" t="n">
        <v>18</v>
      </c>
      <c r="I32" s="12" t="n">
        <v>25</v>
      </c>
      <c r="J32" s="12" t="n">
        <v>7</v>
      </c>
      <c r="K32" s="12" t="n">
        <v>60</v>
      </c>
      <c r="L32" s="12" t="n">
        <v>6</v>
      </c>
      <c r="M32" s="12" t="n">
        <v>129</v>
      </c>
      <c r="N32" s="12" t="n">
        <v>52</v>
      </c>
      <c r="O32" s="12" t="n">
        <v>48</v>
      </c>
      <c r="P32" s="12" t="n">
        <v>27</v>
      </c>
      <c r="Q32" s="12" t="n">
        <v>109</v>
      </c>
      <c r="R32" s="12" t="n">
        <v>84</v>
      </c>
      <c r="S32" s="12" t="n">
        <v>23</v>
      </c>
      <c r="T32" s="12" t="n">
        <v>47</v>
      </c>
      <c r="U32" s="12" t="n">
        <v>17</v>
      </c>
      <c r="V32" s="12" t="n">
        <v>60</v>
      </c>
      <c r="W32" s="12" t="n">
        <v>17</v>
      </c>
      <c r="X32" s="12" t="n">
        <v>9</v>
      </c>
      <c r="Y32" s="12" t="n">
        <v>72</v>
      </c>
      <c r="Z32" s="12" t="n">
        <v>14</v>
      </c>
      <c r="AA32" s="12" t="n">
        <v>96</v>
      </c>
      <c r="AB32" s="12" t="n">
        <v>50</v>
      </c>
      <c r="AC32" s="12" t="n">
        <v>100</v>
      </c>
      <c r="AD32" s="12" t="n">
        <v>22</v>
      </c>
      <c r="AE32" s="12" t="n">
        <v>16</v>
      </c>
      <c r="AF32" s="12" t="n">
        <v>4</v>
      </c>
    </row>
    <row r="33">
      <c r="A33" s="20" t="n"/>
      <c r="B33" s="13" t="inlineStr">
        <is>
          <t>Refusal (SPONTANEOUS)</t>
        </is>
      </c>
      <c r="C33" s="14" t="n">
        <v>0.05</v>
      </c>
      <c r="D33" s="15" t="inlineStr">
        <is>
          <t>-</t>
        </is>
      </c>
      <c r="E33" s="14" t="n">
        <v>0.07000000000000001</v>
      </c>
      <c r="F33" s="14" t="n">
        <v>0.01</v>
      </c>
      <c r="G33" s="14" t="n">
        <v>0.02</v>
      </c>
      <c r="H33" s="14" t="n">
        <v>0.02</v>
      </c>
      <c r="I33" s="14" t="n">
        <v>0.02</v>
      </c>
      <c r="J33" s="14" t="n">
        <v>0.02</v>
      </c>
      <c r="K33" s="14" t="n">
        <v>0.06</v>
      </c>
      <c r="L33" s="14" t="n">
        <v>0.01</v>
      </c>
      <c r="M33" s="14" t="n">
        <v>0.13</v>
      </c>
      <c r="N33" s="14" t="n">
        <v>0.05</v>
      </c>
      <c r="O33" s="14" t="n">
        <v>0.05</v>
      </c>
      <c r="P33" s="14" t="n">
        <v>0.03</v>
      </c>
      <c r="Q33" s="14" t="n">
        <v>0.1</v>
      </c>
      <c r="R33" s="14" t="n">
        <v>0.17</v>
      </c>
      <c r="S33" s="14" t="n">
        <v>0.02</v>
      </c>
      <c r="T33" s="14" t="n">
        <v>0.05</v>
      </c>
      <c r="U33" s="14" t="n">
        <v>0.04</v>
      </c>
      <c r="V33" s="14" t="n">
        <v>0.06</v>
      </c>
      <c r="W33" s="14" t="n">
        <v>0.04</v>
      </c>
      <c r="X33" s="14" t="n">
        <v>0.01</v>
      </c>
      <c r="Y33" s="14" t="n">
        <v>0.07000000000000001</v>
      </c>
      <c r="Z33" s="14" t="n">
        <v>0.01</v>
      </c>
      <c r="AA33" s="14" t="n">
        <v>0.09</v>
      </c>
      <c r="AB33" s="14" t="n">
        <v>0.05</v>
      </c>
      <c r="AC33" s="14" t="n">
        <v>0.1</v>
      </c>
      <c r="AD33" s="14" t="n">
        <v>0.02</v>
      </c>
      <c r="AE33" s="14" t="n">
        <v>0.02</v>
      </c>
      <c r="AF33" s="15" t="inlineStr">
        <is>
          <t>-</t>
        </is>
      </c>
    </row>
    <row r="34">
      <c r="A34" s="20" t="n"/>
      <c r="B34" s="11" t="inlineStr">
        <is>
          <t>Ne sait pas</t>
        </is>
      </c>
      <c r="C34" s="12" t="n">
        <v>1550</v>
      </c>
      <c r="D34" s="12" t="n">
        <v>15</v>
      </c>
      <c r="E34" s="12" t="n">
        <v>86</v>
      </c>
      <c r="F34" s="12" t="n">
        <v>11</v>
      </c>
      <c r="G34" s="12" t="n">
        <v>19</v>
      </c>
      <c r="H34" s="12" t="n">
        <v>23</v>
      </c>
      <c r="I34" s="12" t="n">
        <v>27</v>
      </c>
      <c r="J34" s="12" t="n">
        <v>4</v>
      </c>
      <c r="K34" s="12" t="n">
        <v>179</v>
      </c>
      <c r="L34" s="12" t="n">
        <v>70</v>
      </c>
      <c r="M34" s="12" t="n">
        <v>117</v>
      </c>
      <c r="N34" s="12" t="n">
        <v>62</v>
      </c>
      <c r="O34" s="12" t="n">
        <v>142</v>
      </c>
      <c r="P34" s="12" t="n">
        <v>22</v>
      </c>
      <c r="Q34" s="12" t="n">
        <v>37</v>
      </c>
      <c r="R34" s="12" t="n">
        <v>61</v>
      </c>
      <c r="S34" s="12" t="n">
        <v>291</v>
      </c>
      <c r="T34" s="12" t="n">
        <v>307</v>
      </c>
      <c r="U34" s="12" t="n">
        <v>40</v>
      </c>
      <c r="V34" s="12" t="n">
        <v>18</v>
      </c>
      <c r="W34" s="12" t="n">
        <v>80</v>
      </c>
      <c r="X34" s="12" t="n">
        <v>10</v>
      </c>
      <c r="Y34" s="12" t="n">
        <v>25</v>
      </c>
      <c r="Z34" s="12" t="n">
        <v>44</v>
      </c>
      <c r="AA34" s="12" t="n">
        <v>80</v>
      </c>
      <c r="AB34" s="12" t="n">
        <v>107</v>
      </c>
      <c r="AC34" s="12" t="n">
        <v>68</v>
      </c>
      <c r="AD34" s="12" t="n">
        <v>50</v>
      </c>
      <c r="AE34" s="12" t="n">
        <v>60</v>
      </c>
      <c r="AF34" s="12" t="n">
        <v>9</v>
      </c>
    </row>
    <row r="35">
      <c r="A35" s="20" t="n"/>
      <c r="B35" s="13" t="inlineStr">
        <is>
          <t>Don't know</t>
        </is>
      </c>
      <c r="C35" s="14" t="n">
        <v>0.06</v>
      </c>
      <c r="D35" s="14" t="n">
        <v>0.01</v>
      </c>
      <c r="E35" s="14" t="n">
        <v>0.08</v>
      </c>
      <c r="F35" s="14" t="n">
        <v>0.01</v>
      </c>
      <c r="G35" s="14" t="n">
        <v>0.02</v>
      </c>
      <c r="H35" s="14" t="n">
        <v>0.02</v>
      </c>
      <c r="I35" s="14" t="n">
        <v>0.02</v>
      </c>
      <c r="J35" s="14" t="n">
        <v>0.01</v>
      </c>
      <c r="K35" s="14" t="n">
        <v>0.18</v>
      </c>
      <c r="L35" s="14" t="n">
        <v>0.07000000000000001</v>
      </c>
      <c r="M35" s="14" t="n">
        <v>0.12</v>
      </c>
      <c r="N35" s="14" t="n">
        <v>0.06</v>
      </c>
      <c r="O35" s="14" t="n">
        <v>0.14</v>
      </c>
      <c r="P35" s="14" t="n">
        <v>0.02</v>
      </c>
      <c r="Q35" s="14" t="n">
        <v>0.04</v>
      </c>
      <c r="R35" s="14" t="n">
        <v>0.12</v>
      </c>
      <c r="S35" s="14" t="n">
        <v>0.29</v>
      </c>
      <c r="T35" s="14" t="n">
        <v>0.3</v>
      </c>
      <c r="U35" s="14" t="n">
        <v>0.08</v>
      </c>
      <c r="V35" s="14" t="n">
        <v>0.02</v>
      </c>
      <c r="W35" s="14" t="n">
        <v>0.16</v>
      </c>
      <c r="X35" s="14" t="n">
        <v>0.01</v>
      </c>
      <c r="Y35" s="14" t="n">
        <v>0.03</v>
      </c>
      <c r="Z35" s="14" t="n">
        <v>0.04</v>
      </c>
      <c r="AA35" s="14" t="n">
        <v>0.08</v>
      </c>
      <c r="AB35" s="14" t="n">
        <v>0.1</v>
      </c>
      <c r="AC35" s="14" t="n">
        <v>0.07000000000000001</v>
      </c>
      <c r="AD35" s="14" t="n">
        <v>0.05</v>
      </c>
      <c r="AE35" s="14" t="n">
        <v>0.06</v>
      </c>
      <c r="AF35" s="14" t="n">
        <v>0.01</v>
      </c>
    </row>
    <row r="36">
      <c r="A36" s="20" t="n"/>
      <c r="B36" s="11" t="inlineStr">
        <is>
          <t>Moyenne</t>
        </is>
      </c>
      <c r="C36" s="12" t="n">
        <v>5.35</v>
      </c>
      <c r="D36" s="12" t="n">
        <v>5.3</v>
      </c>
      <c r="E36" s="12" t="n">
        <v>5.74</v>
      </c>
      <c r="F36" s="12" t="n">
        <v>5.84</v>
      </c>
      <c r="G36" s="12" t="n">
        <v>5.23</v>
      </c>
      <c r="H36" s="12" t="n">
        <v>5.15</v>
      </c>
      <c r="I36" s="12" t="n">
        <v>5.2</v>
      </c>
      <c r="J36" s="12" t="n">
        <v>5.39</v>
      </c>
      <c r="K36" s="12" t="n">
        <v>5.56</v>
      </c>
      <c r="L36" s="12" t="n">
        <v>5.05</v>
      </c>
      <c r="M36" s="12" t="n">
        <v>5.19</v>
      </c>
      <c r="N36" s="12" t="n">
        <v>4.97</v>
      </c>
      <c r="O36" s="12" t="n">
        <v>5.43</v>
      </c>
      <c r="P36" s="12" t="n">
        <v>5.85</v>
      </c>
      <c r="Q36" s="12" t="n">
        <v>5.43</v>
      </c>
      <c r="R36" s="12" t="n">
        <v>5.84</v>
      </c>
      <c r="S36" s="12" t="n">
        <v>5.93</v>
      </c>
      <c r="T36" s="12" t="n">
        <v>5.39</v>
      </c>
      <c r="U36" s="12" t="n">
        <v>5.06</v>
      </c>
      <c r="V36" s="12" t="n">
        <v>5.66</v>
      </c>
      <c r="W36" s="12" t="n">
        <v>5.34</v>
      </c>
      <c r="X36" s="12" t="n">
        <v>5.27</v>
      </c>
      <c r="Y36" s="12" t="n">
        <v>5.31</v>
      </c>
      <c r="Z36" s="12" t="n">
        <v>5.62</v>
      </c>
      <c r="AA36" s="12" t="n">
        <v>5.28</v>
      </c>
      <c r="AB36" s="12" t="n">
        <v>5.77</v>
      </c>
      <c r="AC36" s="12" t="n">
        <v>5.26</v>
      </c>
      <c r="AD36" s="12" t="n">
        <v>5.72</v>
      </c>
      <c r="AE36" s="12" t="n">
        <v>5.46</v>
      </c>
      <c r="AF36" s="12" t="n">
        <v>4.94</v>
      </c>
    </row>
    <row r="37">
      <c r="A37" s="23" t="n"/>
      <c r="B37" s="13" t="inlineStr">
        <is>
          <t>Average</t>
        </is>
      </c>
      <c r="C37" s="15" t="inlineStr">
        <is>
          <t>-</t>
        </is>
      </c>
      <c r="D37" s="15" t="inlineStr">
        <is>
          <t>-</t>
        </is>
      </c>
      <c r="E37" s="15" t="inlineStr">
        <is>
          <t>-</t>
        </is>
      </c>
      <c r="F37" s="15" t="inlineStr">
        <is>
          <t>-</t>
        </is>
      </c>
      <c r="G37" s="15" t="inlineStr">
        <is>
          <t>-</t>
        </is>
      </c>
      <c r="H37" s="15" t="inlineStr">
        <is>
          <t>-</t>
        </is>
      </c>
      <c r="I37" s="15" t="inlineStr">
        <is>
          <t>-</t>
        </is>
      </c>
      <c r="J37" s="15" t="inlineStr">
        <is>
          <t>-</t>
        </is>
      </c>
      <c r="K37" s="15" t="inlineStr">
        <is>
          <t>-</t>
        </is>
      </c>
      <c r="L37" s="15" t="inlineStr">
        <is>
          <t>-</t>
        </is>
      </c>
      <c r="M37" s="15" t="inlineStr">
        <is>
          <t>-</t>
        </is>
      </c>
      <c r="N37" s="15" t="inlineStr">
        <is>
          <t>-</t>
        </is>
      </c>
      <c r="O37" s="15" t="inlineStr">
        <is>
          <t>-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-</t>
        </is>
      </c>
      <c r="S37" s="15" t="inlineStr">
        <is>
          <t>-</t>
        </is>
      </c>
      <c r="T37" s="15" t="inlineStr">
        <is>
          <t>-</t>
        </is>
      </c>
      <c r="U37" s="15" t="inlineStr">
        <is>
          <t>-</t>
        </is>
      </c>
      <c r="V37" s="15" t="inlineStr">
        <is>
          <t>-</t>
        </is>
      </c>
      <c r="W37" s="15" t="inlineStr">
        <is>
          <t>-</t>
        </is>
      </c>
      <c r="X37" s="15" t="inlineStr">
        <is>
          <t>-</t>
        </is>
      </c>
      <c r="Y37" s="15" t="inlineStr">
        <is>
          <t>-</t>
        </is>
      </c>
      <c r="Z37" s="15" t="inlineStr">
        <is>
          <t>-</t>
        </is>
      </c>
      <c r="AA37" s="15" t="inlineStr">
        <is>
          <t>-</t>
        </is>
      </c>
      <c r="AB37" s="15" t="inlineStr">
        <is>
          <t>-</t>
        </is>
      </c>
      <c r="AC37" s="15" t="inlineStr">
        <is>
          <t>-</t>
        </is>
      </c>
      <c r="AD37" s="15" t="inlineStr">
        <is>
          <t>-</t>
        </is>
      </c>
      <c r="AE37" s="15" t="inlineStr">
        <is>
          <t>-</t>
        </is>
      </c>
      <c r="AF37" s="15" t="inlineStr">
        <is>
          <t>-</t>
        </is>
      </c>
    </row>
  </sheetData>
  <mergeCells count="9">
    <mergeCell ref="B4:F4"/>
    <mergeCell ref="H3:L3"/>
    <mergeCell ref="C8:AF8"/>
    <mergeCell ref="B3:F3"/>
    <mergeCell ref="B5:F5"/>
    <mergeCell ref="A10:A37"/>
    <mergeCell ref="H5:L5"/>
    <mergeCell ref="B10:B11"/>
    <mergeCell ref="H4:L4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F23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12" customHeight="1" s="18">
      <c r="B3" s="21" t="inlineStr">
        <is>
          <t>D1R1. Echelle politique gauche-droite</t>
        </is>
      </c>
      <c r="H3" s="21" t="inlineStr">
        <is>
          <t>D1R1. Left-right political scale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HYPERLINK("#Content!A82","&lt;&lt;Back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(1-4) Gauche</t>
        </is>
      </c>
      <c r="C12" s="12" t="n">
        <v>7368</v>
      </c>
      <c r="D12" s="12" t="n">
        <v>299</v>
      </c>
      <c r="E12" s="12" t="n">
        <v>225</v>
      </c>
      <c r="F12" s="12" t="n">
        <v>218</v>
      </c>
      <c r="G12" s="12" t="n">
        <v>361</v>
      </c>
      <c r="H12" s="12" t="n">
        <v>358</v>
      </c>
      <c r="I12" s="12" t="n">
        <v>432</v>
      </c>
      <c r="J12" s="12" t="n">
        <v>74</v>
      </c>
      <c r="K12" s="12" t="n">
        <v>187</v>
      </c>
      <c r="L12" s="12" t="n">
        <v>224</v>
      </c>
      <c r="M12" s="12" t="n">
        <v>263</v>
      </c>
      <c r="N12" s="12" t="n">
        <v>337</v>
      </c>
      <c r="O12" s="12" t="n">
        <v>269</v>
      </c>
      <c r="P12" s="12" t="n">
        <v>258</v>
      </c>
      <c r="Q12" s="12" t="n">
        <v>280</v>
      </c>
      <c r="R12" s="12" t="n">
        <v>77</v>
      </c>
      <c r="S12" s="12" t="n">
        <v>80</v>
      </c>
      <c r="T12" s="12" t="n">
        <v>171</v>
      </c>
      <c r="U12" s="12" t="n">
        <v>121</v>
      </c>
      <c r="V12" s="12" t="n">
        <v>242</v>
      </c>
      <c r="W12" s="12" t="n">
        <v>121</v>
      </c>
      <c r="X12" s="12" t="n">
        <v>353</v>
      </c>
      <c r="Y12" s="12" t="n">
        <v>307</v>
      </c>
      <c r="Z12" s="12" t="n">
        <v>258</v>
      </c>
      <c r="AA12" s="12" t="n">
        <v>277</v>
      </c>
      <c r="AB12" s="12" t="n">
        <v>192</v>
      </c>
      <c r="AC12" s="12" t="n">
        <v>250</v>
      </c>
      <c r="AD12" s="12" t="n">
        <v>233</v>
      </c>
      <c r="AE12" s="12" t="n">
        <v>298</v>
      </c>
      <c r="AF12" s="12" t="n">
        <v>491</v>
      </c>
    </row>
    <row r="13">
      <c r="A13" s="20" t="n"/>
      <c r="B13" s="13" t="inlineStr">
        <is>
          <t>(1-4) Left</t>
        </is>
      </c>
      <c r="C13" s="14" t="n">
        <v>0.28</v>
      </c>
      <c r="D13" s="14" t="n">
        <v>0.29</v>
      </c>
      <c r="E13" s="14" t="n">
        <v>0.22</v>
      </c>
      <c r="F13" s="14" t="n">
        <v>0.21</v>
      </c>
      <c r="G13" s="14" t="n">
        <v>0.36</v>
      </c>
      <c r="H13" s="14" t="n">
        <v>0.3</v>
      </c>
      <c r="I13" s="14" t="n">
        <v>0.28</v>
      </c>
      <c r="J13" s="14" t="n">
        <v>0.25</v>
      </c>
      <c r="K13" s="14" t="n">
        <v>0.19</v>
      </c>
      <c r="L13" s="14" t="n">
        <v>0.22</v>
      </c>
      <c r="M13" s="14" t="n">
        <v>0.26</v>
      </c>
      <c r="N13" s="14" t="n">
        <v>0.34</v>
      </c>
      <c r="O13" s="14" t="n">
        <v>0.26</v>
      </c>
      <c r="P13" s="14" t="n">
        <v>0.25</v>
      </c>
      <c r="Q13" s="14" t="n">
        <v>0.27</v>
      </c>
      <c r="R13" s="14" t="n">
        <v>0.15</v>
      </c>
      <c r="S13" s="14" t="n">
        <v>0.08</v>
      </c>
      <c r="T13" s="14" t="n">
        <v>0.17</v>
      </c>
      <c r="U13" s="14" t="n">
        <v>0.24</v>
      </c>
      <c r="V13" s="14" t="n">
        <v>0.23</v>
      </c>
      <c r="W13" s="14" t="n">
        <v>0.24</v>
      </c>
      <c r="X13" s="14" t="n">
        <v>0.34</v>
      </c>
      <c r="Y13" s="14" t="n">
        <v>0.31</v>
      </c>
      <c r="Z13" s="14" t="n">
        <v>0.25</v>
      </c>
      <c r="AA13" s="14" t="n">
        <v>0.27</v>
      </c>
      <c r="AB13" s="14" t="n">
        <v>0.18</v>
      </c>
      <c r="AC13" s="14" t="n">
        <v>0.25</v>
      </c>
      <c r="AD13" s="14" t="n">
        <v>0.23</v>
      </c>
      <c r="AE13" s="14" t="n">
        <v>0.29</v>
      </c>
      <c r="AF13" s="14" t="n">
        <v>0.47</v>
      </c>
    </row>
    <row r="14">
      <c r="A14" s="20" t="n"/>
      <c r="B14" s="11" t="inlineStr">
        <is>
          <t>(5-6) Centre</t>
        </is>
      </c>
      <c r="C14" s="12" t="n">
        <v>9639</v>
      </c>
      <c r="D14" s="12" t="n">
        <v>437</v>
      </c>
      <c r="E14" s="12" t="n">
        <v>300</v>
      </c>
      <c r="F14" s="12" t="n">
        <v>464</v>
      </c>
      <c r="G14" s="12" t="n">
        <v>291</v>
      </c>
      <c r="H14" s="12" t="n">
        <v>560</v>
      </c>
      <c r="I14" s="12" t="n">
        <v>693</v>
      </c>
      <c r="J14" s="12" t="n">
        <v>133</v>
      </c>
      <c r="K14" s="12" t="n">
        <v>347</v>
      </c>
      <c r="L14" s="12" t="n">
        <v>592</v>
      </c>
      <c r="M14" s="12" t="n">
        <v>301</v>
      </c>
      <c r="N14" s="12" t="n">
        <v>366</v>
      </c>
      <c r="O14" s="12" t="n">
        <v>287</v>
      </c>
      <c r="P14" s="12" t="n">
        <v>349</v>
      </c>
      <c r="Q14" s="12" t="n">
        <v>339</v>
      </c>
      <c r="R14" s="12" t="n">
        <v>146</v>
      </c>
      <c r="S14" s="12" t="n">
        <v>368</v>
      </c>
      <c r="T14" s="12" t="n">
        <v>334</v>
      </c>
      <c r="U14" s="12" t="n">
        <v>262</v>
      </c>
      <c r="V14" s="12" t="n">
        <v>395</v>
      </c>
      <c r="W14" s="12" t="n">
        <v>179</v>
      </c>
      <c r="X14" s="12" t="n">
        <v>359</v>
      </c>
      <c r="Y14" s="12" t="n">
        <v>351</v>
      </c>
      <c r="Z14" s="12" t="n">
        <v>408</v>
      </c>
      <c r="AA14" s="12" t="n">
        <v>335</v>
      </c>
      <c r="AB14" s="12" t="n">
        <v>353</v>
      </c>
      <c r="AC14" s="12" t="n">
        <v>379</v>
      </c>
      <c r="AD14" s="12" t="n">
        <v>357</v>
      </c>
      <c r="AE14" s="12" t="n">
        <v>327</v>
      </c>
      <c r="AF14" s="12" t="n">
        <v>262</v>
      </c>
    </row>
    <row r="15">
      <c r="A15" s="20" t="n"/>
      <c r="B15" s="13" t="inlineStr">
        <is>
          <t>(5-6) Centre</t>
        </is>
      </c>
      <c r="C15" s="14" t="n">
        <v>0.36</v>
      </c>
      <c r="D15" s="14" t="n">
        <v>0.43</v>
      </c>
      <c r="E15" s="14" t="n">
        <v>0.3</v>
      </c>
      <c r="F15" s="14" t="n">
        <v>0.44</v>
      </c>
      <c r="G15" s="14" t="n">
        <v>0.29</v>
      </c>
      <c r="H15" s="14" t="n">
        <v>0.46</v>
      </c>
      <c r="I15" s="14" t="n">
        <v>0.46</v>
      </c>
      <c r="J15" s="14" t="n">
        <v>0.45</v>
      </c>
      <c r="K15" s="14" t="n">
        <v>0.34</v>
      </c>
      <c r="L15" s="14" t="n">
        <v>0.59</v>
      </c>
      <c r="M15" s="14" t="n">
        <v>0.3</v>
      </c>
      <c r="N15" s="14" t="n">
        <v>0.36</v>
      </c>
      <c r="O15" s="14" t="n">
        <v>0.28</v>
      </c>
      <c r="P15" s="14" t="n">
        <v>0.35</v>
      </c>
      <c r="Q15" s="14" t="n">
        <v>0.33</v>
      </c>
      <c r="R15" s="14" t="n">
        <v>0.29</v>
      </c>
      <c r="S15" s="14" t="n">
        <v>0.37</v>
      </c>
      <c r="T15" s="14" t="n">
        <v>0.33</v>
      </c>
      <c r="U15" s="14" t="n">
        <v>0.52</v>
      </c>
      <c r="V15" s="14" t="n">
        <v>0.39</v>
      </c>
      <c r="W15" s="14" t="n">
        <v>0.35</v>
      </c>
      <c r="X15" s="14" t="n">
        <v>0.35</v>
      </c>
      <c r="Y15" s="14" t="n">
        <v>0.35</v>
      </c>
      <c r="Z15" s="14" t="n">
        <v>0.4</v>
      </c>
      <c r="AA15" s="14" t="n">
        <v>0.32</v>
      </c>
      <c r="AB15" s="14" t="n">
        <v>0.34</v>
      </c>
      <c r="AC15" s="14" t="n">
        <v>0.37</v>
      </c>
      <c r="AD15" s="14" t="n">
        <v>0.36</v>
      </c>
      <c r="AE15" s="14" t="n">
        <v>0.32</v>
      </c>
      <c r="AF15" s="14" t="n">
        <v>0.25</v>
      </c>
    </row>
    <row r="16">
      <c r="A16" s="20" t="n"/>
      <c r="B16" s="11" t="inlineStr">
        <is>
          <t>(7-10) Droite</t>
        </is>
      </c>
      <c r="C16" s="12" t="n">
        <v>6662</v>
      </c>
      <c r="D16" s="12" t="n">
        <v>265</v>
      </c>
      <c r="E16" s="12" t="n">
        <v>332</v>
      </c>
      <c r="F16" s="12" t="n">
        <v>349</v>
      </c>
      <c r="G16" s="12" t="n">
        <v>319</v>
      </c>
      <c r="H16" s="12" t="n">
        <v>254</v>
      </c>
      <c r="I16" s="12" t="n">
        <v>329</v>
      </c>
      <c r="J16" s="12" t="n">
        <v>75</v>
      </c>
      <c r="K16" s="12" t="n">
        <v>233</v>
      </c>
      <c r="L16" s="12" t="n">
        <v>119</v>
      </c>
      <c r="M16" s="12" t="n">
        <v>196</v>
      </c>
      <c r="N16" s="12" t="n">
        <v>189</v>
      </c>
      <c r="O16" s="12" t="n">
        <v>270</v>
      </c>
      <c r="P16" s="12" t="n">
        <v>351</v>
      </c>
      <c r="Q16" s="12" t="n">
        <v>263</v>
      </c>
      <c r="R16" s="12" t="n">
        <v>136</v>
      </c>
      <c r="S16" s="12" t="n">
        <v>243</v>
      </c>
      <c r="T16" s="12" t="n">
        <v>157</v>
      </c>
      <c r="U16" s="12" t="n">
        <v>67</v>
      </c>
      <c r="V16" s="12" t="n">
        <v>304</v>
      </c>
      <c r="W16" s="12" t="n">
        <v>108</v>
      </c>
      <c r="X16" s="12" t="n">
        <v>292</v>
      </c>
      <c r="Y16" s="12" t="n">
        <v>247</v>
      </c>
      <c r="Z16" s="12" t="n">
        <v>296</v>
      </c>
      <c r="AA16" s="12" t="n">
        <v>243</v>
      </c>
      <c r="AB16" s="12" t="n">
        <v>343</v>
      </c>
      <c r="AC16" s="12" t="n">
        <v>210</v>
      </c>
      <c r="AD16" s="12" t="n">
        <v>339</v>
      </c>
      <c r="AE16" s="12" t="n">
        <v>315</v>
      </c>
      <c r="AF16" s="12" t="n">
        <v>270</v>
      </c>
    </row>
    <row r="17">
      <c r="A17" s="20" t="n"/>
      <c r="B17" s="13" t="inlineStr">
        <is>
          <t>(7-10) Right</t>
        </is>
      </c>
      <c r="C17" s="14" t="n">
        <v>0.25</v>
      </c>
      <c r="D17" s="14" t="n">
        <v>0.26</v>
      </c>
      <c r="E17" s="14" t="n">
        <v>0.33</v>
      </c>
      <c r="F17" s="14" t="n">
        <v>0.33</v>
      </c>
      <c r="G17" s="14" t="n">
        <v>0.31</v>
      </c>
      <c r="H17" s="14" t="n">
        <v>0.21</v>
      </c>
      <c r="I17" s="14" t="n">
        <v>0.22</v>
      </c>
      <c r="J17" s="14" t="n">
        <v>0.26</v>
      </c>
      <c r="K17" s="14" t="n">
        <v>0.23</v>
      </c>
      <c r="L17" s="14" t="n">
        <v>0.12</v>
      </c>
      <c r="M17" s="14" t="n">
        <v>0.19</v>
      </c>
      <c r="N17" s="14" t="n">
        <v>0.19</v>
      </c>
      <c r="O17" s="14" t="n">
        <v>0.27</v>
      </c>
      <c r="P17" s="14" t="n">
        <v>0.35</v>
      </c>
      <c r="Q17" s="14" t="n">
        <v>0.26</v>
      </c>
      <c r="R17" s="14" t="n">
        <v>0.27</v>
      </c>
      <c r="S17" s="14" t="n">
        <v>0.24</v>
      </c>
      <c r="T17" s="14" t="n">
        <v>0.15</v>
      </c>
      <c r="U17" s="14" t="n">
        <v>0.13</v>
      </c>
      <c r="V17" s="14" t="n">
        <v>0.3</v>
      </c>
      <c r="W17" s="14" t="n">
        <v>0.21</v>
      </c>
      <c r="X17" s="14" t="n">
        <v>0.29</v>
      </c>
      <c r="Y17" s="14" t="n">
        <v>0.25</v>
      </c>
      <c r="Z17" s="14" t="n">
        <v>0.29</v>
      </c>
      <c r="AA17" s="14" t="n">
        <v>0.24</v>
      </c>
      <c r="AB17" s="14" t="n">
        <v>0.33</v>
      </c>
      <c r="AC17" s="14" t="n">
        <v>0.21</v>
      </c>
      <c r="AD17" s="14" t="n">
        <v>0.34</v>
      </c>
      <c r="AE17" s="14" t="n">
        <v>0.31</v>
      </c>
      <c r="AF17" s="14" t="n">
        <v>0.26</v>
      </c>
    </row>
    <row r="18">
      <c r="A18" s="20" t="n"/>
      <c r="B18" s="11" t="inlineStr">
        <is>
          <t>Refus (SPONTANÉ)</t>
        </is>
      </c>
      <c r="C18" s="12" t="n">
        <v>1201</v>
      </c>
      <c r="D18" s="12" t="n">
        <v>5</v>
      </c>
      <c r="E18" s="12" t="n">
        <v>72</v>
      </c>
      <c r="F18" s="12" t="n">
        <v>7</v>
      </c>
      <c r="G18" s="12" t="n">
        <v>18</v>
      </c>
      <c r="H18" s="12" t="n">
        <v>18</v>
      </c>
      <c r="I18" s="12" t="n">
        <v>25</v>
      </c>
      <c r="J18" s="12" t="n">
        <v>7</v>
      </c>
      <c r="K18" s="12" t="n">
        <v>60</v>
      </c>
      <c r="L18" s="12" t="n">
        <v>6</v>
      </c>
      <c r="M18" s="12" t="n">
        <v>129</v>
      </c>
      <c r="N18" s="12" t="n">
        <v>52</v>
      </c>
      <c r="O18" s="12" t="n">
        <v>48</v>
      </c>
      <c r="P18" s="12" t="n">
        <v>27</v>
      </c>
      <c r="Q18" s="12" t="n">
        <v>109</v>
      </c>
      <c r="R18" s="12" t="n">
        <v>84</v>
      </c>
      <c r="S18" s="12" t="n">
        <v>23</v>
      </c>
      <c r="T18" s="12" t="n">
        <v>47</v>
      </c>
      <c r="U18" s="12" t="n">
        <v>17</v>
      </c>
      <c r="V18" s="12" t="n">
        <v>60</v>
      </c>
      <c r="W18" s="12" t="n">
        <v>17</v>
      </c>
      <c r="X18" s="12" t="n">
        <v>9</v>
      </c>
      <c r="Y18" s="12" t="n">
        <v>72</v>
      </c>
      <c r="Z18" s="12" t="n">
        <v>14</v>
      </c>
      <c r="AA18" s="12" t="n">
        <v>96</v>
      </c>
      <c r="AB18" s="12" t="n">
        <v>50</v>
      </c>
      <c r="AC18" s="12" t="n">
        <v>100</v>
      </c>
      <c r="AD18" s="12" t="n">
        <v>22</v>
      </c>
      <c r="AE18" s="12" t="n">
        <v>16</v>
      </c>
      <c r="AF18" s="12" t="n">
        <v>4</v>
      </c>
    </row>
    <row r="19">
      <c r="A19" s="20" t="n"/>
      <c r="B19" s="13" t="inlineStr">
        <is>
          <t>Refusal (SPONTANEOUS)</t>
        </is>
      </c>
      <c r="C19" s="14" t="n">
        <v>0.05</v>
      </c>
      <c r="D19" s="14" t="n">
        <v>0.01</v>
      </c>
      <c r="E19" s="14" t="n">
        <v>0.07000000000000001</v>
      </c>
      <c r="F19" s="14" t="n">
        <v>0.01</v>
      </c>
      <c r="G19" s="14" t="n">
        <v>0.02</v>
      </c>
      <c r="H19" s="14" t="n">
        <v>0.01</v>
      </c>
      <c r="I19" s="14" t="n">
        <v>0.02</v>
      </c>
      <c r="J19" s="14" t="n">
        <v>0.03</v>
      </c>
      <c r="K19" s="14" t="n">
        <v>0.06</v>
      </c>
      <c r="L19" s="15" t="inlineStr">
        <is>
          <t>-</t>
        </is>
      </c>
      <c r="M19" s="14" t="n">
        <v>0.13</v>
      </c>
      <c r="N19" s="14" t="n">
        <v>0.05</v>
      </c>
      <c r="O19" s="14" t="n">
        <v>0.05</v>
      </c>
      <c r="P19" s="14" t="n">
        <v>0.03</v>
      </c>
      <c r="Q19" s="14" t="n">
        <v>0.1</v>
      </c>
      <c r="R19" s="14" t="n">
        <v>0.17</v>
      </c>
      <c r="S19" s="14" t="n">
        <v>0.02</v>
      </c>
      <c r="T19" s="14" t="n">
        <v>0.05</v>
      </c>
      <c r="U19" s="14" t="n">
        <v>0.03</v>
      </c>
      <c r="V19" s="14" t="n">
        <v>0.06</v>
      </c>
      <c r="W19" s="14" t="n">
        <v>0.04</v>
      </c>
      <c r="X19" s="14" t="n">
        <v>0.01</v>
      </c>
      <c r="Y19" s="14" t="n">
        <v>0.07000000000000001</v>
      </c>
      <c r="Z19" s="14" t="n">
        <v>0.02</v>
      </c>
      <c r="AA19" s="14" t="n">
        <v>0.09</v>
      </c>
      <c r="AB19" s="14" t="n">
        <v>0.05</v>
      </c>
      <c r="AC19" s="14" t="n">
        <v>0.1</v>
      </c>
      <c r="AD19" s="14" t="n">
        <v>0.02</v>
      </c>
      <c r="AE19" s="14" t="n">
        <v>0.02</v>
      </c>
      <c r="AF19" s="14" t="n">
        <v>0.01</v>
      </c>
    </row>
    <row r="20">
      <c r="A20" s="20" t="n"/>
      <c r="B20" s="11" t="inlineStr">
        <is>
          <t>Ne sait pas</t>
        </is>
      </c>
      <c r="C20" s="12" t="n">
        <v>1550</v>
      </c>
      <c r="D20" s="12" t="n">
        <v>15</v>
      </c>
      <c r="E20" s="12" t="n">
        <v>86</v>
      </c>
      <c r="F20" s="12" t="n">
        <v>11</v>
      </c>
      <c r="G20" s="12" t="n">
        <v>19</v>
      </c>
      <c r="H20" s="12" t="n">
        <v>23</v>
      </c>
      <c r="I20" s="12" t="n">
        <v>27</v>
      </c>
      <c r="J20" s="12" t="n">
        <v>4</v>
      </c>
      <c r="K20" s="12" t="n">
        <v>179</v>
      </c>
      <c r="L20" s="12" t="n">
        <v>70</v>
      </c>
      <c r="M20" s="12" t="n">
        <v>117</v>
      </c>
      <c r="N20" s="12" t="n">
        <v>62</v>
      </c>
      <c r="O20" s="12" t="n">
        <v>142</v>
      </c>
      <c r="P20" s="12" t="n">
        <v>22</v>
      </c>
      <c r="Q20" s="12" t="n">
        <v>37</v>
      </c>
      <c r="R20" s="12" t="n">
        <v>61</v>
      </c>
      <c r="S20" s="12" t="n">
        <v>291</v>
      </c>
      <c r="T20" s="12" t="n">
        <v>307</v>
      </c>
      <c r="U20" s="12" t="n">
        <v>40</v>
      </c>
      <c r="V20" s="12" t="n">
        <v>18</v>
      </c>
      <c r="W20" s="12" t="n">
        <v>80</v>
      </c>
      <c r="X20" s="12" t="n">
        <v>10</v>
      </c>
      <c r="Y20" s="12" t="n">
        <v>25</v>
      </c>
      <c r="Z20" s="12" t="n">
        <v>44</v>
      </c>
      <c r="AA20" s="12" t="n">
        <v>80</v>
      </c>
      <c r="AB20" s="12" t="n">
        <v>107</v>
      </c>
      <c r="AC20" s="12" t="n">
        <v>68</v>
      </c>
      <c r="AD20" s="12" t="n">
        <v>50</v>
      </c>
      <c r="AE20" s="12" t="n">
        <v>60</v>
      </c>
      <c r="AF20" s="12" t="n">
        <v>9</v>
      </c>
    </row>
    <row r="21">
      <c r="A21" s="20" t="n"/>
      <c r="B21" s="13" t="inlineStr">
        <is>
          <t>Don't know</t>
        </is>
      </c>
      <c r="C21" s="14" t="n">
        <v>0.06</v>
      </c>
      <c r="D21" s="14" t="n">
        <v>0.01</v>
      </c>
      <c r="E21" s="14" t="n">
        <v>0.08</v>
      </c>
      <c r="F21" s="14" t="n">
        <v>0.01</v>
      </c>
      <c r="G21" s="14" t="n">
        <v>0.02</v>
      </c>
      <c r="H21" s="14" t="n">
        <v>0.02</v>
      </c>
      <c r="I21" s="14" t="n">
        <v>0.02</v>
      </c>
      <c r="J21" s="14" t="n">
        <v>0.01</v>
      </c>
      <c r="K21" s="14" t="n">
        <v>0.18</v>
      </c>
      <c r="L21" s="14" t="n">
        <v>0.07000000000000001</v>
      </c>
      <c r="M21" s="14" t="n">
        <v>0.12</v>
      </c>
      <c r="N21" s="14" t="n">
        <v>0.06</v>
      </c>
      <c r="O21" s="14" t="n">
        <v>0.14</v>
      </c>
      <c r="P21" s="14" t="n">
        <v>0.02</v>
      </c>
      <c r="Q21" s="14" t="n">
        <v>0.04</v>
      </c>
      <c r="R21" s="14" t="n">
        <v>0.12</v>
      </c>
      <c r="S21" s="14" t="n">
        <v>0.29</v>
      </c>
      <c r="T21" s="14" t="n">
        <v>0.3</v>
      </c>
      <c r="U21" s="14" t="n">
        <v>0.08</v>
      </c>
      <c r="V21" s="14" t="n">
        <v>0.02</v>
      </c>
      <c r="W21" s="14" t="n">
        <v>0.16</v>
      </c>
      <c r="X21" s="14" t="n">
        <v>0.01</v>
      </c>
      <c r="Y21" s="14" t="n">
        <v>0.02</v>
      </c>
      <c r="Z21" s="14" t="n">
        <v>0.04</v>
      </c>
      <c r="AA21" s="14" t="n">
        <v>0.08</v>
      </c>
      <c r="AB21" s="14" t="n">
        <v>0.1</v>
      </c>
      <c r="AC21" s="14" t="n">
        <v>0.07000000000000001</v>
      </c>
      <c r="AD21" s="14" t="n">
        <v>0.05</v>
      </c>
      <c r="AE21" s="14" t="n">
        <v>0.06</v>
      </c>
      <c r="AF21" s="14" t="n">
        <v>0.01</v>
      </c>
    </row>
    <row r="22">
      <c r="A22" s="20" t="n"/>
      <c r="B22" s="11" t="inlineStr">
        <is>
          <t>Moyenne</t>
        </is>
      </c>
      <c r="C22" s="12" t="n">
        <v>5.35</v>
      </c>
      <c r="D22" s="12" t="n">
        <v>5.3</v>
      </c>
      <c r="E22" s="12" t="n">
        <v>5.74</v>
      </c>
      <c r="F22" s="12" t="n">
        <v>5.84</v>
      </c>
      <c r="G22" s="12" t="n">
        <v>5.23</v>
      </c>
      <c r="H22" s="12" t="n">
        <v>5.15</v>
      </c>
      <c r="I22" s="12" t="n">
        <v>5.2</v>
      </c>
      <c r="J22" s="12" t="n">
        <v>5.39</v>
      </c>
      <c r="K22" s="12" t="n">
        <v>5.56</v>
      </c>
      <c r="L22" s="12" t="n">
        <v>5.05</v>
      </c>
      <c r="M22" s="12" t="n">
        <v>5.19</v>
      </c>
      <c r="N22" s="12" t="n">
        <v>4.97</v>
      </c>
      <c r="O22" s="12" t="n">
        <v>5.43</v>
      </c>
      <c r="P22" s="12" t="n">
        <v>5.85</v>
      </c>
      <c r="Q22" s="12" t="n">
        <v>5.43</v>
      </c>
      <c r="R22" s="12" t="n">
        <v>5.84</v>
      </c>
      <c r="S22" s="12" t="n">
        <v>5.93</v>
      </c>
      <c r="T22" s="12" t="n">
        <v>5.39</v>
      </c>
      <c r="U22" s="12" t="n">
        <v>5.06</v>
      </c>
      <c r="V22" s="12" t="n">
        <v>5.66</v>
      </c>
      <c r="W22" s="12" t="n">
        <v>5.34</v>
      </c>
      <c r="X22" s="12" t="n">
        <v>5.27</v>
      </c>
      <c r="Y22" s="12" t="n">
        <v>5.31</v>
      </c>
      <c r="Z22" s="12" t="n">
        <v>5.62</v>
      </c>
      <c r="AA22" s="12" t="n">
        <v>5.28</v>
      </c>
      <c r="AB22" s="12" t="n">
        <v>5.77</v>
      </c>
      <c r="AC22" s="12" t="n">
        <v>5.26</v>
      </c>
      <c r="AD22" s="12" t="n">
        <v>5.72</v>
      </c>
      <c r="AE22" s="12" t="n">
        <v>5.46</v>
      </c>
      <c r="AF22" s="12" t="n">
        <v>4.94</v>
      </c>
    </row>
    <row r="23">
      <c r="A23" s="23" t="n"/>
      <c r="B23" s="13" t="inlineStr">
        <is>
          <t>Average</t>
        </is>
      </c>
      <c r="C23" s="15" t="inlineStr">
        <is>
          <t>-</t>
        </is>
      </c>
      <c r="D23" s="15" t="inlineStr">
        <is>
          <t>-</t>
        </is>
      </c>
      <c r="E23" s="15" t="inlineStr">
        <is>
          <t>-</t>
        </is>
      </c>
      <c r="F23" s="15" t="inlineStr">
        <is>
          <t>-</t>
        </is>
      </c>
      <c r="G23" s="15" t="inlineStr">
        <is>
          <t>-</t>
        </is>
      </c>
      <c r="H23" s="15" t="inlineStr">
        <is>
          <t>-</t>
        </is>
      </c>
      <c r="I23" s="15" t="inlineStr">
        <is>
          <t>-</t>
        </is>
      </c>
      <c r="J23" s="15" t="inlineStr">
        <is>
          <t>-</t>
        </is>
      </c>
      <c r="K23" s="15" t="inlineStr">
        <is>
          <t>-</t>
        </is>
      </c>
      <c r="L23" s="15" t="inlineStr">
        <is>
          <t>-</t>
        </is>
      </c>
      <c r="M23" s="15" t="inlineStr">
        <is>
          <t>-</t>
        </is>
      </c>
      <c r="N23" s="15" t="inlineStr">
        <is>
          <t>-</t>
        </is>
      </c>
      <c r="O23" s="15" t="inlineStr">
        <is>
          <t>-</t>
        </is>
      </c>
      <c r="P23" s="15" t="inlineStr">
        <is>
          <t>-</t>
        </is>
      </c>
      <c r="Q23" s="15" t="inlineStr">
        <is>
          <t>-</t>
        </is>
      </c>
      <c r="R23" s="15" t="inlineStr">
        <is>
          <t>-</t>
        </is>
      </c>
      <c r="S23" s="15" t="inlineStr">
        <is>
          <t>-</t>
        </is>
      </c>
      <c r="T23" s="15" t="inlineStr">
        <is>
          <t>-</t>
        </is>
      </c>
      <c r="U23" s="15" t="inlineStr">
        <is>
          <t>-</t>
        </is>
      </c>
      <c r="V23" s="15" t="inlineStr">
        <is>
          <t>-</t>
        </is>
      </c>
      <c r="W23" s="15" t="inlineStr">
        <is>
          <t>-</t>
        </is>
      </c>
      <c r="X23" s="15" t="inlineStr">
        <is>
          <t>-</t>
        </is>
      </c>
      <c r="Y23" s="15" t="inlineStr">
        <is>
          <t>-</t>
        </is>
      </c>
      <c r="Z23" s="15" t="inlineStr">
        <is>
          <t>-</t>
        </is>
      </c>
      <c r="AA23" s="15" t="inlineStr">
        <is>
          <t>-</t>
        </is>
      </c>
      <c r="AB23" s="15" t="inlineStr">
        <is>
          <t>-</t>
        </is>
      </c>
      <c r="AC23" s="15" t="inlineStr">
        <is>
          <t>-</t>
        </is>
      </c>
      <c r="AD23" s="15" t="inlineStr">
        <is>
          <t>-</t>
        </is>
      </c>
      <c r="AE23" s="15" t="inlineStr">
        <is>
          <t>-</t>
        </is>
      </c>
      <c r="AF23" s="15" t="inlineStr">
        <is>
          <t>-</t>
        </is>
      </c>
    </row>
  </sheetData>
  <mergeCells count="9">
    <mergeCell ref="B4:F4"/>
    <mergeCell ref="H3:L3"/>
    <mergeCell ref="C8:AF8"/>
    <mergeCell ref="B3:F3"/>
    <mergeCell ref="B5:F5"/>
    <mergeCell ref="H5:L5"/>
    <mergeCell ref="B10:B11"/>
    <mergeCell ref="H4:L4"/>
    <mergeCell ref="A10:A23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3" ySplit="9" topLeftCell="D10" activePane="bottomRight" state="frozen"/>
      <selection pane="bottomRight" activeCell="A1" sqref="A1"/>
      <selection pane="bottomLeft" activeCell="A1" sqref="A1"/>
      <selection pane="topRight" activeCell="A1" sqref="A1"/>
    </sheetView>
  </sheetViews>
  <sheetFormatPr baseColWidth="8" defaultRowHeight="15"/>
  <cols>
    <col width="8.42578125" customWidth="1" style="18" min="1" max="1"/>
    <col width="19.28515625" customWidth="1" style="18" min="2" max="2"/>
    <col width="12.42578125" customWidth="1" style="18" min="3" max="32"/>
  </cols>
  <sheetData>
    <row r="1">
      <c r="I1" s="7" t="inlineStr">
        <is>
          <t>Eurobarometer - 105.3</t>
        </is>
      </c>
    </row>
    <row r="2">
      <c r="C2" s="7" t="inlineStr">
        <is>
          <t>VOL A weighted</t>
        </is>
      </c>
      <c r="H2" s="7" t="inlineStr">
        <is>
          <t>Terrain/Fieldwork : 9/4 - 4/5/2026</t>
        </is>
      </c>
    </row>
    <row r="3" ht="12" customHeight="1" s="18">
      <c r="B3" s="21" t="inlineStr">
        <is>
          <t>D1R2. Echelle politique gauche-droite</t>
        </is>
      </c>
      <c r="H3" s="21" t="inlineStr">
        <is>
          <t>D1R2. Left-right political scale</t>
        </is>
      </c>
    </row>
    <row r="4" ht="27" customHeight="1" s="18">
      <c r="B4" s="21" t="n"/>
      <c r="H4" s="21" t="n"/>
    </row>
    <row r="5" ht="12" customHeight="1" s="18">
      <c r="B5" s="21" t="inlineStr">
        <is>
          <t>Base: Ensemble</t>
        </is>
      </c>
      <c r="H5" s="21" t="inlineStr">
        <is>
          <t>Base: All respondents</t>
        </is>
      </c>
    </row>
    <row r="6" ht="0.95" customHeight="1" s="18"/>
    <row r="7" ht="0.95" customHeight="1" s="18"/>
    <row r="8">
      <c r="C8" s="22" t="n"/>
    </row>
    <row r="9">
      <c r="A9" s="5">
        <f>HYPERLINK("#Content!A83","&lt;&lt;Back to content")</f>
        <v/>
      </c>
      <c r="C9" s="8" t="inlineStr">
        <is>
          <t>UE27
EU27</t>
        </is>
      </c>
      <c r="D9" s="8" t="inlineStr">
        <is>
          <t>BE</t>
        </is>
      </c>
      <c r="E9" s="8" t="inlineStr">
        <is>
          <t>BG</t>
        </is>
      </c>
      <c r="F9" s="8" t="inlineStr">
        <is>
          <t>CZ</t>
        </is>
      </c>
      <c r="G9" s="8" t="inlineStr">
        <is>
          <t>DK</t>
        </is>
      </c>
      <c r="H9" s="8" t="inlineStr">
        <is>
          <t>DEW</t>
        </is>
      </c>
      <c r="I9" s="8" t="inlineStr">
        <is>
          <t>DE</t>
        </is>
      </c>
      <c r="J9" s="8" t="inlineStr">
        <is>
          <t>DEE</t>
        </is>
      </c>
      <c r="K9" s="8" t="inlineStr">
        <is>
          <t>EE</t>
        </is>
      </c>
      <c r="L9" s="8" t="inlineStr">
        <is>
          <t>IE</t>
        </is>
      </c>
      <c r="M9" s="8" t="inlineStr">
        <is>
          <t>EL</t>
        </is>
      </c>
      <c r="N9" s="8" t="inlineStr">
        <is>
          <t>ES</t>
        </is>
      </c>
      <c r="O9" s="8" t="inlineStr">
        <is>
          <t>FR</t>
        </is>
      </c>
      <c r="P9" s="8" t="inlineStr">
        <is>
          <t>HR</t>
        </is>
      </c>
      <c r="Q9" s="8" t="inlineStr">
        <is>
          <t>IT</t>
        </is>
      </c>
      <c r="R9" s="8" t="inlineStr">
        <is>
          <t>CY</t>
        </is>
      </c>
      <c r="S9" s="8" t="inlineStr">
        <is>
          <t>LV</t>
        </is>
      </c>
      <c r="T9" s="8" t="inlineStr">
        <is>
          <t>LT</t>
        </is>
      </c>
      <c r="U9" s="8" t="inlineStr">
        <is>
          <t>LU</t>
        </is>
      </c>
      <c r="V9" s="8" t="inlineStr">
        <is>
          <t>HU</t>
        </is>
      </c>
      <c r="W9" s="8" t="inlineStr">
        <is>
          <t>MT</t>
        </is>
      </c>
      <c r="X9" s="8" t="inlineStr">
        <is>
          <t>NL</t>
        </is>
      </c>
      <c r="Y9" s="8" t="inlineStr">
        <is>
          <t>AT</t>
        </is>
      </c>
      <c r="Z9" s="8" t="inlineStr">
        <is>
          <t>PL</t>
        </is>
      </c>
      <c r="AA9" s="8" t="inlineStr">
        <is>
          <t>PT</t>
        </is>
      </c>
      <c r="AB9" s="8" t="inlineStr">
        <is>
          <t>RO</t>
        </is>
      </c>
      <c r="AC9" s="8" t="inlineStr">
        <is>
          <t>SI</t>
        </is>
      </c>
      <c r="AD9" s="8" t="inlineStr">
        <is>
          <t>SK</t>
        </is>
      </c>
      <c r="AE9" s="8" t="inlineStr">
        <is>
          <t>FI</t>
        </is>
      </c>
      <c r="AF9" s="8" t="inlineStr">
        <is>
          <t>SE</t>
        </is>
      </c>
    </row>
    <row r="10">
      <c r="A10" s="19" t="n"/>
      <c r="B10" s="17" t="inlineStr">
        <is>
          <t>Total</t>
        </is>
      </c>
      <c r="C10" s="10" t="n">
        <v>26421</v>
      </c>
      <c r="D10" s="10" t="n">
        <v>1021</v>
      </c>
      <c r="E10" s="10" t="n">
        <v>1014</v>
      </c>
      <c r="F10" s="10" t="n">
        <v>1049</v>
      </c>
      <c r="G10" s="10" t="n">
        <v>1007</v>
      </c>
      <c r="H10" s="10" t="n">
        <v>1214</v>
      </c>
      <c r="I10" s="10" t="n">
        <v>1507</v>
      </c>
      <c r="J10" s="10" t="n">
        <v>293</v>
      </c>
      <c r="K10" s="10" t="n">
        <v>1006</v>
      </c>
      <c r="L10" s="10" t="n">
        <v>1010</v>
      </c>
      <c r="M10" s="10" t="n">
        <v>1007</v>
      </c>
      <c r="N10" s="10" t="n">
        <v>1006</v>
      </c>
      <c r="O10" s="10" t="n">
        <v>1016</v>
      </c>
      <c r="P10" s="10" t="n">
        <v>1007</v>
      </c>
      <c r="Q10" s="10" t="n">
        <v>1029</v>
      </c>
      <c r="R10" s="10" t="n">
        <v>504</v>
      </c>
      <c r="S10" s="10" t="n">
        <v>1005</v>
      </c>
      <c r="T10" s="10" t="n">
        <v>1017</v>
      </c>
      <c r="U10" s="10" t="n">
        <v>508</v>
      </c>
      <c r="V10" s="10" t="n">
        <v>1020</v>
      </c>
      <c r="W10" s="10" t="n">
        <v>505</v>
      </c>
      <c r="X10" s="10" t="n">
        <v>1023</v>
      </c>
      <c r="Y10" s="10" t="n">
        <v>1003</v>
      </c>
      <c r="Z10" s="10" t="n">
        <v>1020</v>
      </c>
      <c r="AA10" s="10" t="n">
        <v>1031</v>
      </c>
      <c r="AB10" s="10" t="n">
        <v>1045</v>
      </c>
      <c r="AC10" s="10" t="n">
        <v>1007</v>
      </c>
      <c r="AD10" s="10" t="n">
        <v>1001</v>
      </c>
      <c r="AE10" s="10" t="n">
        <v>1016</v>
      </c>
      <c r="AF10" s="10" t="n">
        <v>1037</v>
      </c>
    </row>
    <row r="11">
      <c r="A11" s="20" t="n"/>
      <c r="B11" s="20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</row>
    <row r="12">
      <c r="A12" s="20" t="n"/>
      <c r="B12" s="11" t="inlineStr">
        <is>
          <t>(1-2)  Gauche</t>
        </is>
      </c>
      <c r="C12" s="12" t="n">
        <v>1883</v>
      </c>
      <c r="D12" s="12" t="n">
        <v>74</v>
      </c>
      <c r="E12" s="12" t="n">
        <v>82</v>
      </c>
      <c r="F12" s="12" t="n">
        <v>48</v>
      </c>
      <c r="G12" s="12" t="n">
        <v>109</v>
      </c>
      <c r="H12" s="12" t="n">
        <v>96</v>
      </c>
      <c r="I12" s="12" t="n">
        <v>112</v>
      </c>
      <c r="J12" s="12" t="n">
        <v>17</v>
      </c>
      <c r="K12" s="12" t="n">
        <v>64</v>
      </c>
      <c r="L12" s="12" t="n">
        <v>38</v>
      </c>
      <c r="M12" s="12" t="n">
        <v>57</v>
      </c>
      <c r="N12" s="12" t="n">
        <v>89</v>
      </c>
      <c r="O12" s="12" t="n">
        <v>76</v>
      </c>
      <c r="P12" s="12" t="n">
        <v>75</v>
      </c>
      <c r="Q12" s="12" t="n">
        <v>53</v>
      </c>
      <c r="R12" s="12" t="n">
        <v>30</v>
      </c>
      <c r="S12" s="12" t="n">
        <v>23</v>
      </c>
      <c r="T12" s="12" t="n">
        <v>72</v>
      </c>
      <c r="U12" s="12" t="n">
        <v>16</v>
      </c>
      <c r="V12" s="12" t="n">
        <v>57</v>
      </c>
      <c r="W12" s="12" t="n">
        <v>45</v>
      </c>
      <c r="X12" s="12" t="n">
        <v>90</v>
      </c>
      <c r="Y12" s="12" t="n">
        <v>64</v>
      </c>
      <c r="Z12" s="12" t="n">
        <v>63</v>
      </c>
      <c r="AA12" s="12" t="n">
        <v>73</v>
      </c>
      <c r="AB12" s="12" t="n">
        <v>77</v>
      </c>
      <c r="AC12" s="12" t="n">
        <v>97</v>
      </c>
      <c r="AD12" s="12" t="n">
        <v>74</v>
      </c>
      <c r="AE12" s="12" t="n">
        <v>78</v>
      </c>
      <c r="AF12" s="12" t="n">
        <v>111</v>
      </c>
    </row>
    <row r="13">
      <c r="A13" s="20" t="n"/>
      <c r="B13" s="13" t="inlineStr">
        <is>
          <t>(1-2) Left</t>
        </is>
      </c>
      <c r="C13" s="14" t="n">
        <v>0.07000000000000001</v>
      </c>
      <c r="D13" s="14" t="n">
        <v>0.07000000000000001</v>
      </c>
      <c r="E13" s="14" t="n">
        <v>0.08</v>
      </c>
      <c r="F13" s="14" t="n">
        <v>0.05</v>
      </c>
      <c r="G13" s="14" t="n">
        <v>0.11</v>
      </c>
      <c r="H13" s="14" t="n">
        <v>0.08</v>
      </c>
      <c r="I13" s="14" t="n">
        <v>0.08</v>
      </c>
      <c r="J13" s="14" t="n">
        <v>0.06</v>
      </c>
      <c r="K13" s="14" t="n">
        <v>0.06</v>
      </c>
      <c r="L13" s="14" t="n">
        <v>0.04</v>
      </c>
      <c r="M13" s="14" t="n">
        <v>0.06</v>
      </c>
      <c r="N13" s="14" t="n">
        <v>0.09</v>
      </c>
      <c r="O13" s="14" t="n">
        <v>0.07000000000000001</v>
      </c>
      <c r="P13" s="14" t="n">
        <v>0.07000000000000001</v>
      </c>
      <c r="Q13" s="14" t="n">
        <v>0.05</v>
      </c>
      <c r="R13" s="14" t="n">
        <v>0.06</v>
      </c>
      <c r="S13" s="14" t="n">
        <v>0.02</v>
      </c>
      <c r="T13" s="14" t="n">
        <v>0.07000000000000001</v>
      </c>
      <c r="U13" s="14" t="n">
        <v>0.03</v>
      </c>
      <c r="V13" s="14" t="n">
        <v>0.06</v>
      </c>
      <c r="W13" s="14" t="n">
        <v>0.09</v>
      </c>
      <c r="X13" s="14" t="n">
        <v>0.09</v>
      </c>
      <c r="Y13" s="14" t="n">
        <v>0.06</v>
      </c>
      <c r="Z13" s="14" t="n">
        <v>0.06</v>
      </c>
      <c r="AA13" s="14" t="n">
        <v>0.07000000000000001</v>
      </c>
      <c r="AB13" s="14" t="n">
        <v>0.07000000000000001</v>
      </c>
      <c r="AC13" s="14" t="n">
        <v>0.09</v>
      </c>
      <c r="AD13" s="14" t="n">
        <v>0.07000000000000001</v>
      </c>
      <c r="AE13" s="14" t="n">
        <v>0.08</v>
      </c>
      <c r="AF13" s="14" t="n">
        <v>0.11</v>
      </c>
    </row>
    <row r="14">
      <c r="A14" s="20" t="n"/>
      <c r="B14" s="11" t="inlineStr">
        <is>
          <t>(3-4)</t>
        </is>
      </c>
      <c r="C14" s="12" t="n">
        <v>5485</v>
      </c>
      <c r="D14" s="12" t="n">
        <v>225</v>
      </c>
      <c r="E14" s="12" t="n">
        <v>143</v>
      </c>
      <c r="F14" s="12" t="n">
        <v>170</v>
      </c>
      <c r="G14" s="12" t="n">
        <v>252</v>
      </c>
      <c r="H14" s="12" t="n">
        <v>262</v>
      </c>
      <c r="I14" s="12" t="n">
        <v>320</v>
      </c>
      <c r="J14" s="12" t="n">
        <v>58</v>
      </c>
      <c r="K14" s="12" t="n">
        <v>123</v>
      </c>
      <c r="L14" s="12" t="n">
        <v>185</v>
      </c>
      <c r="M14" s="12" t="n">
        <v>206</v>
      </c>
      <c r="N14" s="12" t="n">
        <v>249</v>
      </c>
      <c r="O14" s="12" t="n">
        <v>192</v>
      </c>
      <c r="P14" s="12" t="n">
        <v>183</v>
      </c>
      <c r="Q14" s="12" t="n">
        <v>227</v>
      </c>
      <c r="R14" s="12" t="n">
        <v>47</v>
      </c>
      <c r="S14" s="12" t="n">
        <v>56</v>
      </c>
      <c r="T14" s="12" t="n">
        <v>100</v>
      </c>
      <c r="U14" s="12" t="n">
        <v>105</v>
      </c>
      <c r="V14" s="12" t="n">
        <v>184</v>
      </c>
      <c r="W14" s="12" t="n">
        <v>76</v>
      </c>
      <c r="X14" s="12" t="n">
        <v>263</v>
      </c>
      <c r="Y14" s="12" t="n">
        <v>243</v>
      </c>
      <c r="Z14" s="12" t="n">
        <v>195</v>
      </c>
      <c r="AA14" s="12" t="n">
        <v>204</v>
      </c>
      <c r="AB14" s="12" t="n">
        <v>115</v>
      </c>
      <c r="AC14" s="12" t="n">
        <v>153</v>
      </c>
      <c r="AD14" s="12" t="n">
        <v>159</v>
      </c>
      <c r="AE14" s="12" t="n">
        <v>220</v>
      </c>
      <c r="AF14" s="12" t="n">
        <v>380</v>
      </c>
    </row>
    <row r="15">
      <c r="A15" s="20" t="n"/>
      <c r="B15" s="13" t="inlineStr">
        <is>
          <t>(3-4)</t>
        </is>
      </c>
      <c r="C15" s="14" t="n">
        <v>0.21</v>
      </c>
      <c r="D15" s="14" t="n">
        <v>0.22</v>
      </c>
      <c r="E15" s="14" t="n">
        <v>0.14</v>
      </c>
      <c r="F15" s="14" t="n">
        <v>0.16</v>
      </c>
      <c r="G15" s="14" t="n">
        <v>0.25</v>
      </c>
      <c r="H15" s="14" t="n">
        <v>0.22</v>
      </c>
      <c r="I15" s="14" t="n">
        <v>0.21</v>
      </c>
      <c r="J15" s="14" t="n">
        <v>0.2</v>
      </c>
      <c r="K15" s="14" t="n">
        <v>0.12</v>
      </c>
      <c r="L15" s="14" t="n">
        <v>0.18</v>
      </c>
      <c r="M15" s="14" t="n">
        <v>0.2</v>
      </c>
      <c r="N15" s="14" t="n">
        <v>0.25</v>
      </c>
      <c r="O15" s="14" t="n">
        <v>0.19</v>
      </c>
      <c r="P15" s="14" t="n">
        <v>0.18</v>
      </c>
      <c r="Q15" s="14" t="n">
        <v>0.22</v>
      </c>
      <c r="R15" s="14" t="n">
        <v>0.09</v>
      </c>
      <c r="S15" s="14" t="n">
        <v>0.06</v>
      </c>
      <c r="T15" s="14" t="n">
        <v>0.1</v>
      </c>
      <c r="U15" s="14" t="n">
        <v>0.21</v>
      </c>
      <c r="V15" s="14" t="n">
        <v>0.18</v>
      </c>
      <c r="W15" s="14" t="n">
        <v>0.15</v>
      </c>
      <c r="X15" s="14" t="n">
        <v>0.26</v>
      </c>
      <c r="Y15" s="14" t="n">
        <v>0.24</v>
      </c>
      <c r="Z15" s="14" t="n">
        <v>0.19</v>
      </c>
      <c r="AA15" s="14" t="n">
        <v>0.2</v>
      </c>
      <c r="AB15" s="14" t="n">
        <v>0.11</v>
      </c>
      <c r="AC15" s="14" t="n">
        <v>0.15</v>
      </c>
      <c r="AD15" s="14" t="n">
        <v>0.16</v>
      </c>
      <c r="AE15" s="14" t="n">
        <v>0.22</v>
      </c>
      <c r="AF15" s="14" t="n">
        <v>0.37</v>
      </c>
    </row>
    <row r="16">
      <c r="A16" s="20" t="n"/>
      <c r="B16" s="11" t="inlineStr">
        <is>
          <t>(5-6)  Centre</t>
        </is>
      </c>
      <c r="C16" s="12" t="n">
        <v>9639</v>
      </c>
      <c r="D16" s="12" t="n">
        <v>437</v>
      </c>
      <c r="E16" s="12" t="n">
        <v>300</v>
      </c>
      <c r="F16" s="12" t="n">
        <v>464</v>
      </c>
      <c r="G16" s="12" t="n">
        <v>291</v>
      </c>
      <c r="H16" s="12" t="n">
        <v>560</v>
      </c>
      <c r="I16" s="12" t="n">
        <v>693</v>
      </c>
      <c r="J16" s="12" t="n">
        <v>133</v>
      </c>
      <c r="K16" s="12" t="n">
        <v>347</v>
      </c>
      <c r="L16" s="12" t="n">
        <v>592</v>
      </c>
      <c r="M16" s="12" t="n">
        <v>301</v>
      </c>
      <c r="N16" s="12" t="n">
        <v>366</v>
      </c>
      <c r="O16" s="12" t="n">
        <v>287</v>
      </c>
      <c r="P16" s="12" t="n">
        <v>349</v>
      </c>
      <c r="Q16" s="12" t="n">
        <v>339</v>
      </c>
      <c r="R16" s="12" t="n">
        <v>146</v>
      </c>
      <c r="S16" s="12" t="n">
        <v>368</v>
      </c>
      <c r="T16" s="12" t="n">
        <v>334</v>
      </c>
      <c r="U16" s="12" t="n">
        <v>262</v>
      </c>
      <c r="V16" s="12" t="n">
        <v>395</v>
      </c>
      <c r="W16" s="12" t="n">
        <v>179</v>
      </c>
      <c r="X16" s="12" t="n">
        <v>359</v>
      </c>
      <c r="Y16" s="12" t="n">
        <v>351</v>
      </c>
      <c r="Z16" s="12" t="n">
        <v>408</v>
      </c>
      <c r="AA16" s="12" t="n">
        <v>335</v>
      </c>
      <c r="AB16" s="12" t="n">
        <v>353</v>
      </c>
      <c r="AC16" s="12" t="n">
        <v>379</v>
      </c>
      <c r="AD16" s="12" t="n">
        <v>357</v>
      </c>
      <c r="AE16" s="12" t="n">
        <v>327</v>
      </c>
      <c r="AF16" s="12" t="n">
        <v>262</v>
      </c>
    </row>
    <row r="17">
      <c r="A17" s="20" t="n"/>
      <c r="B17" s="13" t="inlineStr">
        <is>
          <t>(5-6)  Centre</t>
        </is>
      </c>
      <c r="C17" s="14" t="n">
        <v>0.36</v>
      </c>
      <c r="D17" s="14" t="n">
        <v>0.43</v>
      </c>
      <c r="E17" s="14" t="n">
        <v>0.3</v>
      </c>
      <c r="F17" s="14" t="n">
        <v>0.44</v>
      </c>
      <c r="G17" s="14" t="n">
        <v>0.29</v>
      </c>
      <c r="H17" s="14" t="n">
        <v>0.46</v>
      </c>
      <c r="I17" s="14" t="n">
        <v>0.46</v>
      </c>
      <c r="J17" s="14" t="n">
        <v>0.45</v>
      </c>
      <c r="K17" s="14" t="n">
        <v>0.35</v>
      </c>
      <c r="L17" s="14" t="n">
        <v>0.59</v>
      </c>
      <c r="M17" s="14" t="n">
        <v>0.3</v>
      </c>
      <c r="N17" s="14" t="n">
        <v>0.36</v>
      </c>
      <c r="O17" s="14" t="n">
        <v>0.28</v>
      </c>
      <c r="P17" s="14" t="n">
        <v>0.35</v>
      </c>
      <c r="Q17" s="14" t="n">
        <v>0.33</v>
      </c>
      <c r="R17" s="14" t="n">
        <v>0.29</v>
      </c>
      <c r="S17" s="14" t="n">
        <v>0.37</v>
      </c>
      <c r="T17" s="14" t="n">
        <v>0.33</v>
      </c>
      <c r="U17" s="14" t="n">
        <v>0.52</v>
      </c>
      <c r="V17" s="14" t="n">
        <v>0.39</v>
      </c>
      <c r="W17" s="14" t="n">
        <v>0.35</v>
      </c>
      <c r="X17" s="14" t="n">
        <v>0.35</v>
      </c>
      <c r="Y17" s="14" t="n">
        <v>0.35</v>
      </c>
      <c r="Z17" s="14" t="n">
        <v>0.4</v>
      </c>
      <c r="AA17" s="14" t="n">
        <v>0.32</v>
      </c>
      <c r="AB17" s="14" t="n">
        <v>0.34</v>
      </c>
      <c r="AC17" s="14" t="n">
        <v>0.38</v>
      </c>
      <c r="AD17" s="14" t="n">
        <v>0.36</v>
      </c>
      <c r="AE17" s="14" t="n">
        <v>0.32</v>
      </c>
      <c r="AF17" s="14" t="n">
        <v>0.25</v>
      </c>
    </row>
    <row r="18">
      <c r="A18" s="20" t="n"/>
      <c r="B18" s="11" t="inlineStr">
        <is>
          <t>(7-8)</t>
        </is>
      </c>
      <c r="C18" s="12" t="n">
        <v>5166</v>
      </c>
      <c r="D18" s="12" t="n">
        <v>223</v>
      </c>
      <c r="E18" s="12" t="n">
        <v>245</v>
      </c>
      <c r="F18" s="12" t="n">
        <v>242</v>
      </c>
      <c r="G18" s="12" t="n">
        <v>263</v>
      </c>
      <c r="H18" s="12" t="n">
        <v>217</v>
      </c>
      <c r="I18" s="12" t="n">
        <v>278</v>
      </c>
      <c r="J18" s="12" t="n">
        <v>61</v>
      </c>
      <c r="K18" s="12" t="n">
        <v>170</v>
      </c>
      <c r="L18" s="12" t="n">
        <v>108</v>
      </c>
      <c r="M18" s="12" t="n">
        <v>154</v>
      </c>
      <c r="N18" s="12" t="n">
        <v>147</v>
      </c>
      <c r="O18" s="12" t="n">
        <v>192</v>
      </c>
      <c r="P18" s="12" t="n">
        <v>205</v>
      </c>
      <c r="Q18" s="12" t="n">
        <v>216</v>
      </c>
      <c r="R18" s="12" t="n">
        <v>85</v>
      </c>
      <c r="S18" s="12" t="n">
        <v>202</v>
      </c>
      <c r="T18" s="12" t="n">
        <v>85</v>
      </c>
      <c r="U18" s="12" t="n">
        <v>57</v>
      </c>
      <c r="V18" s="12" t="n">
        <v>228</v>
      </c>
      <c r="W18" s="12" t="n">
        <v>67</v>
      </c>
      <c r="X18" s="12" t="n">
        <v>256</v>
      </c>
      <c r="Y18" s="12" t="n">
        <v>197</v>
      </c>
      <c r="Z18" s="12" t="n">
        <v>208</v>
      </c>
      <c r="AA18" s="12" t="n">
        <v>171</v>
      </c>
      <c r="AB18" s="12" t="n">
        <v>265</v>
      </c>
      <c r="AC18" s="12" t="n">
        <v>111</v>
      </c>
      <c r="AD18" s="12" t="n">
        <v>254</v>
      </c>
      <c r="AE18" s="12" t="n">
        <v>265</v>
      </c>
      <c r="AF18" s="12" t="n">
        <v>221</v>
      </c>
    </row>
    <row r="19">
      <c r="A19" s="20" t="n"/>
      <c r="B19" s="13" t="inlineStr">
        <is>
          <t>(7-8)</t>
        </is>
      </c>
      <c r="C19" s="14" t="n">
        <v>0.2</v>
      </c>
      <c r="D19" s="14" t="n">
        <v>0.22</v>
      </c>
      <c r="E19" s="14" t="n">
        <v>0.24</v>
      </c>
      <c r="F19" s="14" t="n">
        <v>0.23</v>
      </c>
      <c r="G19" s="14" t="n">
        <v>0.26</v>
      </c>
      <c r="H19" s="14" t="n">
        <v>0.18</v>
      </c>
      <c r="I19" s="14" t="n">
        <v>0.18</v>
      </c>
      <c r="J19" s="14" t="n">
        <v>0.21</v>
      </c>
      <c r="K19" s="14" t="n">
        <v>0.17</v>
      </c>
      <c r="L19" s="14" t="n">
        <v>0.11</v>
      </c>
      <c r="M19" s="14" t="n">
        <v>0.15</v>
      </c>
      <c r="N19" s="14" t="n">
        <v>0.15</v>
      </c>
      <c r="O19" s="14" t="n">
        <v>0.19</v>
      </c>
      <c r="P19" s="14" t="n">
        <v>0.2</v>
      </c>
      <c r="Q19" s="14" t="n">
        <v>0.21</v>
      </c>
      <c r="R19" s="14" t="n">
        <v>0.17</v>
      </c>
      <c r="S19" s="14" t="n">
        <v>0.2</v>
      </c>
      <c r="T19" s="14" t="n">
        <v>0.08</v>
      </c>
      <c r="U19" s="14" t="n">
        <v>0.11</v>
      </c>
      <c r="V19" s="14" t="n">
        <v>0.22</v>
      </c>
      <c r="W19" s="14" t="n">
        <v>0.13</v>
      </c>
      <c r="X19" s="14" t="n">
        <v>0.25</v>
      </c>
      <c r="Y19" s="14" t="n">
        <v>0.2</v>
      </c>
      <c r="Z19" s="14" t="n">
        <v>0.2</v>
      </c>
      <c r="AA19" s="14" t="n">
        <v>0.17</v>
      </c>
      <c r="AB19" s="14" t="n">
        <v>0.25</v>
      </c>
      <c r="AC19" s="14" t="n">
        <v>0.11</v>
      </c>
      <c r="AD19" s="14" t="n">
        <v>0.25</v>
      </c>
      <c r="AE19" s="14" t="n">
        <v>0.26</v>
      </c>
      <c r="AF19" s="14" t="n">
        <v>0.21</v>
      </c>
    </row>
    <row r="20">
      <c r="A20" s="20" t="n"/>
      <c r="B20" s="11" t="inlineStr">
        <is>
          <t>(9-10) Droite</t>
        </is>
      </c>
      <c r="C20" s="12" t="n">
        <v>1496</v>
      </c>
      <c r="D20" s="12" t="n">
        <v>43</v>
      </c>
      <c r="E20" s="12" t="n">
        <v>87</v>
      </c>
      <c r="F20" s="12" t="n">
        <v>107</v>
      </c>
      <c r="G20" s="12" t="n">
        <v>55</v>
      </c>
      <c r="H20" s="12" t="n">
        <v>37</v>
      </c>
      <c r="I20" s="12" t="n">
        <v>51</v>
      </c>
      <c r="J20" s="12" t="n">
        <v>14</v>
      </c>
      <c r="K20" s="12" t="n">
        <v>62</v>
      </c>
      <c r="L20" s="12" t="n">
        <v>10</v>
      </c>
      <c r="M20" s="12" t="n">
        <v>42</v>
      </c>
      <c r="N20" s="12" t="n">
        <v>42</v>
      </c>
      <c r="O20" s="12" t="n">
        <v>78</v>
      </c>
      <c r="P20" s="12" t="n">
        <v>146</v>
      </c>
      <c r="Q20" s="12" t="n">
        <v>48</v>
      </c>
      <c r="R20" s="12" t="n">
        <v>51</v>
      </c>
      <c r="S20" s="12" t="n">
        <v>41</v>
      </c>
      <c r="T20" s="12" t="n">
        <v>73</v>
      </c>
      <c r="U20" s="12" t="n">
        <v>10</v>
      </c>
      <c r="V20" s="12" t="n">
        <v>77</v>
      </c>
      <c r="W20" s="12" t="n">
        <v>41</v>
      </c>
      <c r="X20" s="12" t="n">
        <v>36</v>
      </c>
      <c r="Y20" s="12" t="n">
        <v>50</v>
      </c>
      <c r="Z20" s="12" t="n">
        <v>88</v>
      </c>
      <c r="AA20" s="12" t="n">
        <v>72</v>
      </c>
      <c r="AB20" s="12" t="n">
        <v>79</v>
      </c>
      <c r="AC20" s="12" t="n">
        <v>99</v>
      </c>
      <c r="AD20" s="12" t="n">
        <v>85</v>
      </c>
      <c r="AE20" s="12" t="n">
        <v>51</v>
      </c>
      <c r="AF20" s="12" t="n">
        <v>49</v>
      </c>
    </row>
    <row r="21">
      <c r="A21" s="20" t="n"/>
      <c r="B21" s="13" t="inlineStr">
        <is>
          <t>(9-10) Right</t>
        </is>
      </c>
      <c r="C21" s="14" t="n">
        <v>0.06</v>
      </c>
      <c r="D21" s="14" t="n">
        <v>0.04</v>
      </c>
      <c r="E21" s="14" t="n">
        <v>0.09</v>
      </c>
      <c r="F21" s="14" t="n">
        <v>0.1</v>
      </c>
      <c r="G21" s="14" t="n">
        <v>0.05</v>
      </c>
      <c r="H21" s="14" t="n">
        <v>0.03</v>
      </c>
      <c r="I21" s="14" t="n">
        <v>0.03</v>
      </c>
      <c r="J21" s="14" t="n">
        <v>0.05</v>
      </c>
      <c r="K21" s="14" t="n">
        <v>0.06</v>
      </c>
      <c r="L21" s="14" t="n">
        <v>0.01</v>
      </c>
      <c r="M21" s="14" t="n">
        <v>0.04</v>
      </c>
      <c r="N21" s="14" t="n">
        <v>0.04</v>
      </c>
      <c r="O21" s="14" t="n">
        <v>0.08</v>
      </c>
      <c r="P21" s="14" t="n">
        <v>0.15</v>
      </c>
      <c r="Q21" s="14" t="n">
        <v>0.05</v>
      </c>
      <c r="R21" s="14" t="n">
        <v>0.1</v>
      </c>
      <c r="S21" s="14" t="n">
        <v>0.04</v>
      </c>
      <c r="T21" s="14" t="n">
        <v>0.07000000000000001</v>
      </c>
      <c r="U21" s="14" t="n">
        <v>0.02</v>
      </c>
      <c r="V21" s="14" t="n">
        <v>0.07000000000000001</v>
      </c>
      <c r="W21" s="14" t="n">
        <v>0.08</v>
      </c>
      <c r="X21" s="14" t="n">
        <v>0.03</v>
      </c>
      <c r="Y21" s="14" t="n">
        <v>0.05</v>
      </c>
      <c r="Z21" s="14" t="n">
        <v>0.09</v>
      </c>
      <c r="AA21" s="14" t="n">
        <v>0.07000000000000001</v>
      </c>
      <c r="AB21" s="14" t="n">
        <v>0.08</v>
      </c>
      <c r="AC21" s="14" t="n">
        <v>0.1</v>
      </c>
      <c r="AD21" s="14" t="n">
        <v>0.09</v>
      </c>
      <c r="AE21" s="14" t="n">
        <v>0.05</v>
      </c>
      <c r="AF21" s="14" t="n">
        <v>0.05</v>
      </c>
    </row>
    <row r="22">
      <c r="A22" s="20" t="n"/>
      <c r="B22" s="11" t="inlineStr">
        <is>
          <t>Refus (SPONTANÉ)</t>
        </is>
      </c>
      <c r="C22" s="12" t="n">
        <v>1201</v>
      </c>
      <c r="D22" s="12" t="n">
        <v>5</v>
      </c>
      <c r="E22" s="12" t="n">
        <v>72</v>
      </c>
      <c r="F22" s="12" t="n">
        <v>7</v>
      </c>
      <c r="G22" s="12" t="n">
        <v>18</v>
      </c>
      <c r="H22" s="12" t="n">
        <v>18</v>
      </c>
      <c r="I22" s="12" t="n">
        <v>25</v>
      </c>
      <c r="J22" s="12" t="n">
        <v>7</v>
      </c>
      <c r="K22" s="12" t="n">
        <v>60</v>
      </c>
      <c r="L22" s="12" t="n">
        <v>6</v>
      </c>
      <c r="M22" s="12" t="n">
        <v>129</v>
      </c>
      <c r="N22" s="12" t="n">
        <v>52</v>
      </c>
      <c r="O22" s="12" t="n">
        <v>48</v>
      </c>
      <c r="P22" s="12" t="n">
        <v>27</v>
      </c>
      <c r="Q22" s="12" t="n">
        <v>109</v>
      </c>
      <c r="R22" s="12" t="n">
        <v>84</v>
      </c>
      <c r="S22" s="12" t="n">
        <v>23</v>
      </c>
      <c r="T22" s="12" t="n">
        <v>47</v>
      </c>
      <c r="U22" s="12" t="n">
        <v>17</v>
      </c>
      <c r="V22" s="12" t="n">
        <v>60</v>
      </c>
      <c r="W22" s="12" t="n">
        <v>17</v>
      </c>
      <c r="X22" s="12" t="n">
        <v>9</v>
      </c>
      <c r="Y22" s="12" t="n">
        <v>72</v>
      </c>
      <c r="Z22" s="12" t="n">
        <v>14</v>
      </c>
      <c r="AA22" s="12" t="n">
        <v>96</v>
      </c>
      <c r="AB22" s="12" t="n">
        <v>50</v>
      </c>
      <c r="AC22" s="12" t="n">
        <v>100</v>
      </c>
      <c r="AD22" s="12" t="n">
        <v>22</v>
      </c>
      <c r="AE22" s="12" t="n">
        <v>16</v>
      </c>
      <c r="AF22" s="12" t="n">
        <v>4</v>
      </c>
    </row>
    <row r="23">
      <c r="A23" s="20" t="n"/>
      <c r="B23" s="13" t="inlineStr">
        <is>
          <t>Refusal (SPONTANEOUS)</t>
        </is>
      </c>
      <c r="C23" s="14" t="n">
        <v>0.04</v>
      </c>
      <c r="D23" s="14" t="n">
        <v>0.01</v>
      </c>
      <c r="E23" s="14" t="n">
        <v>0.07000000000000001</v>
      </c>
      <c r="F23" s="14" t="n">
        <v>0.01</v>
      </c>
      <c r="G23" s="14" t="n">
        <v>0.02</v>
      </c>
      <c r="H23" s="14" t="n">
        <v>0.01</v>
      </c>
      <c r="I23" s="14" t="n">
        <v>0.02</v>
      </c>
      <c r="J23" s="14" t="n">
        <v>0.02</v>
      </c>
      <c r="K23" s="14" t="n">
        <v>0.06</v>
      </c>
      <c r="L23" s="15" t="inlineStr">
        <is>
          <t>-</t>
        </is>
      </c>
      <c r="M23" s="14" t="n">
        <v>0.13</v>
      </c>
      <c r="N23" s="14" t="n">
        <v>0.05</v>
      </c>
      <c r="O23" s="14" t="n">
        <v>0.05</v>
      </c>
      <c r="P23" s="14" t="n">
        <v>0.03</v>
      </c>
      <c r="Q23" s="14" t="n">
        <v>0.1</v>
      </c>
      <c r="R23" s="14" t="n">
        <v>0.17</v>
      </c>
      <c r="S23" s="14" t="n">
        <v>0.02</v>
      </c>
      <c r="T23" s="14" t="n">
        <v>0.05</v>
      </c>
      <c r="U23" s="14" t="n">
        <v>0.03</v>
      </c>
      <c r="V23" s="14" t="n">
        <v>0.06</v>
      </c>
      <c r="W23" s="14" t="n">
        <v>0.04</v>
      </c>
      <c r="X23" s="14" t="n">
        <v>0.01</v>
      </c>
      <c r="Y23" s="14" t="n">
        <v>0.07000000000000001</v>
      </c>
      <c r="Z23" s="14" t="n">
        <v>0.02</v>
      </c>
      <c r="AA23" s="14" t="n">
        <v>0.09</v>
      </c>
      <c r="AB23" s="14" t="n">
        <v>0.05</v>
      </c>
      <c r="AC23" s="14" t="n">
        <v>0.1</v>
      </c>
      <c r="AD23" s="14" t="n">
        <v>0.02</v>
      </c>
      <c r="AE23" s="14" t="n">
        <v>0.01</v>
      </c>
      <c r="AF23" s="15" t="inlineStr">
        <is>
          <t>-</t>
        </is>
      </c>
    </row>
    <row r="24">
      <c r="A24" s="20" t="n"/>
      <c r="B24" s="11" t="inlineStr">
        <is>
          <t>Ne sait pas</t>
        </is>
      </c>
      <c r="C24" s="12" t="n">
        <v>1550</v>
      </c>
      <c r="D24" s="12" t="n">
        <v>15</v>
      </c>
      <c r="E24" s="12" t="n">
        <v>86</v>
      </c>
      <c r="F24" s="12" t="n">
        <v>11</v>
      </c>
      <c r="G24" s="12" t="n">
        <v>19</v>
      </c>
      <c r="H24" s="12" t="n">
        <v>23</v>
      </c>
      <c r="I24" s="12" t="n">
        <v>27</v>
      </c>
      <c r="J24" s="12" t="n">
        <v>4</v>
      </c>
      <c r="K24" s="12" t="n">
        <v>179</v>
      </c>
      <c r="L24" s="12" t="n">
        <v>70</v>
      </c>
      <c r="M24" s="12" t="n">
        <v>117</v>
      </c>
      <c r="N24" s="12" t="n">
        <v>62</v>
      </c>
      <c r="O24" s="12" t="n">
        <v>142</v>
      </c>
      <c r="P24" s="12" t="n">
        <v>22</v>
      </c>
      <c r="Q24" s="12" t="n">
        <v>37</v>
      </c>
      <c r="R24" s="12" t="n">
        <v>61</v>
      </c>
      <c r="S24" s="12" t="n">
        <v>291</v>
      </c>
      <c r="T24" s="12" t="n">
        <v>307</v>
      </c>
      <c r="U24" s="12" t="n">
        <v>40</v>
      </c>
      <c r="V24" s="12" t="n">
        <v>18</v>
      </c>
      <c r="W24" s="12" t="n">
        <v>80</v>
      </c>
      <c r="X24" s="12" t="n">
        <v>10</v>
      </c>
      <c r="Y24" s="12" t="n">
        <v>25</v>
      </c>
      <c r="Z24" s="12" t="n">
        <v>44</v>
      </c>
      <c r="AA24" s="12" t="n">
        <v>80</v>
      </c>
      <c r="AB24" s="12" t="n">
        <v>107</v>
      </c>
      <c r="AC24" s="12" t="n">
        <v>68</v>
      </c>
      <c r="AD24" s="12" t="n">
        <v>50</v>
      </c>
      <c r="AE24" s="12" t="n">
        <v>60</v>
      </c>
      <c r="AF24" s="12" t="n">
        <v>9</v>
      </c>
    </row>
    <row r="25">
      <c r="A25" s="20" t="n"/>
      <c r="B25" s="13" t="inlineStr">
        <is>
          <t>Don't know</t>
        </is>
      </c>
      <c r="C25" s="14" t="n">
        <v>0.06</v>
      </c>
      <c r="D25" s="14" t="n">
        <v>0.01</v>
      </c>
      <c r="E25" s="14" t="n">
        <v>0.08</v>
      </c>
      <c r="F25" s="14" t="n">
        <v>0.01</v>
      </c>
      <c r="G25" s="14" t="n">
        <v>0.02</v>
      </c>
      <c r="H25" s="14" t="n">
        <v>0.02</v>
      </c>
      <c r="I25" s="14" t="n">
        <v>0.02</v>
      </c>
      <c r="J25" s="14" t="n">
        <v>0.01</v>
      </c>
      <c r="K25" s="14" t="n">
        <v>0.18</v>
      </c>
      <c r="L25" s="14" t="n">
        <v>0.07000000000000001</v>
      </c>
      <c r="M25" s="14" t="n">
        <v>0.12</v>
      </c>
      <c r="N25" s="14" t="n">
        <v>0.06</v>
      </c>
      <c r="O25" s="14" t="n">
        <v>0.14</v>
      </c>
      <c r="P25" s="14" t="n">
        <v>0.02</v>
      </c>
      <c r="Q25" s="14" t="n">
        <v>0.04</v>
      </c>
      <c r="R25" s="14" t="n">
        <v>0.12</v>
      </c>
      <c r="S25" s="14" t="n">
        <v>0.29</v>
      </c>
      <c r="T25" s="14" t="n">
        <v>0.3</v>
      </c>
      <c r="U25" s="14" t="n">
        <v>0.08</v>
      </c>
      <c r="V25" s="14" t="n">
        <v>0.02</v>
      </c>
      <c r="W25" s="14" t="n">
        <v>0.16</v>
      </c>
      <c r="X25" s="14" t="n">
        <v>0.01</v>
      </c>
      <c r="Y25" s="14" t="n">
        <v>0.03</v>
      </c>
      <c r="Z25" s="14" t="n">
        <v>0.04</v>
      </c>
      <c r="AA25" s="14" t="n">
        <v>0.08</v>
      </c>
      <c r="AB25" s="14" t="n">
        <v>0.1</v>
      </c>
      <c r="AC25" s="14" t="n">
        <v>0.07000000000000001</v>
      </c>
      <c r="AD25" s="14" t="n">
        <v>0.05</v>
      </c>
      <c r="AE25" s="14" t="n">
        <v>0.06</v>
      </c>
      <c r="AF25" s="14" t="n">
        <v>0.01</v>
      </c>
    </row>
    <row r="26">
      <c r="A26" s="20" t="n"/>
      <c r="B26" s="11" t="inlineStr">
        <is>
          <t>Moyenne</t>
        </is>
      </c>
      <c r="C26" s="12" t="n">
        <v>5.35</v>
      </c>
      <c r="D26" s="12" t="n">
        <v>5.3</v>
      </c>
      <c r="E26" s="12" t="n">
        <v>5.74</v>
      </c>
      <c r="F26" s="12" t="n">
        <v>5.84</v>
      </c>
      <c r="G26" s="12" t="n">
        <v>5.23</v>
      </c>
      <c r="H26" s="12" t="n">
        <v>5.15</v>
      </c>
      <c r="I26" s="12" t="n">
        <v>5.2</v>
      </c>
      <c r="J26" s="12" t="n">
        <v>5.39</v>
      </c>
      <c r="K26" s="12" t="n">
        <v>5.56</v>
      </c>
      <c r="L26" s="12" t="n">
        <v>5.05</v>
      </c>
      <c r="M26" s="12" t="n">
        <v>5.19</v>
      </c>
      <c r="N26" s="12" t="n">
        <v>4.97</v>
      </c>
      <c r="O26" s="12" t="n">
        <v>5.43</v>
      </c>
      <c r="P26" s="12" t="n">
        <v>5.85</v>
      </c>
      <c r="Q26" s="12" t="n">
        <v>5.43</v>
      </c>
      <c r="R26" s="12" t="n">
        <v>5.84</v>
      </c>
      <c r="S26" s="12" t="n">
        <v>5.93</v>
      </c>
      <c r="T26" s="12" t="n">
        <v>5.39</v>
      </c>
      <c r="U26" s="12" t="n">
        <v>5.06</v>
      </c>
      <c r="V26" s="12" t="n">
        <v>5.66</v>
      </c>
      <c r="W26" s="12" t="n">
        <v>5.34</v>
      </c>
      <c r="X26" s="12" t="n">
        <v>5.27</v>
      </c>
      <c r="Y26" s="12" t="n">
        <v>5.31</v>
      </c>
      <c r="Z26" s="12" t="n">
        <v>5.62</v>
      </c>
      <c r="AA26" s="12" t="n">
        <v>5.28</v>
      </c>
      <c r="AB26" s="12" t="n">
        <v>5.77</v>
      </c>
      <c r="AC26" s="12" t="n">
        <v>5.26</v>
      </c>
      <c r="AD26" s="12" t="n">
        <v>5.72</v>
      </c>
      <c r="AE26" s="12" t="n">
        <v>5.46</v>
      </c>
      <c r="AF26" s="12" t="n">
        <v>4.94</v>
      </c>
    </row>
    <row r="27">
      <c r="A27" s="23" t="n"/>
      <c r="B27" s="13" t="inlineStr">
        <is>
          <t>Average</t>
        </is>
      </c>
      <c r="C27" s="15" t="inlineStr">
        <is>
          <t>-</t>
        </is>
      </c>
      <c r="D27" s="15" t="inlineStr">
        <is>
          <t>-</t>
        </is>
      </c>
      <c r="E27" s="15" t="inlineStr">
        <is>
          <t>-</t>
        </is>
      </c>
      <c r="F27" s="15" t="inlineStr">
        <is>
          <t>-</t>
        </is>
      </c>
      <c r="G27" s="15" t="inlineStr">
        <is>
          <t>-</t>
        </is>
      </c>
      <c r="H27" s="15" t="inlineStr">
        <is>
          <t>-</t>
        </is>
      </c>
      <c r="I27" s="15" t="inlineStr">
        <is>
          <t>-</t>
        </is>
      </c>
      <c r="J27" s="15" t="inlineStr">
        <is>
          <t>-</t>
        </is>
      </c>
      <c r="K27" s="15" t="inlineStr">
        <is>
          <t>-</t>
        </is>
      </c>
      <c r="L27" s="15" t="inlineStr">
        <is>
          <t>-</t>
        </is>
      </c>
      <c r="M27" s="15" t="inlineStr">
        <is>
          <t>-</t>
        </is>
      </c>
      <c r="N27" s="15" t="inlineStr">
        <is>
          <t>-</t>
        </is>
      </c>
      <c r="O27" s="15" t="inlineStr">
        <is>
          <t>-</t>
        </is>
      </c>
      <c r="P27" s="15" t="inlineStr">
        <is>
          <t>-</t>
        </is>
      </c>
      <c r="Q27" s="15" t="inlineStr">
        <is>
          <t>-</t>
        </is>
      </c>
      <c r="R27" s="15" t="inlineStr">
        <is>
          <t>-</t>
        </is>
      </c>
      <c r="S27" s="15" t="inlineStr">
        <is>
          <t>-</t>
        </is>
      </c>
      <c r="T27" s="15" t="inlineStr">
        <is>
          <t>-</t>
        </is>
      </c>
      <c r="U27" s="15" t="inlineStr">
        <is>
          <t>-</t>
        </is>
      </c>
      <c r="V27" s="15" t="inlineStr">
        <is>
          <t>-</t>
        </is>
      </c>
      <c r="W27" s="15" t="inlineStr">
        <is>
          <t>-</t>
        </is>
      </c>
      <c r="X27" s="15" t="inlineStr">
        <is>
          <t>-</t>
        </is>
      </c>
      <c r="Y27" s="15" t="inlineStr">
        <is>
          <t>-</t>
        </is>
      </c>
      <c r="Z27" s="15" t="inlineStr">
        <is>
          <t>-</t>
        </is>
      </c>
      <c r="AA27" s="15" t="inlineStr">
        <is>
          <t>-</t>
        </is>
      </c>
      <c r="AB27" s="15" t="inlineStr">
        <is>
          <t>-</t>
        </is>
      </c>
      <c r="AC27" s="15" t="inlineStr">
        <is>
          <t>-</t>
        </is>
      </c>
      <c r="AD27" s="15" t="inlineStr">
        <is>
          <t>-</t>
        </is>
      </c>
      <c r="AE27" s="15" t="inlineStr">
        <is>
          <t>-</t>
        </is>
      </c>
      <c r="AF27" s="15" t="inlineStr">
        <is>
          <t>-</t>
        </is>
      </c>
    </row>
  </sheetData>
  <mergeCells count="9">
    <mergeCell ref="B4:F4"/>
    <mergeCell ref="H5:L5"/>
    <mergeCell ref="H3:L3"/>
    <mergeCell ref="C8:AF8"/>
    <mergeCell ref="B3:F3"/>
    <mergeCell ref="B5:F5"/>
    <mergeCell ref="A10:A27"/>
    <mergeCell ref="B10:B11"/>
    <mergeCell ref="H4:L4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7E0A3E6123C740A4B950CC39840D58" ma:contentTypeVersion="10" ma:contentTypeDescription="Create a new document." ma:contentTypeScope="" ma:versionID="c51579c7d467d0e0e100bbf896e31da7">
  <xsd:schema xmlns:xsd="http://www.w3.org/2001/XMLSchema" xmlns:xs="http://www.w3.org/2001/XMLSchema" xmlns:p="http://schemas.microsoft.com/office/2006/metadata/properties" xmlns:ns2="a683573e-73be-4f9e-bd3d-f72eb4c886d3" xmlns:ns3="91205cbf-0c9f-43ab-933a-e4a5a41668e1" targetNamespace="http://schemas.microsoft.com/office/2006/metadata/properties" ma:root="true" ma:fieldsID="a1ef33781d96188e5e5360625b2fdd46" ns2:_="" ns3:_="">
    <xsd:import namespace="a683573e-73be-4f9e-bd3d-f72eb4c886d3"/>
    <xsd:import namespace="91205cbf-0c9f-43ab-933a-e4a5a41668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83573e-73be-4f9e-bd3d-f72eb4c886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c41be98-d9ca-4af1-9b61-9963f450c5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205cbf-0c9f-43ab-933a-e4a5a41668e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6775497-e1a2-4647-9d54-87ba83bd8d9a}" ma:internalName="TaxCatchAll" ma:showField="CatchAllData" ma:web="91205cbf-0c9f-43ab-933a-e4a5a41668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1205cbf-0c9f-43ab-933a-e4a5a41668e1" xsi:nil="true"/>
    <lcf76f155ced4ddcb4097134ff3c332f xmlns="a683573e-73be-4f9e-bd3d-f72eb4c886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53C816-CAFB-4C8F-A9E8-4F22E0B7D909}"/>
</file>

<file path=customXml/itemProps2.xml><?xml version="1.0" encoding="utf-8"?>
<ds:datastoreItem xmlns:ds="http://schemas.openxmlformats.org/officeDocument/2006/customXml" ds:itemID="{CD0D76F8-A578-4B17-BEDE-96E10D84C3E6}"/>
</file>

<file path=customXml/itemProps3.xml><?xml version="1.0" encoding="utf-8"?>
<ds:datastoreItem xmlns:ds="http://schemas.openxmlformats.org/officeDocument/2006/customXml" ds:itemID="{FCBD8108-9BCD-4E55-8B04-6C7713F28C7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Enes Hol</cp:lastModifiedBy>
  <dcterms:created xsi:type="dcterms:W3CDTF">2026-05-05T16:35:42Z</dcterms:created>
  <dcterms:modified xsi:type="dcterms:W3CDTF">2026-06-02T11:09:05Z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0x010100587E0A3E6123C740A4B950CC39840D58</vt:lpwstr>
  </property>
  <property fmtid="{D5CDD505-2E9C-101B-9397-08002B2CF9AE}" pid="3" name="MediaServiceImageTags">
    <vt:lpwstr/>
  </property>
</Properties>
</file>